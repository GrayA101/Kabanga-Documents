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/>
  <mc:AlternateContent xmlns:mc="http://schemas.openxmlformats.org/markup-compatibility/2006">
    <mc:Choice Requires="x15">
      <x15ac:absPath xmlns:x15ac="http://schemas.microsoft.com/office/spreadsheetml/2010/11/ac" url="C:\_DRA\Projects\Kabanga-Kahama\Kabanga\RIOS\"/>
    </mc:Choice>
  </mc:AlternateContent>
  <xr:revisionPtr revIDLastSave="0" documentId="13_ncr:1_{FE764BB6-7AB9-4D1C-B12D-95F357CECAE7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Typical Counts" sheetId="7" r:id="rId1"/>
    <sheet name="Areas" sheetId="2" r:id="rId2"/>
    <sheet name="Constraints" sheetId="9" r:id="rId3"/>
    <sheet name="Part Numbers" sheetId="11" r:id="rId4"/>
    <sheet name="Rios" sheetId="8" r:id="rId5"/>
    <sheet name="Costing" sheetId="13" r:id="rId6"/>
  </sheets>
  <externalReferences>
    <externalReference r:id="rId7"/>
  </externalReferences>
  <definedNames>
    <definedName name="_Datasheet.F01_PrimaryElement_StraightPipeRunRequiredDownstream">[1]L1!#REF!</definedName>
    <definedName name="_Datasheet.F01_PrimaryElement_StraightPipeRunRequiredUpstream">[1]L1!#REF!</definedName>
    <definedName name="_Datasheet.F01_Process.EmptyPipeDetectionRequired">[1]L1!#REF!</definedName>
    <definedName name="_Datasheet.F01_Process.RequiredMinAccuracyOfInstrument">[1]L1!#REF!</definedName>
    <definedName name="_Datasheet.F01_Process.VacuumPossibility">[1]L1!#REF!</definedName>
    <definedName name="_Datasheet.F01_Process.VibrationExpectedNoneMildSevere">[1]L1!#REF!</definedName>
    <definedName name="_Datasheet.P01_AreaClassification">#REF!</definedName>
    <definedName name="_Datasheet.P01_Diaphragmseal_CapillaryMaterial">#REF!</definedName>
    <definedName name="_Datasheet.P01_Diaphragmseal_CapillaryType">#REF!</definedName>
    <definedName name="_Datasheet.P01_Diaphragmseal_DiaphragmMaterial">#REF!</definedName>
    <definedName name="_Datasheet.P01_Diaphragmseal_FillFluid">#REF!</definedName>
    <definedName name="_Datasheet.P01_Diaphragmseal_FlushingConnection">#REF!</definedName>
    <definedName name="_Datasheet.P01_Diaphragmseal_LowerHousingMaterial">#REF!</definedName>
    <definedName name="_Datasheet.P01_Diaphragmseal_PressureRating">#REF!</definedName>
    <definedName name="_Datasheet.P01_Diaphragmseal_ProcessConnection">#REF!</definedName>
    <definedName name="_Datasheet.P01_Diaphragmseal_UpperHousingMaterial">#REF!</definedName>
    <definedName name="_Datasheet.P01_Mechanical.LineMaterial">#REF!</definedName>
    <definedName name="_Datasheet.P01_Mechanical.LineNumber">#REF!</definedName>
    <definedName name="_Datasheet.P01_Mechanical.LineSizeAndSch">#REF!</definedName>
    <definedName name="_Datasheet.P01_Options_Calibration">#REF!</definedName>
    <definedName name="_Datasheet.P01_Options_Certification">#REF!</definedName>
    <definedName name="_Datasheet.P01_Options_ProcessIsolationValve">#REF!</definedName>
    <definedName name="_Datasheet.P01_Options_Seal_Required">#REF!</definedName>
    <definedName name="_Datasheet.P01_PressureElement_BodyMaterial">#REF!</definedName>
    <definedName name="_Datasheet.P01_PressureElement_CalibrationRangeMinToMaxkPa">#REF!</definedName>
    <definedName name="_Datasheet.P01_PressureElement_ElementMaterial">#REF!</definedName>
    <definedName name="_Datasheet.P01_PressureElement_ElementType">#REF!</definedName>
    <definedName name="_Datasheet.P01_PressureElement_FillFluid">#REF!</definedName>
    <definedName name="_Datasheet.P01_PressureElement_IngressProtectionRating">#REF!</definedName>
    <definedName name="_Datasheet.P01_PressureElement_InstrumentRangeMinToMaxkPa">#REF!</definedName>
    <definedName name="_Datasheet.P01_PressureElement_ProcessConnection">#REF!</definedName>
    <definedName name="_Datasheet.P01_Process.MeasuringLevelRangeMinToMax">#REF!</definedName>
    <definedName name="_Datasheet.P01_Process.NameOfGasLiquid">#REF!</definedName>
    <definedName name="_Datasheet.P01_Process.OperatingDensity">#REF!</definedName>
    <definedName name="_Datasheet.P01_Process.RequiredMinAccuracyOfInstrument">#REF!</definedName>
    <definedName name="_Datasheet.P01_Process.RequiredRangeOfInstrument">#REF!</definedName>
    <definedName name="_Datasheet.P01_Process.TemperatureRangeMinToMax">#REF!</definedName>
    <definedName name="_Datasheet.P01_Process.VacuumPossibility">#REF!</definedName>
    <definedName name="_Datasheet.P01_Process.VibrationExpectedNoneMildSevere">#REF!</definedName>
    <definedName name="_Datasheet.P01_Transmitter_ElectricalEntryConnectionSize">#REF!</definedName>
    <definedName name="_Datasheet.P01_Transmitter_LocalIndicationYN">#REF!</definedName>
    <definedName name="_Datasheet.P01_Transmitter_OutputSignal">#REF!</definedName>
    <definedName name="_Datasheet.P01_Transmitter_PowerSupply">#REF!</definedName>
    <definedName name="_Datasheet.P01_Transmitter_SetupLocalOrViaExternalDevice">#REF!</definedName>
    <definedName name="_Datasheet.P01_Transmitter_TwoWireThreeWire">#REF!</definedName>
    <definedName name="_Document.ClientDwgName">#REF!</definedName>
    <definedName name="_Document.OfSheet">#REF!</definedName>
    <definedName name="_Document.Rev">#REF!</definedName>
    <definedName name="_Document.SheetNo">#REF!</definedName>
    <definedName name="_Document.TagNum">#REF!</definedName>
    <definedName name="_xlnm._FilterDatabase" localSheetId="1" hidden="1">Areas!$P$2:$Q$2</definedName>
    <definedName name="_xlnm._FilterDatabase" localSheetId="5" hidden="1">Costing!$A$4:$X$4</definedName>
    <definedName name="_xlnm._FilterDatabase" localSheetId="3" hidden="1">'Part Numbers'!$H$1:$M$7</definedName>
    <definedName name="_xlnm._FilterDatabase" localSheetId="4" hidden="1">Rios!$A$2:$BK$2</definedName>
    <definedName name="_xlnm._FilterDatabase" localSheetId="0" hidden="1">'Typical Counts'!$J$2:$T$2</definedName>
    <definedName name="_IIndex.AssocEquip">#REF!</definedName>
    <definedName name="_IIndex.Description">[1]L1!$O$2</definedName>
    <definedName name="_IIndex.LineNum">#REF!</definedName>
    <definedName name="_IIndex.Manufacturer">#REF!</definedName>
    <definedName name="_IIndex.Model">[1]L1!#REF!</definedName>
    <definedName name="_IIndex.PIDNo">#REF!</definedName>
    <definedName name="_IIndex.POrder">[1]L1!#REF!</definedName>
    <definedName name="_IIndex.Price">[1]L1!#REF!</definedName>
    <definedName name="_IIndex.RespParty">#REF!</definedName>
    <definedName name="_IIndex.Supplier">#REF!</definedName>
    <definedName name="_IIndex.TagNum">[1]L1!$O$1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rojectInfo.ProjectName">#REF!</definedName>
    <definedName name="_ProjectInfo.ProjectNumber">#REF!</definedName>
    <definedName name="_Revision.ApprovedBy">#REF!</definedName>
    <definedName name="_Revision.CheckedBy">#REF!</definedName>
    <definedName name="_Revision.Rev">#REF!</definedName>
    <definedName name="_Revision.RevBy">#REF!</definedName>
    <definedName name="_Revision.RevDate">#REF!</definedName>
    <definedName name="_Revision.RevTitle">#REF!</definedName>
    <definedName name="_Sort" hidden="1">#REF!</definedName>
    <definedName name="DocNum">#REF!</definedName>
    <definedName name="DocumentNo">#REF!</definedName>
    <definedName name="IssueDate">#REF!</definedName>
    <definedName name="IssueDescription">#REF!</definedName>
    <definedName name="ITypeTab">#REF!</definedName>
    <definedName name="LookupTab">#REF!</definedName>
    <definedName name="LookupTable">#REF!</definedName>
    <definedName name="Office">#REF!</definedName>
    <definedName name="PasteClientLogo">#REF!</definedName>
    <definedName name="ProjDescr">#REF!</definedName>
    <definedName name="ProjDir">#REF!</definedName>
    <definedName name="ProjectNo">#REF!</definedName>
    <definedName name="ProjMan">#REF!</definedName>
    <definedName name="Proposed_Card_Layout">Constraints!$AL$2:$AL$1048576</definedName>
    <definedName name="ReportTitle">#REF!</definedName>
    <definedName name="SelectedLogo">#REF!</definedName>
    <definedName name="StudyLevel">#REF!</definedName>
    <definedName name="ValveOpIDs">#REF!</definedName>
    <definedName name="ValveTypeTab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0" i="8" l="1"/>
  <c r="X100" i="8"/>
  <c r="W100" i="8"/>
  <c r="V100" i="8"/>
  <c r="Y99" i="8"/>
  <c r="X99" i="8"/>
  <c r="W99" i="8"/>
  <c r="V99" i="8"/>
  <c r="Y98" i="8"/>
  <c r="X98" i="8"/>
  <c r="W98" i="8"/>
  <c r="V98" i="8"/>
  <c r="Y97" i="8"/>
  <c r="X97" i="8"/>
  <c r="W97" i="8"/>
  <c r="V97" i="8"/>
  <c r="Y96" i="8"/>
  <c r="X96" i="8"/>
  <c r="W96" i="8"/>
  <c r="V96" i="8"/>
  <c r="Y95" i="8"/>
  <c r="X95" i="8"/>
  <c r="W95" i="8"/>
  <c r="V95" i="8"/>
  <c r="Y94" i="8"/>
  <c r="X94" i="8"/>
  <c r="W94" i="8"/>
  <c r="V94" i="8"/>
  <c r="Y93" i="8"/>
  <c r="X93" i="8"/>
  <c r="W93" i="8"/>
  <c r="V93" i="8"/>
  <c r="Y92" i="8"/>
  <c r="X92" i="8"/>
  <c r="W92" i="8"/>
  <c r="V92" i="8"/>
  <c r="Y91" i="8"/>
  <c r="X91" i="8"/>
  <c r="W91" i="8"/>
  <c r="V91" i="8"/>
  <c r="Y90" i="8"/>
  <c r="X90" i="8"/>
  <c r="W90" i="8"/>
  <c r="V90" i="8"/>
  <c r="Y89" i="8"/>
  <c r="X89" i="8"/>
  <c r="W89" i="8"/>
  <c r="V89" i="8"/>
  <c r="Y88" i="8"/>
  <c r="X88" i="8"/>
  <c r="W88" i="8"/>
  <c r="V88" i="8"/>
  <c r="Y87" i="8"/>
  <c r="X87" i="8"/>
  <c r="W87" i="8"/>
  <c r="V87" i="8"/>
  <c r="Y86" i="8"/>
  <c r="X86" i="8"/>
  <c r="W86" i="8"/>
  <c r="V86" i="8"/>
  <c r="Y85" i="8"/>
  <c r="X85" i="8"/>
  <c r="W85" i="8"/>
  <c r="V85" i="8"/>
  <c r="Y84" i="8"/>
  <c r="X84" i="8"/>
  <c r="W84" i="8"/>
  <c r="V84" i="8"/>
  <c r="Y83" i="8"/>
  <c r="X83" i="8"/>
  <c r="W83" i="8"/>
  <c r="V83" i="8"/>
  <c r="Y82" i="8"/>
  <c r="X82" i="8"/>
  <c r="W82" i="8"/>
  <c r="V82" i="8"/>
  <c r="Y81" i="8"/>
  <c r="X81" i="8"/>
  <c r="W81" i="8"/>
  <c r="V81" i="8"/>
  <c r="Y80" i="8"/>
  <c r="X80" i="8"/>
  <c r="W80" i="8"/>
  <c r="V80" i="8"/>
  <c r="Y79" i="8"/>
  <c r="X79" i="8"/>
  <c r="W79" i="8"/>
  <c r="V79" i="8"/>
  <c r="Y78" i="8"/>
  <c r="X78" i="8"/>
  <c r="W78" i="8"/>
  <c r="V78" i="8"/>
  <c r="Y77" i="8"/>
  <c r="X77" i="8"/>
  <c r="W77" i="8"/>
  <c r="V77" i="8"/>
  <c r="Y76" i="8"/>
  <c r="X76" i="8"/>
  <c r="W76" i="8"/>
  <c r="V76" i="8"/>
  <c r="Y75" i="8"/>
  <c r="X75" i="8"/>
  <c r="W75" i="8"/>
  <c r="V75" i="8"/>
  <c r="Y74" i="8"/>
  <c r="X74" i="8"/>
  <c r="W74" i="8"/>
  <c r="V74" i="8"/>
  <c r="Y73" i="8"/>
  <c r="X73" i="8"/>
  <c r="W73" i="8"/>
  <c r="V73" i="8"/>
  <c r="Y72" i="8"/>
  <c r="X72" i="8"/>
  <c r="W72" i="8"/>
  <c r="V72" i="8"/>
  <c r="Y71" i="8"/>
  <c r="X71" i="8"/>
  <c r="W71" i="8"/>
  <c r="V71" i="8"/>
  <c r="Y70" i="8"/>
  <c r="X70" i="8"/>
  <c r="W70" i="8"/>
  <c r="V70" i="8"/>
  <c r="Y69" i="8"/>
  <c r="X69" i="8"/>
  <c r="W69" i="8"/>
  <c r="V69" i="8"/>
  <c r="Y68" i="8"/>
  <c r="X68" i="8"/>
  <c r="W68" i="8"/>
  <c r="V68" i="8"/>
  <c r="Y67" i="8"/>
  <c r="X67" i="8"/>
  <c r="W67" i="8"/>
  <c r="V67" i="8"/>
  <c r="Y66" i="8"/>
  <c r="X66" i="8"/>
  <c r="W66" i="8"/>
  <c r="V66" i="8"/>
  <c r="Y65" i="8"/>
  <c r="X65" i="8"/>
  <c r="W65" i="8"/>
  <c r="V65" i="8"/>
  <c r="Y64" i="8"/>
  <c r="X64" i="8"/>
  <c r="W64" i="8"/>
  <c r="V64" i="8"/>
  <c r="Y63" i="8"/>
  <c r="X63" i="8"/>
  <c r="W63" i="8"/>
  <c r="V63" i="8"/>
  <c r="Y62" i="8"/>
  <c r="X62" i="8"/>
  <c r="W62" i="8"/>
  <c r="V62" i="8"/>
  <c r="Y61" i="8"/>
  <c r="X61" i="8"/>
  <c r="W61" i="8"/>
  <c r="V61" i="8"/>
  <c r="Y60" i="8"/>
  <c r="X60" i="8"/>
  <c r="W60" i="8"/>
  <c r="V60" i="8"/>
  <c r="Y59" i="8"/>
  <c r="X59" i="8"/>
  <c r="W59" i="8"/>
  <c r="V59" i="8"/>
  <c r="Y58" i="8"/>
  <c r="X58" i="8"/>
  <c r="W58" i="8"/>
  <c r="V58" i="8"/>
  <c r="Y57" i="8"/>
  <c r="X57" i="8"/>
  <c r="W57" i="8"/>
  <c r="V57" i="8"/>
  <c r="Y56" i="8"/>
  <c r="X56" i="8"/>
  <c r="W56" i="8"/>
  <c r="V56" i="8"/>
  <c r="Y55" i="8"/>
  <c r="X55" i="8"/>
  <c r="W55" i="8"/>
  <c r="V55" i="8"/>
  <c r="Y54" i="8"/>
  <c r="X54" i="8"/>
  <c r="W54" i="8"/>
  <c r="V54" i="8"/>
  <c r="Y53" i="8"/>
  <c r="X53" i="8"/>
  <c r="W53" i="8"/>
  <c r="V53" i="8"/>
  <c r="Y52" i="8"/>
  <c r="X52" i="8"/>
  <c r="W52" i="8"/>
  <c r="V52" i="8"/>
  <c r="T100" i="8"/>
  <c r="S100" i="8"/>
  <c r="R100" i="8"/>
  <c r="Q100" i="8"/>
  <c r="T99" i="8"/>
  <c r="S99" i="8"/>
  <c r="R99" i="8"/>
  <c r="Q99" i="8"/>
  <c r="T98" i="8"/>
  <c r="S98" i="8"/>
  <c r="R98" i="8"/>
  <c r="Q98" i="8"/>
  <c r="T97" i="8"/>
  <c r="S97" i="8"/>
  <c r="R97" i="8"/>
  <c r="Q97" i="8"/>
  <c r="T96" i="8"/>
  <c r="S96" i="8"/>
  <c r="R96" i="8"/>
  <c r="Q96" i="8"/>
  <c r="T95" i="8"/>
  <c r="S95" i="8"/>
  <c r="R95" i="8"/>
  <c r="Q95" i="8"/>
  <c r="T94" i="8"/>
  <c r="S94" i="8"/>
  <c r="R94" i="8"/>
  <c r="Q94" i="8"/>
  <c r="T93" i="8"/>
  <c r="S93" i="8"/>
  <c r="R93" i="8"/>
  <c r="Q93" i="8"/>
  <c r="T92" i="8"/>
  <c r="S92" i="8"/>
  <c r="R92" i="8"/>
  <c r="Q92" i="8"/>
  <c r="T91" i="8"/>
  <c r="S91" i="8"/>
  <c r="R91" i="8"/>
  <c r="Q91" i="8"/>
  <c r="T90" i="8"/>
  <c r="S90" i="8"/>
  <c r="R90" i="8"/>
  <c r="Q90" i="8"/>
  <c r="T89" i="8"/>
  <c r="S89" i="8"/>
  <c r="R89" i="8"/>
  <c r="Q89" i="8"/>
  <c r="T88" i="8"/>
  <c r="S88" i="8"/>
  <c r="R88" i="8"/>
  <c r="Q88" i="8"/>
  <c r="T87" i="8"/>
  <c r="S87" i="8"/>
  <c r="R87" i="8"/>
  <c r="Q87" i="8"/>
  <c r="T86" i="8"/>
  <c r="S86" i="8"/>
  <c r="R86" i="8"/>
  <c r="Q86" i="8"/>
  <c r="T85" i="8"/>
  <c r="S85" i="8"/>
  <c r="R85" i="8"/>
  <c r="Q85" i="8"/>
  <c r="T84" i="8"/>
  <c r="S84" i="8"/>
  <c r="R84" i="8"/>
  <c r="Q84" i="8"/>
  <c r="T83" i="8"/>
  <c r="S83" i="8"/>
  <c r="R83" i="8"/>
  <c r="Q83" i="8"/>
  <c r="T82" i="8"/>
  <c r="S82" i="8"/>
  <c r="R82" i="8"/>
  <c r="Q82" i="8"/>
  <c r="T81" i="8"/>
  <c r="S81" i="8"/>
  <c r="R81" i="8"/>
  <c r="Q81" i="8"/>
  <c r="T80" i="8"/>
  <c r="S80" i="8"/>
  <c r="R80" i="8"/>
  <c r="Q80" i="8"/>
  <c r="T79" i="8"/>
  <c r="S79" i="8"/>
  <c r="R79" i="8"/>
  <c r="Q79" i="8"/>
  <c r="T78" i="8"/>
  <c r="S78" i="8"/>
  <c r="R78" i="8"/>
  <c r="Q78" i="8"/>
  <c r="T77" i="8"/>
  <c r="S77" i="8"/>
  <c r="R77" i="8"/>
  <c r="Q77" i="8"/>
  <c r="T76" i="8"/>
  <c r="S76" i="8"/>
  <c r="R76" i="8"/>
  <c r="Q76" i="8"/>
  <c r="T75" i="8"/>
  <c r="S75" i="8"/>
  <c r="R75" i="8"/>
  <c r="Q75" i="8"/>
  <c r="T74" i="8"/>
  <c r="S74" i="8"/>
  <c r="R74" i="8"/>
  <c r="Q74" i="8"/>
  <c r="T73" i="8"/>
  <c r="S73" i="8"/>
  <c r="R73" i="8"/>
  <c r="Q73" i="8"/>
  <c r="T72" i="8"/>
  <c r="S72" i="8"/>
  <c r="R72" i="8"/>
  <c r="Q72" i="8"/>
  <c r="T71" i="8"/>
  <c r="S71" i="8"/>
  <c r="R71" i="8"/>
  <c r="Q71" i="8"/>
  <c r="T70" i="8"/>
  <c r="S70" i="8"/>
  <c r="R70" i="8"/>
  <c r="Q70" i="8"/>
  <c r="T69" i="8"/>
  <c r="S69" i="8"/>
  <c r="R69" i="8"/>
  <c r="Q69" i="8"/>
  <c r="T68" i="8"/>
  <c r="S68" i="8"/>
  <c r="R68" i="8"/>
  <c r="Q68" i="8"/>
  <c r="T67" i="8"/>
  <c r="S67" i="8"/>
  <c r="R67" i="8"/>
  <c r="Q67" i="8"/>
  <c r="T66" i="8"/>
  <c r="S66" i="8"/>
  <c r="R66" i="8"/>
  <c r="Q66" i="8"/>
  <c r="T65" i="8"/>
  <c r="S65" i="8"/>
  <c r="R65" i="8"/>
  <c r="Q65" i="8"/>
  <c r="T64" i="8"/>
  <c r="S64" i="8"/>
  <c r="R64" i="8"/>
  <c r="Q64" i="8"/>
  <c r="T63" i="8"/>
  <c r="S63" i="8"/>
  <c r="R63" i="8"/>
  <c r="Q63" i="8"/>
  <c r="T62" i="8"/>
  <c r="S62" i="8"/>
  <c r="R62" i="8"/>
  <c r="Q62" i="8"/>
  <c r="T61" i="8"/>
  <c r="S61" i="8"/>
  <c r="R61" i="8"/>
  <c r="Q61" i="8"/>
  <c r="T60" i="8"/>
  <c r="S60" i="8"/>
  <c r="R60" i="8"/>
  <c r="Q60" i="8"/>
  <c r="T59" i="8"/>
  <c r="S59" i="8"/>
  <c r="R59" i="8"/>
  <c r="Q59" i="8"/>
  <c r="T58" i="8"/>
  <c r="S58" i="8"/>
  <c r="R58" i="8"/>
  <c r="Q58" i="8"/>
  <c r="T57" i="8"/>
  <c r="S57" i="8"/>
  <c r="R57" i="8"/>
  <c r="Q57" i="8"/>
  <c r="T56" i="8"/>
  <c r="S56" i="8"/>
  <c r="R56" i="8"/>
  <c r="Q56" i="8"/>
  <c r="T55" i="8"/>
  <c r="S55" i="8"/>
  <c r="R55" i="8"/>
  <c r="Q55" i="8"/>
  <c r="T54" i="8"/>
  <c r="S54" i="8"/>
  <c r="R54" i="8"/>
  <c r="Q54" i="8"/>
  <c r="T53" i="8"/>
  <c r="S53" i="8"/>
  <c r="R53" i="8"/>
  <c r="Q53" i="8"/>
  <c r="T52" i="8"/>
  <c r="S52" i="8"/>
  <c r="R52" i="8"/>
  <c r="Q52" i="8"/>
  <c r="O100" i="8"/>
  <c r="N100" i="8"/>
  <c r="M100" i="8"/>
  <c r="L100" i="8"/>
  <c r="O99" i="8"/>
  <c r="N99" i="8"/>
  <c r="M99" i="8"/>
  <c r="L99" i="8"/>
  <c r="O98" i="8"/>
  <c r="N98" i="8"/>
  <c r="M98" i="8"/>
  <c r="L98" i="8"/>
  <c r="O97" i="8"/>
  <c r="N97" i="8"/>
  <c r="M97" i="8"/>
  <c r="L97" i="8"/>
  <c r="O96" i="8"/>
  <c r="N96" i="8"/>
  <c r="M96" i="8"/>
  <c r="L96" i="8"/>
  <c r="O95" i="8"/>
  <c r="N95" i="8"/>
  <c r="M95" i="8"/>
  <c r="L95" i="8"/>
  <c r="O94" i="8"/>
  <c r="N94" i="8"/>
  <c r="M94" i="8"/>
  <c r="L94" i="8"/>
  <c r="O93" i="8"/>
  <c r="N93" i="8"/>
  <c r="M93" i="8"/>
  <c r="L93" i="8"/>
  <c r="O92" i="8"/>
  <c r="N92" i="8"/>
  <c r="M92" i="8"/>
  <c r="L92" i="8"/>
  <c r="O91" i="8"/>
  <c r="N91" i="8"/>
  <c r="M91" i="8"/>
  <c r="L91" i="8"/>
  <c r="O90" i="8"/>
  <c r="N90" i="8"/>
  <c r="M90" i="8"/>
  <c r="L90" i="8"/>
  <c r="O89" i="8"/>
  <c r="N89" i="8"/>
  <c r="M89" i="8"/>
  <c r="L89" i="8"/>
  <c r="O88" i="8"/>
  <c r="N88" i="8"/>
  <c r="M88" i="8"/>
  <c r="L88" i="8"/>
  <c r="O87" i="8"/>
  <c r="N87" i="8"/>
  <c r="M87" i="8"/>
  <c r="L87" i="8"/>
  <c r="O86" i="8"/>
  <c r="N86" i="8"/>
  <c r="M86" i="8"/>
  <c r="L86" i="8"/>
  <c r="O85" i="8"/>
  <c r="N85" i="8"/>
  <c r="M85" i="8"/>
  <c r="L85" i="8"/>
  <c r="O84" i="8"/>
  <c r="N84" i="8"/>
  <c r="M84" i="8"/>
  <c r="L84" i="8"/>
  <c r="O83" i="8"/>
  <c r="N83" i="8"/>
  <c r="M83" i="8"/>
  <c r="L83" i="8"/>
  <c r="O82" i="8"/>
  <c r="N82" i="8"/>
  <c r="M82" i="8"/>
  <c r="L82" i="8"/>
  <c r="O81" i="8"/>
  <c r="N81" i="8"/>
  <c r="M81" i="8"/>
  <c r="L81" i="8"/>
  <c r="O80" i="8"/>
  <c r="N80" i="8"/>
  <c r="M80" i="8"/>
  <c r="L80" i="8"/>
  <c r="O79" i="8"/>
  <c r="N79" i="8"/>
  <c r="M79" i="8"/>
  <c r="L79" i="8"/>
  <c r="O78" i="8"/>
  <c r="N78" i="8"/>
  <c r="M78" i="8"/>
  <c r="L78" i="8"/>
  <c r="O77" i="8"/>
  <c r="N77" i="8"/>
  <c r="M77" i="8"/>
  <c r="L77" i="8"/>
  <c r="O76" i="8"/>
  <c r="N76" i="8"/>
  <c r="M76" i="8"/>
  <c r="L76" i="8"/>
  <c r="O75" i="8"/>
  <c r="N75" i="8"/>
  <c r="M75" i="8"/>
  <c r="L75" i="8"/>
  <c r="O74" i="8"/>
  <c r="N74" i="8"/>
  <c r="M74" i="8"/>
  <c r="L74" i="8"/>
  <c r="O73" i="8"/>
  <c r="N73" i="8"/>
  <c r="M73" i="8"/>
  <c r="L73" i="8"/>
  <c r="O72" i="8"/>
  <c r="N72" i="8"/>
  <c r="M72" i="8"/>
  <c r="L72" i="8"/>
  <c r="O71" i="8"/>
  <c r="N71" i="8"/>
  <c r="M71" i="8"/>
  <c r="L71" i="8"/>
  <c r="O70" i="8"/>
  <c r="N70" i="8"/>
  <c r="M70" i="8"/>
  <c r="L70" i="8"/>
  <c r="O69" i="8"/>
  <c r="N69" i="8"/>
  <c r="M69" i="8"/>
  <c r="L69" i="8"/>
  <c r="O68" i="8"/>
  <c r="N68" i="8"/>
  <c r="M68" i="8"/>
  <c r="L68" i="8"/>
  <c r="O67" i="8"/>
  <c r="N67" i="8"/>
  <c r="M67" i="8"/>
  <c r="L67" i="8"/>
  <c r="O66" i="8"/>
  <c r="N66" i="8"/>
  <c r="M66" i="8"/>
  <c r="L66" i="8"/>
  <c r="O65" i="8"/>
  <c r="N65" i="8"/>
  <c r="M65" i="8"/>
  <c r="L65" i="8"/>
  <c r="O64" i="8"/>
  <c r="N64" i="8"/>
  <c r="M64" i="8"/>
  <c r="L64" i="8"/>
  <c r="O63" i="8"/>
  <c r="N63" i="8"/>
  <c r="M63" i="8"/>
  <c r="L63" i="8"/>
  <c r="O62" i="8"/>
  <c r="N62" i="8"/>
  <c r="M62" i="8"/>
  <c r="L62" i="8"/>
  <c r="O61" i="8"/>
  <c r="N61" i="8"/>
  <c r="M61" i="8"/>
  <c r="L61" i="8"/>
  <c r="O60" i="8"/>
  <c r="N60" i="8"/>
  <c r="M60" i="8"/>
  <c r="L60" i="8"/>
  <c r="O59" i="8"/>
  <c r="N59" i="8"/>
  <c r="M59" i="8"/>
  <c r="L59" i="8"/>
  <c r="O58" i="8"/>
  <c r="N58" i="8"/>
  <c r="M58" i="8"/>
  <c r="L58" i="8"/>
  <c r="O57" i="8"/>
  <c r="N57" i="8"/>
  <c r="M57" i="8"/>
  <c r="L57" i="8"/>
  <c r="O56" i="8"/>
  <c r="N56" i="8"/>
  <c r="M56" i="8"/>
  <c r="L56" i="8"/>
  <c r="O55" i="8"/>
  <c r="N55" i="8"/>
  <c r="M55" i="8"/>
  <c r="L55" i="8"/>
  <c r="O54" i="8"/>
  <c r="N54" i="8"/>
  <c r="M54" i="8"/>
  <c r="L54" i="8"/>
  <c r="O53" i="8"/>
  <c r="N53" i="8"/>
  <c r="M53" i="8"/>
  <c r="L53" i="8"/>
  <c r="O52" i="8"/>
  <c r="N52" i="8"/>
  <c r="M52" i="8"/>
  <c r="L52" i="8"/>
  <c r="AL4" i="8"/>
  <c r="I93" i="13"/>
  <c r="D103" i="13"/>
  <c r="I103" i="13" s="1"/>
  <c r="D102" i="13"/>
  <c r="F102" i="13" s="1"/>
  <c r="D101" i="13"/>
  <c r="I101" i="13" s="1"/>
  <c r="D100" i="13"/>
  <c r="I100" i="13" s="1"/>
  <c r="D99" i="13"/>
  <c r="I99" i="13" s="1"/>
  <c r="D98" i="13"/>
  <c r="F98" i="13" s="1"/>
  <c r="D97" i="13"/>
  <c r="F97" i="13" s="1"/>
  <c r="D96" i="13"/>
  <c r="I96" i="13" s="1"/>
  <c r="D95" i="13"/>
  <c r="N95" i="13" s="1"/>
  <c r="D94" i="13"/>
  <c r="N94" i="13" s="1"/>
  <c r="D93" i="13"/>
  <c r="F93" i="13" s="1"/>
  <c r="D92" i="13"/>
  <c r="I92" i="13" s="1"/>
  <c r="D91" i="13"/>
  <c r="K91" i="13" s="1"/>
  <c r="D90" i="13"/>
  <c r="L90" i="13" s="1"/>
  <c r="D89" i="13"/>
  <c r="I89" i="13" s="1"/>
  <c r="D88" i="13"/>
  <c r="I88" i="13" s="1"/>
  <c r="D87" i="13"/>
  <c r="D86" i="13"/>
  <c r="N86" i="13" s="1"/>
  <c r="D85" i="13"/>
  <c r="N85" i="13" s="1"/>
  <c r="D84" i="13"/>
  <c r="I84" i="13" s="1"/>
  <c r="D83" i="13"/>
  <c r="N83" i="13" s="1"/>
  <c r="D82" i="13"/>
  <c r="F82" i="13" s="1"/>
  <c r="D81" i="13"/>
  <c r="I81" i="13" s="1"/>
  <c r="D80" i="13"/>
  <c r="I80" i="13" s="1"/>
  <c r="D79" i="13"/>
  <c r="I79" i="13" s="1"/>
  <c r="D78" i="13"/>
  <c r="N78" i="13" s="1"/>
  <c r="D77" i="13"/>
  <c r="F77" i="13" s="1"/>
  <c r="D76" i="13"/>
  <c r="I76" i="13" s="1"/>
  <c r="D75" i="13"/>
  <c r="L75" i="13" s="1"/>
  <c r="D74" i="13"/>
  <c r="N74" i="13" s="1"/>
  <c r="D73" i="13"/>
  <c r="D72" i="13"/>
  <c r="D71" i="13"/>
  <c r="K71" i="13" s="1"/>
  <c r="D70" i="13"/>
  <c r="K70" i="13" s="1"/>
  <c r="D69" i="13"/>
  <c r="G69" i="13" s="1"/>
  <c r="D68" i="13"/>
  <c r="N68" i="13" s="1"/>
  <c r="D67" i="13"/>
  <c r="D66" i="13"/>
  <c r="L66" i="13" s="1"/>
  <c r="D65" i="13"/>
  <c r="F65" i="13" s="1"/>
  <c r="D64" i="13"/>
  <c r="M64" i="13" s="1"/>
  <c r="D63" i="13"/>
  <c r="N63" i="13" s="1"/>
  <c r="D62" i="13"/>
  <c r="F62" i="13" s="1"/>
  <c r="D61" i="13"/>
  <c r="I61" i="13" s="1"/>
  <c r="D60" i="13"/>
  <c r="N60" i="13" s="1"/>
  <c r="D59" i="13"/>
  <c r="F59" i="13" s="1"/>
  <c r="D58" i="13"/>
  <c r="N58" i="13" s="1"/>
  <c r="D57" i="13"/>
  <c r="F57" i="13" s="1"/>
  <c r="D56" i="13"/>
  <c r="I56" i="13" s="1"/>
  <c r="D55" i="13"/>
  <c r="N55" i="13" s="1"/>
  <c r="D54" i="13"/>
  <c r="D53" i="13"/>
  <c r="D52" i="13"/>
  <c r="D51" i="13"/>
  <c r="K51" i="13" s="1"/>
  <c r="D50" i="13"/>
  <c r="M50" i="13" s="1"/>
  <c r="D49" i="13"/>
  <c r="M49" i="13" s="1"/>
  <c r="D48" i="13"/>
  <c r="N48" i="13" s="1"/>
  <c r="D47" i="13"/>
  <c r="D46" i="13"/>
  <c r="N46" i="13" s="1"/>
  <c r="D45" i="13"/>
  <c r="M45" i="13" s="1"/>
  <c r="D44" i="13"/>
  <c r="M44" i="13" s="1"/>
  <c r="D43" i="13"/>
  <c r="D42" i="13"/>
  <c r="N42" i="13" s="1"/>
  <c r="D41" i="13"/>
  <c r="K41" i="13" s="1"/>
  <c r="D40" i="13"/>
  <c r="N40" i="13" s="1"/>
  <c r="D39" i="13"/>
  <c r="M39" i="13" s="1"/>
  <c r="D38" i="13"/>
  <c r="D37" i="13"/>
  <c r="I37" i="13" s="1"/>
  <c r="D36" i="13"/>
  <c r="H36" i="13" s="1"/>
  <c r="D35" i="13"/>
  <c r="I35" i="13" s="1"/>
  <c r="D34" i="13"/>
  <c r="N34" i="13" s="1"/>
  <c r="D33" i="13"/>
  <c r="D32" i="13"/>
  <c r="D31" i="13"/>
  <c r="D30" i="13"/>
  <c r="K30" i="13" s="1"/>
  <c r="D29" i="13"/>
  <c r="N29" i="13" s="1"/>
  <c r="D28" i="13"/>
  <c r="N28" i="13" s="1"/>
  <c r="D27" i="13"/>
  <c r="D26" i="13"/>
  <c r="K26" i="13" s="1"/>
  <c r="D25" i="13"/>
  <c r="L25" i="13" s="1"/>
  <c r="D24" i="13"/>
  <c r="M24" i="13" s="1"/>
  <c r="D23" i="13"/>
  <c r="N23" i="13" s="1"/>
  <c r="D22" i="13"/>
  <c r="N22" i="13" s="1"/>
  <c r="D21" i="13"/>
  <c r="D20" i="13"/>
  <c r="N20" i="13" s="1"/>
  <c r="D19" i="13"/>
  <c r="M19" i="13" s="1"/>
  <c r="D18" i="13"/>
  <c r="N18" i="13" s="1"/>
  <c r="D17" i="13"/>
  <c r="N17" i="13" s="1"/>
  <c r="D16" i="13"/>
  <c r="N16" i="13" s="1"/>
  <c r="D15" i="13"/>
  <c r="K15" i="13" s="1"/>
  <c r="D14" i="13"/>
  <c r="N14" i="13" s="1"/>
  <c r="D13" i="13"/>
  <c r="D12" i="13"/>
  <c r="N12" i="13" s="1"/>
  <c r="D11" i="13"/>
  <c r="D10" i="13"/>
  <c r="D9" i="13"/>
  <c r="L9" i="13" s="1"/>
  <c r="D8" i="13"/>
  <c r="N8" i="13" s="1"/>
  <c r="D7" i="13"/>
  <c r="N7" i="13" s="1"/>
  <c r="D6" i="13"/>
  <c r="AL52" i="8"/>
  <c r="AN52" i="8" s="1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B103" i="13"/>
  <c r="B102" i="13"/>
  <c r="B101" i="13"/>
  <c r="B100" i="13"/>
  <c r="B99" i="13"/>
  <c r="B98" i="13"/>
  <c r="B97" i="13"/>
  <c r="B96" i="13"/>
  <c r="B95" i="13"/>
  <c r="B94" i="13"/>
  <c r="B93" i="13"/>
  <c r="B92" i="13"/>
  <c r="B91" i="13"/>
  <c r="B90" i="13"/>
  <c r="B89" i="13"/>
  <c r="B88" i="13"/>
  <c r="B87" i="13"/>
  <c r="B86" i="13"/>
  <c r="B85" i="13"/>
  <c r="B84" i="13"/>
  <c r="B83" i="13"/>
  <c r="B82" i="13"/>
  <c r="B81" i="13"/>
  <c r="B80" i="13"/>
  <c r="B79" i="13"/>
  <c r="B78" i="13"/>
  <c r="B77" i="13"/>
  <c r="B76" i="13"/>
  <c r="B75" i="13"/>
  <c r="B74" i="13"/>
  <c r="B73" i="13"/>
  <c r="B72" i="13"/>
  <c r="B71" i="13"/>
  <c r="B70" i="13"/>
  <c r="B69" i="13"/>
  <c r="B68" i="13"/>
  <c r="B67" i="13"/>
  <c r="B66" i="13"/>
  <c r="B65" i="13"/>
  <c r="B64" i="13"/>
  <c r="B63" i="13"/>
  <c r="B62" i="13"/>
  <c r="B61" i="13"/>
  <c r="B60" i="13"/>
  <c r="B59" i="13"/>
  <c r="B58" i="13"/>
  <c r="B57" i="13"/>
  <c r="B56" i="13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7" i="13"/>
  <c r="B6" i="13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M25" i="13" l="1"/>
  <c r="N25" i="13"/>
  <c r="K25" i="13"/>
  <c r="K61" i="13"/>
  <c r="F21" i="13"/>
  <c r="G41" i="13"/>
  <c r="N61" i="13"/>
  <c r="M80" i="13"/>
  <c r="N80" i="13"/>
  <c r="H93" i="13"/>
  <c r="K81" i="13"/>
  <c r="M41" i="13"/>
  <c r="M81" i="13"/>
  <c r="G36" i="13"/>
  <c r="L41" i="13"/>
  <c r="K44" i="13"/>
  <c r="I21" i="13"/>
  <c r="L84" i="13"/>
  <c r="I23" i="13"/>
  <c r="F6" i="13"/>
  <c r="F22" i="13"/>
  <c r="N44" i="13"/>
  <c r="L85" i="13"/>
  <c r="N41" i="13"/>
  <c r="G21" i="13"/>
  <c r="G24" i="13"/>
  <c r="G22" i="13"/>
  <c r="M9" i="13"/>
  <c r="K45" i="13"/>
  <c r="M90" i="13"/>
  <c r="L44" i="13"/>
  <c r="F25" i="13"/>
  <c r="F45" i="13"/>
  <c r="H22" i="13"/>
  <c r="N9" i="13"/>
  <c r="N45" i="13"/>
  <c r="N90" i="13"/>
  <c r="I34" i="13"/>
  <c r="K14" i="13"/>
  <c r="K59" i="13"/>
  <c r="L81" i="13"/>
  <c r="N81" i="13"/>
  <c r="K84" i="13"/>
  <c r="L14" i="13"/>
  <c r="L59" i="13"/>
  <c r="F36" i="13"/>
  <c r="M14" i="13"/>
  <c r="N59" i="13"/>
  <c r="K95" i="13"/>
  <c r="H41" i="13"/>
  <c r="K60" i="13"/>
  <c r="L95" i="13"/>
  <c r="F13" i="13"/>
  <c r="F78" i="13"/>
  <c r="L60" i="13"/>
  <c r="M95" i="13"/>
  <c r="F40" i="13"/>
  <c r="G78" i="13"/>
  <c r="K20" i="13"/>
  <c r="M60" i="13"/>
  <c r="I20" i="13"/>
  <c r="N24" i="13"/>
  <c r="L99" i="13"/>
  <c r="M66" i="13"/>
  <c r="L26" i="13"/>
  <c r="L70" i="13"/>
  <c r="H14" i="13"/>
  <c r="M26" i="13"/>
  <c r="M70" i="13"/>
  <c r="L19" i="13"/>
  <c r="N26" i="13"/>
  <c r="L45" i="13"/>
  <c r="L61" i="13"/>
  <c r="N70" i="13"/>
  <c r="N84" i="13"/>
  <c r="K96" i="13"/>
  <c r="N69" i="13"/>
  <c r="K19" i="13"/>
  <c r="I36" i="13"/>
  <c r="F37" i="13"/>
  <c r="N19" i="13"/>
  <c r="K29" i="13"/>
  <c r="M61" i="13"/>
  <c r="K85" i="13"/>
  <c r="K99" i="13"/>
  <c r="G37" i="13"/>
  <c r="L29" i="13"/>
  <c r="I38" i="13"/>
  <c r="N6" i="13"/>
  <c r="L20" i="13"/>
  <c r="K46" i="13"/>
  <c r="K64" i="13"/>
  <c r="K75" i="13"/>
  <c r="M85" i="13"/>
  <c r="N99" i="13"/>
  <c r="M6" i="13"/>
  <c r="M20" i="13"/>
  <c r="K36" i="13"/>
  <c r="L46" i="13"/>
  <c r="L64" i="13"/>
  <c r="M75" i="13"/>
  <c r="K100" i="13"/>
  <c r="I9" i="13"/>
  <c r="G62" i="13"/>
  <c r="K6" i="13"/>
  <c r="K39" i="13"/>
  <c r="M46" i="13"/>
  <c r="N64" i="13"/>
  <c r="N75" i="13"/>
  <c r="K86" i="13"/>
  <c r="L100" i="13"/>
  <c r="K69" i="13"/>
  <c r="K8" i="13"/>
  <c r="K21" i="13"/>
  <c r="L39" i="13"/>
  <c r="K65" i="13"/>
  <c r="K76" i="13"/>
  <c r="L86" i="13"/>
  <c r="M100" i="13"/>
  <c r="L8" i="13"/>
  <c r="L21" i="13"/>
  <c r="N39" i="13"/>
  <c r="K49" i="13"/>
  <c r="L65" i="13"/>
  <c r="K79" i="13"/>
  <c r="M86" i="13"/>
  <c r="N100" i="13"/>
  <c r="L69" i="13"/>
  <c r="F81" i="13"/>
  <c r="M8" i="13"/>
  <c r="M21" i="13"/>
  <c r="K40" i="13"/>
  <c r="L49" i="13"/>
  <c r="M65" i="13"/>
  <c r="L79" i="13"/>
  <c r="K101" i="13"/>
  <c r="N66" i="13"/>
  <c r="I26" i="13"/>
  <c r="G8" i="13"/>
  <c r="H39" i="13"/>
  <c r="G81" i="13"/>
  <c r="N21" i="13"/>
  <c r="L40" i="13"/>
  <c r="N49" i="13"/>
  <c r="N65" i="13"/>
  <c r="N79" i="13"/>
  <c r="K89" i="13"/>
  <c r="L101" i="13"/>
  <c r="I22" i="13"/>
  <c r="H42" i="13"/>
  <c r="K9" i="13"/>
  <c r="K24" i="13"/>
  <c r="M40" i="13"/>
  <c r="K50" i="13"/>
  <c r="K66" i="13"/>
  <c r="K80" i="13"/>
  <c r="L89" i="13"/>
  <c r="M101" i="13"/>
  <c r="L24" i="13"/>
  <c r="K56" i="13"/>
  <c r="L80" i="13"/>
  <c r="N89" i="13"/>
  <c r="N101" i="13"/>
  <c r="N50" i="13"/>
  <c r="N67" i="13"/>
  <c r="M67" i="13"/>
  <c r="L67" i="13"/>
  <c r="K67" i="13"/>
  <c r="G31" i="13"/>
  <c r="F31" i="13"/>
  <c r="M31" i="13"/>
  <c r="N31" i="13"/>
  <c r="L31" i="13"/>
  <c r="N11" i="13"/>
  <c r="G11" i="13"/>
  <c r="M11" i="13"/>
  <c r="F11" i="13"/>
  <c r="L11" i="13"/>
  <c r="K11" i="13"/>
  <c r="F72" i="13"/>
  <c r="N72" i="13"/>
  <c r="M72" i="13"/>
  <c r="L72" i="13"/>
  <c r="K72" i="13"/>
  <c r="M15" i="13"/>
  <c r="N15" i="13"/>
  <c r="L15" i="13"/>
  <c r="H35" i="13"/>
  <c r="G35" i="13"/>
  <c r="M30" i="13"/>
  <c r="K55" i="13"/>
  <c r="N87" i="13"/>
  <c r="M87" i="13"/>
  <c r="L87" i="13"/>
  <c r="K87" i="13"/>
  <c r="N10" i="13"/>
  <c r="M10" i="13"/>
  <c r="L10" i="13"/>
  <c r="K10" i="13"/>
  <c r="N33" i="13"/>
  <c r="M33" i="13"/>
  <c r="L33" i="13"/>
  <c r="K33" i="13"/>
  <c r="M54" i="13"/>
  <c r="L54" i="13"/>
  <c r="K54" i="13"/>
  <c r="L30" i="13"/>
  <c r="H47" i="13"/>
  <c r="N30" i="13"/>
  <c r="L55" i="13"/>
  <c r="N47" i="13"/>
  <c r="M47" i="13"/>
  <c r="L47" i="13"/>
  <c r="K47" i="13"/>
  <c r="M51" i="13"/>
  <c r="N51" i="13"/>
  <c r="L51" i="13"/>
  <c r="H92" i="13"/>
  <c r="N92" i="13"/>
  <c r="M92" i="13"/>
  <c r="L92" i="13"/>
  <c r="K92" i="13"/>
  <c r="M13" i="13"/>
  <c r="L13" i="13"/>
  <c r="K13" i="13"/>
  <c r="G93" i="13"/>
  <c r="N93" i="13"/>
  <c r="M93" i="13"/>
  <c r="L93" i="13"/>
  <c r="K93" i="13"/>
  <c r="G74" i="13"/>
  <c r="M74" i="13"/>
  <c r="L74" i="13"/>
  <c r="K74" i="13"/>
  <c r="K31" i="13"/>
  <c r="M55" i="13"/>
  <c r="N73" i="13"/>
  <c r="M73" i="13"/>
  <c r="L73" i="13"/>
  <c r="K73" i="13"/>
  <c r="F94" i="13"/>
  <c r="M94" i="13"/>
  <c r="L94" i="13"/>
  <c r="K94" i="13"/>
  <c r="H29" i="13"/>
  <c r="I29" i="13"/>
  <c r="L50" i="13"/>
  <c r="K35" i="13"/>
  <c r="M91" i="13"/>
  <c r="L91" i="13"/>
  <c r="N91" i="13"/>
  <c r="I32" i="13"/>
  <c r="G32" i="13"/>
  <c r="F32" i="13"/>
  <c r="N32" i="13"/>
  <c r="M32" i="13"/>
  <c r="L32" i="13"/>
  <c r="K32" i="13"/>
  <c r="N53" i="13"/>
  <c r="M53" i="13"/>
  <c r="L53" i="13"/>
  <c r="K53" i="13"/>
  <c r="H34" i="13"/>
  <c r="M34" i="13"/>
  <c r="L34" i="13"/>
  <c r="K34" i="13"/>
  <c r="N54" i="13"/>
  <c r="L35" i="13"/>
  <c r="N27" i="13"/>
  <c r="M27" i="13"/>
  <c r="L27" i="13"/>
  <c r="K27" i="13"/>
  <c r="F30" i="13"/>
  <c r="I30" i="13"/>
  <c r="H30" i="13"/>
  <c r="G30" i="13"/>
  <c r="H71" i="13"/>
  <c r="L71" i="13"/>
  <c r="N71" i="13"/>
  <c r="M71" i="13"/>
  <c r="N52" i="13"/>
  <c r="M52" i="13"/>
  <c r="L52" i="13"/>
  <c r="K52" i="13"/>
  <c r="I10" i="13"/>
  <c r="M35" i="13"/>
  <c r="K90" i="13"/>
  <c r="N13" i="13"/>
  <c r="N35" i="13"/>
  <c r="G29" i="13"/>
  <c r="H19" i="13"/>
  <c r="F79" i="13"/>
  <c r="L6" i="13"/>
  <c r="M29" i="13"/>
  <c r="M59" i="13"/>
  <c r="M69" i="13"/>
  <c r="M79" i="13"/>
  <c r="M84" i="13"/>
  <c r="M89" i="13"/>
  <c r="M99" i="13"/>
  <c r="I51" i="13"/>
  <c r="L36" i="13"/>
  <c r="L56" i="13"/>
  <c r="L96" i="13"/>
  <c r="N56" i="13"/>
  <c r="F14" i="13"/>
  <c r="H54" i="13"/>
  <c r="I19" i="13"/>
  <c r="G48" i="13"/>
  <c r="I97" i="13"/>
  <c r="K16" i="13"/>
  <c r="K22" i="13"/>
  <c r="K37" i="13"/>
  <c r="K42" i="13"/>
  <c r="K57" i="13"/>
  <c r="K62" i="13"/>
  <c r="K77" i="13"/>
  <c r="K82" i="13"/>
  <c r="K97" i="13"/>
  <c r="K102" i="13"/>
  <c r="I52" i="13"/>
  <c r="G97" i="13"/>
  <c r="N36" i="13"/>
  <c r="N96" i="13"/>
  <c r="F58" i="13"/>
  <c r="G98" i="13"/>
  <c r="L16" i="13"/>
  <c r="L22" i="13"/>
  <c r="L37" i="13"/>
  <c r="L42" i="13"/>
  <c r="L57" i="13"/>
  <c r="L62" i="13"/>
  <c r="L77" i="13"/>
  <c r="L82" i="13"/>
  <c r="L97" i="13"/>
  <c r="L102" i="13"/>
  <c r="H32" i="13"/>
  <c r="M36" i="13"/>
  <c r="I13" i="13"/>
  <c r="H21" i="13"/>
  <c r="F41" i="13"/>
  <c r="G58" i="13"/>
  <c r="H98" i="13"/>
  <c r="M16" i="13"/>
  <c r="M22" i="13"/>
  <c r="M37" i="13"/>
  <c r="M42" i="13"/>
  <c r="M57" i="13"/>
  <c r="M62" i="13"/>
  <c r="M77" i="13"/>
  <c r="M82" i="13"/>
  <c r="M97" i="13"/>
  <c r="M102" i="13"/>
  <c r="H11" i="13"/>
  <c r="M76" i="13"/>
  <c r="H97" i="13"/>
  <c r="G17" i="13"/>
  <c r="H37" i="13"/>
  <c r="I98" i="13"/>
  <c r="N37" i="13"/>
  <c r="N57" i="13"/>
  <c r="N62" i="13"/>
  <c r="N77" i="13"/>
  <c r="N82" i="13"/>
  <c r="N97" i="13"/>
  <c r="N102" i="13"/>
  <c r="F48" i="13"/>
  <c r="H43" i="13"/>
  <c r="K17" i="13"/>
  <c r="K23" i="13"/>
  <c r="K28" i="13"/>
  <c r="K38" i="13"/>
  <c r="K43" i="13"/>
  <c r="K48" i="13"/>
  <c r="K58" i="13"/>
  <c r="K63" i="13"/>
  <c r="K68" i="13"/>
  <c r="K78" i="13"/>
  <c r="K83" i="13"/>
  <c r="K88" i="13"/>
  <c r="K98" i="13"/>
  <c r="K103" i="13"/>
  <c r="N76" i="13"/>
  <c r="H62" i="13"/>
  <c r="L17" i="13"/>
  <c r="L23" i="13"/>
  <c r="L28" i="13"/>
  <c r="L38" i="13"/>
  <c r="L43" i="13"/>
  <c r="L48" i="13"/>
  <c r="L58" i="13"/>
  <c r="L63" i="13"/>
  <c r="L68" i="13"/>
  <c r="L78" i="13"/>
  <c r="L83" i="13"/>
  <c r="L88" i="13"/>
  <c r="L98" i="13"/>
  <c r="L103" i="13"/>
  <c r="L76" i="13"/>
  <c r="M56" i="13"/>
  <c r="M17" i="13"/>
  <c r="M23" i="13"/>
  <c r="M28" i="13"/>
  <c r="M38" i="13"/>
  <c r="M43" i="13"/>
  <c r="M48" i="13"/>
  <c r="M58" i="13"/>
  <c r="M63" i="13"/>
  <c r="M68" i="13"/>
  <c r="M78" i="13"/>
  <c r="M83" i="13"/>
  <c r="M88" i="13"/>
  <c r="M98" i="13"/>
  <c r="M103" i="13"/>
  <c r="M96" i="13"/>
  <c r="F76" i="13"/>
  <c r="N38" i="13"/>
  <c r="N43" i="13"/>
  <c r="N88" i="13"/>
  <c r="N98" i="13"/>
  <c r="N103" i="13"/>
  <c r="F18" i="13"/>
  <c r="K18" i="13"/>
  <c r="L18" i="13"/>
  <c r="M18" i="13"/>
  <c r="K7" i="13"/>
  <c r="L7" i="13"/>
  <c r="M7" i="13"/>
  <c r="D4" i="13"/>
  <c r="K12" i="13"/>
  <c r="L12" i="13"/>
  <c r="M12" i="13"/>
  <c r="G47" i="13"/>
  <c r="G6" i="13"/>
  <c r="F35" i="13"/>
  <c r="I41" i="13"/>
  <c r="I47" i="13"/>
  <c r="I6" i="13"/>
  <c r="F23" i="13"/>
  <c r="H31" i="13"/>
  <c r="G44" i="13"/>
  <c r="G49" i="13"/>
  <c r="F86" i="13"/>
  <c r="G14" i="13"/>
  <c r="G23" i="13"/>
  <c r="I31" i="13"/>
  <c r="H44" i="13"/>
  <c r="H49" i="13"/>
  <c r="F66" i="13"/>
  <c r="G86" i="13"/>
  <c r="F63" i="13"/>
  <c r="I44" i="13"/>
  <c r="F15" i="13"/>
  <c r="H27" i="13"/>
  <c r="G45" i="13"/>
  <c r="G50" i="13"/>
  <c r="F69" i="13"/>
  <c r="F89" i="13"/>
  <c r="F83" i="13"/>
  <c r="I43" i="13"/>
  <c r="F44" i="13"/>
  <c r="F50" i="13"/>
  <c r="G16" i="13"/>
  <c r="G15" i="13"/>
  <c r="I27" i="13"/>
  <c r="H45" i="13"/>
  <c r="H50" i="13"/>
  <c r="F71" i="13"/>
  <c r="F91" i="13"/>
  <c r="G102" i="13"/>
  <c r="F43" i="13"/>
  <c r="G43" i="13"/>
  <c r="F84" i="13"/>
  <c r="I49" i="13"/>
  <c r="H15" i="13"/>
  <c r="F28" i="13"/>
  <c r="F33" i="13"/>
  <c r="F38" i="13"/>
  <c r="I45" i="13"/>
  <c r="I50" i="13"/>
  <c r="G71" i="13"/>
  <c r="G91" i="13"/>
  <c r="H48" i="13"/>
  <c r="G83" i="13"/>
  <c r="F49" i="13"/>
  <c r="G27" i="13"/>
  <c r="G68" i="13"/>
  <c r="I15" i="13"/>
  <c r="G28" i="13"/>
  <c r="G33" i="13"/>
  <c r="G38" i="13"/>
  <c r="F46" i="13"/>
  <c r="F53" i="13"/>
  <c r="F73" i="13"/>
  <c r="H91" i="13"/>
  <c r="H6" i="13"/>
  <c r="I48" i="13"/>
  <c r="F88" i="13"/>
  <c r="I14" i="13"/>
  <c r="G88" i="13"/>
  <c r="F19" i="13"/>
  <c r="H28" i="13"/>
  <c r="H33" i="13"/>
  <c r="H38" i="13"/>
  <c r="G46" i="13"/>
  <c r="G53" i="13"/>
  <c r="G73" i="13"/>
  <c r="I91" i="13"/>
  <c r="I40" i="13"/>
  <c r="G19" i="13"/>
  <c r="I28" i="13"/>
  <c r="I33" i="13"/>
  <c r="H46" i="13"/>
  <c r="H53" i="13"/>
  <c r="F74" i="13"/>
  <c r="F92" i="13"/>
  <c r="G92" i="13"/>
  <c r="G63" i="13"/>
  <c r="F64" i="13"/>
  <c r="F27" i="13"/>
  <c r="F68" i="13"/>
  <c r="F29" i="13"/>
  <c r="F34" i="13"/>
  <c r="I46" i="13"/>
  <c r="I53" i="13"/>
  <c r="G34" i="13"/>
  <c r="F47" i="13"/>
  <c r="I54" i="13"/>
  <c r="G76" i="13"/>
  <c r="F54" i="13"/>
  <c r="G54" i="13"/>
  <c r="F52" i="13"/>
  <c r="G52" i="13"/>
  <c r="H52" i="13"/>
  <c r="F51" i="13"/>
  <c r="G51" i="13"/>
  <c r="H51" i="13"/>
  <c r="F42" i="13"/>
  <c r="I42" i="13"/>
  <c r="G42" i="13"/>
  <c r="H40" i="13"/>
  <c r="G40" i="13"/>
  <c r="G39" i="13"/>
  <c r="I39" i="13"/>
  <c r="F39" i="13"/>
  <c r="F26" i="13"/>
  <c r="G26" i="13"/>
  <c r="H26" i="13"/>
  <c r="F24" i="13"/>
  <c r="H24" i="13"/>
  <c r="I24" i="13"/>
  <c r="F20" i="13"/>
  <c r="G20" i="13"/>
  <c r="H20" i="13"/>
  <c r="G18" i="13"/>
  <c r="H18" i="13"/>
  <c r="I18" i="13"/>
  <c r="F17" i="13"/>
  <c r="H17" i="13"/>
  <c r="I17" i="13"/>
  <c r="F16" i="13"/>
  <c r="I16" i="13"/>
  <c r="H16" i="13"/>
  <c r="I11" i="13"/>
  <c r="G13" i="13"/>
  <c r="H13" i="13"/>
  <c r="I12" i="13"/>
  <c r="H12" i="13"/>
  <c r="F12" i="13"/>
  <c r="G12" i="13"/>
  <c r="H10" i="13"/>
  <c r="F10" i="13"/>
  <c r="G10" i="13"/>
  <c r="G25" i="13"/>
  <c r="H25" i="13"/>
  <c r="I25" i="13"/>
  <c r="H23" i="13"/>
  <c r="F8" i="13"/>
  <c r="I8" i="13"/>
  <c r="H8" i="13"/>
  <c r="G9" i="13"/>
  <c r="H9" i="13"/>
  <c r="F9" i="13"/>
  <c r="H102" i="13"/>
  <c r="I102" i="13"/>
  <c r="F103" i="13"/>
  <c r="G103" i="13"/>
  <c r="H103" i="13"/>
  <c r="F99" i="13"/>
  <c r="G89" i="13"/>
  <c r="G94" i="13"/>
  <c r="G99" i="13"/>
  <c r="H89" i="13"/>
  <c r="H94" i="13"/>
  <c r="H99" i="13"/>
  <c r="I94" i="13"/>
  <c r="F90" i="13"/>
  <c r="F95" i="13"/>
  <c r="F100" i="13"/>
  <c r="G90" i="13"/>
  <c r="G95" i="13"/>
  <c r="G100" i="13"/>
  <c r="H90" i="13"/>
  <c r="H95" i="13"/>
  <c r="H100" i="13"/>
  <c r="I90" i="13"/>
  <c r="I95" i="13"/>
  <c r="F96" i="13"/>
  <c r="F101" i="13"/>
  <c r="G96" i="13"/>
  <c r="G101" i="13"/>
  <c r="H96" i="13"/>
  <c r="H101" i="13"/>
  <c r="H88" i="13"/>
  <c r="G87" i="13"/>
  <c r="H87" i="13"/>
  <c r="I87" i="13"/>
  <c r="F87" i="13"/>
  <c r="H86" i="13"/>
  <c r="I86" i="13"/>
  <c r="F85" i="13"/>
  <c r="G85" i="13"/>
  <c r="H85" i="13"/>
  <c r="I85" i="13"/>
  <c r="G84" i="13"/>
  <c r="H84" i="13"/>
  <c r="H83" i="13"/>
  <c r="I83" i="13"/>
  <c r="H82" i="13"/>
  <c r="I82" i="13"/>
  <c r="G82" i="13"/>
  <c r="H81" i="13"/>
  <c r="F80" i="13"/>
  <c r="G80" i="13"/>
  <c r="H80" i="13"/>
  <c r="G79" i="13"/>
  <c r="H79" i="13"/>
  <c r="H78" i="13"/>
  <c r="I78" i="13"/>
  <c r="G77" i="13"/>
  <c r="I77" i="13"/>
  <c r="H77" i="13"/>
  <c r="H76" i="13"/>
  <c r="F75" i="13"/>
  <c r="G75" i="13"/>
  <c r="H75" i="13"/>
  <c r="I75" i="13"/>
  <c r="H74" i="13"/>
  <c r="I74" i="13"/>
  <c r="H73" i="13"/>
  <c r="I73" i="13"/>
  <c r="I72" i="13"/>
  <c r="G72" i="13"/>
  <c r="H72" i="13"/>
  <c r="I71" i="13"/>
  <c r="F70" i="13"/>
  <c r="G70" i="13"/>
  <c r="H70" i="13"/>
  <c r="I70" i="13"/>
  <c r="H69" i="13"/>
  <c r="I69" i="13"/>
  <c r="H68" i="13"/>
  <c r="I68" i="13"/>
  <c r="H67" i="13"/>
  <c r="G67" i="13"/>
  <c r="I67" i="13"/>
  <c r="F67" i="13"/>
  <c r="G66" i="13"/>
  <c r="H66" i="13"/>
  <c r="I66" i="13"/>
  <c r="H65" i="13"/>
  <c r="G65" i="13"/>
  <c r="I65" i="13"/>
  <c r="G64" i="13"/>
  <c r="H64" i="13"/>
  <c r="I64" i="13"/>
  <c r="H63" i="13"/>
  <c r="I63" i="13"/>
  <c r="I62" i="13"/>
  <c r="F61" i="13"/>
  <c r="G61" i="13"/>
  <c r="H61" i="13"/>
  <c r="F60" i="13"/>
  <c r="G60" i="13"/>
  <c r="H60" i="13"/>
  <c r="I60" i="13"/>
  <c r="G59" i="13"/>
  <c r="H59" i="13"/>
  <c r="I59" i="13"/>
  <c r="H58" i="13"/>
  <c r="I58" i="13"/>
  <c r="G57" i="13"/>
  <c r="H57" i="13"/>
  <c r="I57" i="13"/>
  <c r="F56" i="13"/>
  <c r="G56" i="13"/>
  <c r="H56" i="13"/>
  <c r="H55" i="13"/>
  <c r="F55" i="13"/>
  <c r="G55" i="13"/>
  <c r="I55" i="13"/>
  <c r="H7" i="13"/>
  <c r="I7" i="13"/>
  <c r="F7" i="13"/>
  <c r="G7" i="13"/>
  <c r="O6" i="13" l="1"/>
  <c r="I4" i="13"/>
  <c r="F4" i="13"/>
  <c r="V6" i="9" l="1"/>
  <c r="S6" i="9"/>
  <c r="P6" i="9"/>
  <c r="M6" i="9"/>
  <c r="J6" i="9"/>
  <c r="AL44" i="8" s="1"/>
  <c r="AN44" i="8" s="1"/>
  <c r="V5" i="9"/>
  <c r="S5" i="9"/>
  <c r="P5" i="9"/>
  <c r="M5" i="9"/>
  <c r="J5" i="9"/>
  <c r="V4" i="9"/>
  <c r="S4" i="9"/>
  <c r="P4" i="9"/>
  <c r="M4" i="9"/>
  <c r="J4" i="9"/>
  <c r="S9" i="9"/>
  <c r="P9" i="9"/>
  <c r="M9" i="9"/>
  <c r="S8" i="9"/>
  <c r="P8" i="9"/>
  <c r="M8" i="9"/>
  <c r="J7" i="9"/>
  <c r="M7" i="9"/>
  <c r="P7" i="9"/>
  <c r="S7" i="9"/>
  <c r="V7" i="9"/>
  <c r="J8" i="9"/>
  <c r="V8" i="9"/>
  <c r="Y3" i="9"/>
  <c r="AL100" i="8"/>
  <c r="AL99" i="8"/>
  <c r="AL98" i="8"/>
  <c r="AL97" i="8"/>
  <c r="AL96" i="8"/>
  <c r="AL95" i="8"/>
  <c r="AL94" i="8"/>
  <c r="AL93" i="8"/>
  <c r="AL92" i="8"/>
  <c r="AL91" i="8"/>
  <c r="AL90" i="8"/>
  <c r="AL89" i="8"/>
  <c r="AL88" i="8"/>
  <c r="AL87" i="8"/>
  <c r="AL86" i="8"/>
  <c r="AL85" i="8"/>
  <c r="AL84" i="8"/>
  <c r="AL83" i="8"/>
  <c r="AL82" i="8"/>
  <c r="AL81" i="8"/>
  <c r="AL80" i="8"/>
  <c r="AL79" i="8"/>
  <c r="AL78" i="8"/>
  <c r="AL77" i="8"/>
  <c r="AL76" i="8"/>
  <c r="AL75" i="8"/>
  <c r="AL74" i="8"/>
  <c r="AL73" i="8"/>
  <c r="AL72" i="8"/>
  <c r="AL71" i="8"/>
  <c r="AL70" i="8"/>
  <c r="AL69" i="8"/>
  <c r="AL68" i="8"/>
  <c r="AL67" i="8"/>
  <c r="AL66" i="8"/>
  <c r="AL65" i="8"/>
  <c r="AL64" i="8"/>
  <c r="AL63" i="8"/>
  <c r="AL62" i="8"/>
  <c r="AL61" i="8"/>
  <c r="AL60" i="8"/>
  <c r="AL59" i="8"/>
  <c r="AL58" i="8"/>
  <c r="AL57" i="8"/>
  <c r="AL56" i="8"/>
  <c r="AL55" i="8"/>
  <c r="AL54" i="8"/>
  <c r="AL53" i="8"/>
  <c r="AL51" i="8"/>
  <c r="AL50" i="8"/>
  <c r="AL49" i="8"/>
  <c r="AO49" i="8" s="1"/>
  <c r="AL48" i="8"/>
  <c r="AL47" i="8"/>
  <c r="AO47" i="8" s="1"/>
  <c r="AL45" i="8"/>
  <c r="AL43" i="8"/>
  <c r="AQ43" i="8" s="1"/>
  <c r="AL42" i="8"/>
  <c r="AO42" i="8" s="1"/>
  <c r="AL41" i="8"/>
  <c r="AN41" i="8" s="1"/>
  <c r="AL40" i="8"/>
  <c r="AL39" i="8"/>
  <c r="AL38" i="8"/>
  <c r="AQ38" i="8" s="1"/>
  <c r="AL37" i="8"/>
  <c r="AP37" i="8" s="1"/>
  <c r="AL36" i="8"/>
  <c r="AL35" i="8"/>
  <c r="AN35" i="8" s="1"/>
  <c r="AL34" i="8"/>
  <c r="AL33" i="8"/>
  <c r="AN33" i="8" s="1"/>
  <c r="AL32" i="8"/>
  <c r="AN32" i="8" s="1"/>
  <c r="AL31" i="8"/>
  <c r="AO31" i="8" s="1"/>
  <c r="AL30" i="8"/>
  <c r="AL29" i="8"/>
  <c r="AN29" i="8" s="1"/>
  <c r="AL28" i="8"/>
  <c r="AL27" i="8"/>
  <c r="AO27" i="8" s="1"/>
  <c r="AL26" i="8"/>
  <c r="AO26" i="8" s="1"/>
  <c r="AL25" i="8"/>
  <c r="AL24" i="8"/>
  <c r="AO24" i="8" s="1"/>
  <c r="AL23" i="8"/>
  <c r="AQ23" i="8" s="1"/>
  <c r="AL22" i="8"/>
  <c r="AO22" i="8" s="1"/>
  <c r="AL21" i="8"/>
  <c r="AL20" i="8"/>
  <c r="AL19" i="8"/>
  <c r="AP19" i="8" s="1"/>
  <c r="AL18" i="8"/>
  <c r="AN18" i="8" s="1"/>
  <c r="AL17" i="8"/>
  <c r="AN17" i="8" s="1"/>
  <c r="AL16" i="8"/>
  <c r="AL15" i="8"/>
  <c r="AN15" i="8" s="1"/>
  <c r="AL14" i="8"/>
  <c r="AQ14" i="8" s="1"/>
  <c r="AL13" i="8"/>
  <c r="AO13" i="8" s="1"/>
  <c r="AL12" i="8"/>
  <c r="AQ12" i="8" s="1"/>
  <c r="AL11" i="8"/>
  <c r="AL10" i="8"/>
  <c r="AL9" i="8"/>
  <c r="AL8" i="8"/>
  <c r="AL7" i="8"/>
  <c r="AL6" i="8"/>
  <c r="AL5" i="8"/>
  <c r="AL3" i="8"/>
  <c r="AQ3" i="8" s="1"/>
  <c r="J10" i="9"/>
  <c r="J9" i="9"/>
  <c r="J3" i="9"/>
  <c r="AL46" i="8" l="1"/>
  <c r="AN46" i="8" s="1"/>
  <c r="AN26" i="8"/>
  <c r="AP38" i="8"/>
  <c r="AO38" i="8"/>
  <c r="AQ37" i="8"/>
  <c r="AN14" i="8"/>
  <c r="AO37" i="8"/>
  <c r="AQ51" i="8"/>
  <c r="AN51" i="8"/>
  <c r="AN30" i="8"/>
  <c r="AP51" i="8"/>
  <c r="AN11" i="8"/>
  <c r="AQ24" i="8"/>
  <c r="AQ20" i="8"/>
  <c r="AP20" i="8"/>
  <c r="AO20" i="8"/>
  <c r="AN31" i="8"/>
  <c r="AQ11" i="8"/>
  <c r="AP39" i="8"/>
  <c r="AN20" i="8"/>
  <c r="AP24" i="8"/>
  <c r="AP26" i="8"/>
  <c r="AN40" i="8"/>
  <c r="AN38" i="8"/>
  <c r="AO18" i="8"/>
  <c r="AO35" i="8"/>
  <c r="AQ19" i="8"/>
  <c r="AP41" i="8"/>
  <c r="AN24" i="8"/>
  <c r="AP44" i="8"/>
  <c r="AQ31" i="8"/>
  <c r="AN21" i="8"/>
  <c r="AN16" i="8"/>
  <c r="AQ35" i="8"/>
  <c r="AQ41" i="8"/>
  <c r="AO41" i="8"/>
  <c r="AO19" i="8"/>
  <c r="AQ44" i="8"/>
  <c r="AO44" i="8"/>
  <c r="AP31" i="8"/>
  <c r="AN37" i="8"/>
  <c r="AP35" i="8"/>
  <c r="AQ34" i="8"/>
  <c r="AP14" i="8"/>
  <c r="AP34" i="8"/>
  <c r="AN34" i="8"/>
  <c r="AQ39" i="8"/>
  <c r="AQ36" i="8"/>
  <c r="AN49" i="8"/>
  <c r="AO39" i="8"/>
  <c r="AO36" i="8"/>
  <c r="AQ29" i="8"/>
  <c r="AQ13" i="8"/>
  <c r="AN13" i="8"/>
  <c r="AP49" i="8"/>
  <c r="AO14" i="8"/>
  <c r="AP32" i="8"/>
  <c r="AP36" i="8"/>
  <c r="AN39" i="8"/>
  <c r="AN36" i="8"/>
  <c r="AQ33" i="8"/>
  <c r="AP29" i="8"/>
  <c r="AP13" i="8"/>
  <c r="AN50" i="8"/>
  <c r="AQ48" i="8"/>
  <c r="AP33" i="8"/>
  <c r="AO29" i="8"/>
  <c r="AQ18" i="8"/>
  <c r="AO15" i="8"/>
  <c r="AO34" i="8"/>
  <c r="AO33" i="8"/>
  <c r="AP18" i="8"/>
  <c r="AQ32" i="8"/>
  <c r="AO32" i="8"/>
  <c r="AQ28" i="8"/>
  <c r="AN22" i="8"/>
  <c r="AP22" i="8"/>
  <c r="AQ22" i="8"/>
  <c r="AN42" i="8"/>
  <c r="AP42" i="8"/>
  <c r="AQ42" i="8"/>
  <c r="AP43" i="8"/>
  <c r="AO43" i="8"/>
  <c r="AN43" i="8"/>
  <c r="AQ26" i="8"/>
  <c r="AN25" i="8"/>
  <c r="AP25" i="8"/>
  <c r="AO25" i="8"/>
  <c r="AQ25" i="8"/>
  <c r="AN45" i="8"/>
  <c r="AP45" i="8"/>
  <c r="AO45" i="8"/>
  <c r="AQ45" i="8"/>
  <c r="AP23" i="8"/>
  <c r="AO23" i="8"/>
  <c r="AN23" i="8"/>
  <c r="AQ49" i="8"/>
  <c r="AN27" i="8"/>
  <c r="AP27" i="8"/>
  <c r="AQ27" i="8"/>
  <c r="AN47" i="8"/>
  <c r="AP47" i="8"/>
  <c r="AQ47" i="8"/>
  <c r="AN28" i="8"/>
  <c r="AO28" i="8"/>
  <c r="AP28" i="8"/>
  <c r="AO48" i="8"/>
  <c r="AN48" i="8"/>
  <c r="AP48" i="8"/>
  <c r="AQ50" i="8"/>
  <c r="AQ40" i="8"/>
  <c r="AQ30" i="8"/>
  <c r="AP30" i="8"/>
  <c r="AO50" i="8"/>
  <c r="AO40" i="8"/>
  <c r="AO30" i="8"/>
  <c r="AP50" i="8"/>
  <c r="AP40" i="8"/>
  <c r="AN19" i="8"/>
  <c r="AQ21" i="8"/>
  <c r="AP21" i="8"/>
  <c r="AO21" i="8"/>
  <c r="AO51" i="8"/>
  <c r="AQ17" i="8"/>
  <c r="AP17" i="8"/>
  <c r="AO17" i="8"/>
  <c r="AQ16" i="8"/>
  <c r="AP16" i="8"/>
  <c r="AO16" i="8"/>
  <c r="AQ15" i="8"/>
  <c r="AP15" i="8"/>
  <c r="AP12" i="8"/>
  <c r="AO12" i="8"/>
  <c r="AN12" i="8"/>
  <c r="AP11" i="8"/>
  <c r="AO11" i="8"/>
  <c r="AP3" i="8"/>
  <c r="AN3" i="8"/>
  <c r="AO3" i="8"/>
  <c r="N3" i="13"/>
  <c r="N2" i="13"/>
  <c r="R103" i="13"/>
  <c r="Q101" i="13"/>
  <c r="Q100" i="13"/>
  <c r="R98" i="13"/>
  <c r="R88" i="13"/>
  <c r="R77" i="13"/>
  <c r="Q76" i="13"/>
  <c r="R72" i="13"/>
  <c r="Q66" i="13"/>
  <c r="Q60" i="13"/>
  <c r="Q22" i="13"/>
  <c r="R6" i="13"/>
  <c r="X3" i="13"/>
  <c r="W3" i="13"/>
  <c r="V3" i="13"/>
  <c r="K3" i="13"/>
  <c r="L3" i="13"/>
  <c r="M3" i="13"/>
  <c r="O3" i="13"/>
  <c r="Q3" i="13"/>
  <c r="R3" i="13"/>
  <c r="Q2" i="13"/>
  <c r="R2" i="13"/>
  <c r="M2" i="13"/>
  <c r="X4" i="13"/>
  <c r="W4" i="13"/>
  <c r="V4" i="13"/>
  <c r="X2" i="13"/>
  <c r="W2" i="13"/>
  <c r="V2" i="13"/>
  <c r="O2" i="13"/>
  <c r="L2" i="13"/>
  <c r="K2" i="13"/>
  <c r="I2" i="13"/>
  <c r="H2" i="13"/>
  <c r="G2" i="13"/>
  <c r="F2" i="13"/>
  <c r="AQ46" i="8" l="1"/>
  <c r="AO46" i="8"/>
  <c r="AP46" i="8"/>
  <c r="Q83" i="13"/>
  <c r="Q99" i="13"/>
  <c r="Q57" i="13"/>
  <c r="R101" i="13"/>
  <c r="Q96" i="13"/>
  <c r="R61" i="13"/>
  <c r="Q95" i="13"/>
  <c r="Q56" i="13"/>
  <c r="R56" i="13"/>
  <c r="R96" i="13"/>
  <c r="R97" i="13"/>
  <c r="Q80" i="13"/>
  <c r="R76" i="13"/>
  <c r="Q77" i="13"/>
  <c r="Q75" i="13"/>
  <c r="R42" i="13"/>
  <c r="Q42" i="13"/>
  <c r="Q40" i="13"/>
  <c r="R28" i="13"/>
  <c r="R47" i="13"/>
  <c r="Q59" i="13"/>
  <c r="Q61" i="13"/>
  <c r="R12" i="13"/>
  <c r="R32" i="13"/>
  <c r="R44" i="13"/>
  <c r="R78" i="13"/>
  <c r="R58" i="13"/>
  <c r="Q79" i="13"/>
  <c r="R81" i="13"/>
  <c r="Q81" i="13"/>
  <c r="R46" i="13"/>
  <c r="R82" i="13"/>
  <c r="R102" i="13"/>
  <c r="Q82" i="13"/>
  <c r="Q102" i="13"/>
  <c r="R22" i="13"/>
  <c r="R17" i="13"/>
  <c r="Q55" i="13"/>
  <c r="Q17" i="13"/>
  <c r="R57" i="13"/>
  <c r="Q16" i="13"/>
  <c r="R16" i="13"/>
  <c r="R36" i="13"/>
  <c r="Q36" i="13"/>
  <c r="R21" i="13"/>
  <c r="Q21" i="13"/>
  <c r="R41" i="13"/>
  <c r="Q41" i="13"/>
  <c r="Q23" i="13"/>
  <c r="Q103" i="13"/>
  <c r="R63" i="13"/>
  <c r="R83" i="13"/>
  <c r="Q63" i="13"/>
  <c r="Q97" i="13"/>
  <c r="Q62" i="13"/>
  <c r="R62" i="13"/>
  <c r="Q6" i="13"/>
  <c r="Q90" i="13"/>
  <c r="Q31" i="13"/>
  <c r="R86" i="13"/>
  <c r="Q48" i="13"/>
  <c r="R29" i="13"/>
  <c r="Q29" i="13"/>
  <c r="Q87" i="13"/>
  <c r="Q7" i="13"/>
  <c r="R45" i="13"/>
  <c r="R85" i="13"/>
  <c r="R64" i="13"/>
  <c r="Q49" i="13"/>
  <c r="R49" i="13"/>
  <c r="R84" i="13"/>
  <c r="Q24" i="13"/>
  <c r="Q64" i="13"/>
  <c r="Q85" i="13"/>
  <c r="R67" i="13"/>
  <c r="Q25" i="13"/>
  <c r="Q65" i="13"/>
  <c r="R7" i="13"/>
  <c r="R87" i="13"/>
  <c r="R25" i="13"/>
  <c r="Q44" i="13"/>
  <c r="Q84" i="13"/>
  <c r="R26" i="13"/>
  <c r="R66" i="13"/>
  <c r="Q8" i="13"/>
  <c r="Q86" i="13"/>
  <c r="Q26" i="13"/>
  <c r="R8" i="13"/>
  <c r="R48" i="13"/>
  <c r="Q88" i="13"/>
  <c r="Q9" i="13"/>
  <c r="R9" i="13"/>
  <c r="Q27" i="13"/>
  <c r="Q67" i="13"/>
  <c r="R65" i="13"/>
  <c r="Q45" i="13"/>
  <c r="R27" i="13"/>
  <c r="Q89" i="13"/>
  <c r="R89" i="13"/>
  <c r="Q28" i="13"/>
  <c r="Q69" i="13"/>
  <c r="R69" i="13"/>
  <c r="R24" i="13"/>
  <c r="Q68" i="13"/>
  <c r="Q46" i="13"/>
  <c r="R68" i="13"/>
  <c r="Q47" i="13"/>
  <c r="R11" i="13"/>
  <c r="R71" i="13"/>
  <c r="Q11" i="13"/>
  <c r="Q51" i="13"/>
  <c r="R33" i="13"/>
  <c r="Q12" i="13"/>
  <c r="Q32" i="13"/>
  <c r="Q52" i="13"/>
  <c r="Q72" i="13"/>
  <c r="Q92" i="13"/>
  <c r="R14" i="13"/>
  <c r="R34" i="13"/>
  <c r="R54" i="13"/>
  <c r="R74" i="13"/>
  <c r="R94" i="13"/>
  <c r="Q13" i="13"/>
  <c r="Q33" i="13"/>
  <c r="Q53" i="13"/>
  <c r="Q73" i="13"/>
  <c r="Q93" i="13"/>
  <c r="R55" i="13"/>
  <c r="R75" i="13"/>
  <c r="R95" i="13"/>
  <c r="R30" i="13"/>
  <c r="R70" i="13"/>
  <c r="Q70" i="13"/>
  <c r="Q14" i="13"/>
  <c r="Q34" i="13"/>
  <c r="Q54" i="13"/>
  <c r="Q74" i="13"/>
  <c r="Q94" i="13"/>
  <c r="R10" i="13"/>
  <c r="R50" i="13"/>
  <c r="R90" i="13"/>
  <c r="R31" i="13"/>
  <c r="R91" i="13"/>
  <c r="Q10" i="13"/>
  <c r="Q71" i="13"/>
  <c r="R73" i="13"/>
  <c r="R51" i="13"/>
  <c r="Q30" i="13"/>
  <c r="Q91" i="13"/>
  <c r="R13" i="13"/>
  <c r="R53" i="13"/>
  <c r="R93" i="13"/>
  <c r="Q50" i="13"/>
  <c r="R59" i="13"/>
  <c r="R79" i="13"/>
  <c r="R99" i="13"/>
  <c r="Q58" i="13"/>
  <c r="Q78" i="13"/>
  <c r="Q98" i="13"/>
  <c r="R40" i="13"/>
  <c r="R60" i="13"/>
  <c r="R80" i="13"/>
  <c r="R100" i="13"/>
  <c r="R52" i="13"/>
  <c r="R92" i="13"/>
  <c r="O81" i="13" l="1"/>
  <c r="O61" i="13"/>
  <c r="R18" i="13"/>
  <c r="Q39" i="13"/>
  <c r="O77" i="13"/>
  <c r="O79" i="13"/>
  <c r="O59" i="13"/>
  <c r="O96" i="13"/>
  <c r="O56" i="13"/>
  <c r="O101" i="13"/>
  <c r="O97" i="13"/>
  <c r="O80" i="13"/>
  <c r="O76" i="13"/>
  <c r="O57" i="13"/>
  <c r="R15" i="13"/>
  <c r="O100" i="13"/>
  <c r="O74" i="13"/>
  <c r="Q15" i="13"/>
  <c r="Q35" i="13"/>
  <c r="R38" i="13"/>
  <c r="R35" i="13"/>
  <c r="O75" i="13"/>
  <c r="R20" i="13"/>
  <c r="R39" i="13"/>
  <c r="R19" i="13"/>
  <c r="Q20" i="13"/>
  <c r="R37" i="13"/>
  <c r="Q18" i="13"/>
  <c r="Q37" i="13"/>
  <c r="Q38" i="13"/>
  <c r="Q19" i="13"/>
  <c r="O99" i="13"/>
  <c r="O60" i="13"/>
  <c r="O83" i="13"/>
  <c r="O55" i="13"/>
  <c r="O95" i="13"/>
  <c r="R43" i="13"/>
  <c r="O98" i="13"/>
  <c r="Q43" i="13"/>
  <c r="O78" i="13"/>
  <c r="O58" i="13"/>
  <c r="O63" i="13"/>
  <c r="R23" i="13"/>
  <c r="O64" i="13"/>
  <c r="O103" i="13"/>
  <c r="O66" i="13"/>
  <c r="O102" i="13"/>
  <c r="O85" i="13"/>
  <c r="O90" i="13"/>
  <c r="O70" i="13"/>
  <c r="O71" i="13"/>
  <c r="O86" i="13"/>
  <c r="O69" i="13"/>
  <c r="O92" i="13"/>
  <c r="O68" i="13"/>
  <c r="O87" i="13"/>
  <c r="O94" i="13"/>
  <c r="O93" i="13"/>
  <c r="O82" i="13"/>
  <c r="O62" i="13"/>
  <c r="O72" i="13"/>
  <c r="O91" i="13"/>
  <c r="O89" i="13"/>
  <c r="O65" i="13"/>
  <c r="O67" i="13"/>
  <c r="O84" i="13"/>
  <c r="O88" i="13"/>
  <c r="O73" i="13"/>
  <c r="AO4" i="9"/>
  <c r="AR4" i="9"/>
  <c r="AU4" i="9"/>
  <c r="AO5" i="9"/>
  <c r="AR5" i="9"/>
  <c r="AU5" i="9"/>
  <c r="AO6" i="9"/>
  <c r="AR6" i="9"/>
  <c r="AU6" i="9"/>
  <c r="AO7" i="9"/>
  <c r="AR7" i="9"/>
  <c r="AU7" i="9"/>
  <c r="AO8" i="9"/>
  <c r="AR8" i="9"/>
  <c r="AU8" i="9"/>
  <c r="AO9" i="9"/>
  <c r="AR9" i="9"/>
  <c r="AU9" i="9"/>
  <c r="AO10" i="9"/>
  <c r="AR10" i="9"/>
  <c r="AU10" i="9"/>
  <c r="AU3" i="9"/>
  <c r="AR3" i="9"/>
  <c r="AO3" i="9"/>
  <c r="AL3" i="9"/>
  <c r="AL10" i="9"/>
  <c r="AL9" i="9"/>
  <c r="AL8" i="9"/>
  <c r="AL7" i="9"/>
  <c r="AL6" i="9"/>
  <c r="AL5" i="9"/>
  <c r="AL4" i="9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AD3" i="9"/>
  <c r="AG10" i="9"/>
  <c r="AG9" i="9"/>
  <c r="AG8" i="9"/>
  <c r="AG7" i="9"/>
  <c r="AG6" i="9"/>
  <c r="AG5" i="9"/>
  <c r="AG4" i="9"/>
  <c r="AG3" i="9"/>
  <c r="AF10" i="9"/>
  <c r="AF9" i="9"/>
  <c r="AF8" i="9"/>
  <c r="AF7" i="9"/>
  <c r="AF6" i="9"/>
  <c r="AF5" i="9"/>
  <c r="AF4" i="9"/>
  <c r="AF3" i="9"/>
  <c r="AE10" i="9"/>
  <c r="AE9" i="9"/>
  <c r="AE8" i="9"/>
  <c r="AE7" i="9"/>
  <c r="AE6" i="9"/>
  <c r="AE5" i="9"/>
  <c r="AE4" i="9"/>
  <c r="AE3" i="9"/>
  <c r="AD10" i="9"/>
  <c r="AD9" i="9"/>
  <c r="AD8" i="9"/>
  <c r="AD7" i="9"/>
  <c r="AD5" i="9"/>
  <c r="AD4" i="9"/>
  <c r="AD6" i="9"/>
  <c r="V10" i="9"/>
  <c r="V9" i="9"/>
  <c r="V3" i="9"/>
  <c r="S10" i="9"/>
  <c r="S3" i="9"/>
  <c r="P10" i="9"/>
  <c r="P3" i="9"/>
  <c r="M10" i="9"/>
  <c r="M3" i="9"/>
  <c r="J102" i="8"/>
  <c r="BJ52" i="8"/>
  <c r="BI52" i="8"/>
  <c r="BH52" i="8"/>
  <c r="BG52" i="8"/>
  <c r="BJ100" i="8"/>
  <c r="BI100" i="8"/>
  <c r="BH100" i="8"/>
  <c r="BG100" i="8"/>
  <c r="BJ99" i="8"/>
  <c r="BI99" i="8"/>
  <c r="BH99" i="8"/>
  <c r="BG99" i="8"/>
  <c r="BJ98" i="8"/>
  <c r="BI98" i="8"/>
  <c r="BH98" i="8"/>
  <c r="BG98" i="8"/>
  <c r="BJ97" i="8"/>
  <c r="BI97" i="8"/>
  <c r="BH97" i="8"/>
  <c r="BG97" i="8"/>
  <c r="BJ96" i="8"/>
  <c r="BI96" i="8"/>
  <c r="BH96" i="8"/>
  <c r="BG96" i="8"/>
  <c r="BJ95" i="8"/>
  <c r="BI95" i="8"/>
  <c r="BH95" i="8"/>
  <c r="BG95" i="8"/>
  <c r="BJ94" i="8"/>
  <c r="BI94" i="8"/>
  <c r="BH94" i="8"/>
  <c r="BG94" i="8"/>
  <c r="BJ93" i="8"/>
  <c r="BI93" i="8"/>
  <c r="BH93" i="8"/>
  <c r="BG93" i="8"/>
  <c r="BJ92" i="8"/>
  <c r="BI92" i="8"/>
  <c r="BH92" i="8"/>
  <c r="BG92" i="8"/>
  <c r="BJ91" i="8"/>
  <c r="BI91" i="8"/>
  <c r="BH91" i="8"/>
  <c r="BG91" i="8"/>
  <c r="BJ90" i="8"/>
  <c r="BI90" i="8"/>
  <c r="BH90" i="8"/>
  <c r="BG90" i="8"/>
  <c r="BJ89" i="8"/>
  <c r="BI89" i="8"/>
  <c r="BH89" i="8"/>
  <c r="BG89" i="8"/>
  <c r="BJ88" i="8"/>
  <c r="BI88" i="8"/>
  <c r="BH88" i="8"/>
  <c r="BG88" i="8"/>
  <c r="BJ87" i="8"/>
  <c r="BI87" i="8"/>
  <c r="BH87" i="8"/>
  <c r="BG87" i="8"/>
  <c r="BJ86" i="8"/>
  <c r="BI86" i="8"/>
  <c r="BH86" i="8"/>
  <c r="BG86" i="8"/>
  <c r="BJ85" i="8"/>
  <c r="BI85" i="8"/>
  <c r="BH85" i="8"/>
  <c r="BG85" i="8"/>
  <c r="BJ84" i="8"/>
  <c r="BI84" i="8"/>
  <c r="BH84" i="8"/>
  <c r="BG84" i="8"/>
  <c r="BJ83" i="8"/>
  <c r="BI83" i="8"/>
  <c r="BH83" i="8"/>
  <c r="BG83" i="8"/>
  <c r="BJ82" i="8"/>
  <c r="BI82" i="8"/>
  <c r="BH82" i="8"/>
  <c r="BG82" i="8"/>
  <c r="BJ81" i="8"/>
  <c r="BI81" i="8"/>
  <c r="BH81" i="8"/>
  <c r="BG81" i="8"/>
  <c r="BJ80" i="8"/>
  <c r="BI80" i="8"/>
  <c r="BH80" i="8"/>
  <c r="BG80" i="8"/>
  <c r="BJ79" i="8"/>
  <c r="BI79" i="8"/>
  <c r="BH79" i="8"/>
  <c r="BG79" i="8"/>
  <c r="BJ78" i="8"/>
  <c r="BI78" i="8"/>
  <c r="BH78" i="8"/>
  <c r="BG78" i="8"/>
  <c r="BJ77" i="8"/>
  <c r="BI77" i="8"/>
  <c r="BH77" i="8"/>
  <c r="BG77" i="8"/>
  <c r="BJ76" i="8"/>
  <c r="BI76" i="8"/>
  <c r="BH76" i="8"/>
  <c r="BG76" i="8"/>
  <c r="BJ75" i="8"/>
  <c r="BI75" i="8"/>
  <c r="BH75" i="8"/>
  <c r="BG75" i="8"/>
  <c r="BJ74" i="8"/>
  <c r="BI74" i="8"/>
  <c r="BH74" i="8"/>
  <c r="BG74" i="8"/>
  <c r="BJ73" i="8"/>
  <c r="BI73" i="8"/>
  <c r="BH73" i="8"/>
  <c r="BG73" i="8"/>
  <c r="BJ72" i="8"/>
  <c r="BI72" i="8"/>
  <c r="BH72" i="8"/>
  <c r="BG72" i="8"/>
  <c r="BJ71" i="8"/>
  <c r="BI71" i="8"/>
  <c r="BH71" i="8"/>
  <c r="BG71" i="8"/>
  <c r="BJ70" i="8"/>
  <c r="BI70" i="8"/>
  <c r="BH70" i="8"/>
  <c r="BG70" i="8"/>
  <c r="BJ69" i="8"/>
  <c r="BI69" i="8"/>
  <c r="BH69" i="8"/>
  <c r="BG69" i="8"/>
  <c r="BJ68" i="8"/>
  <c r="BI68" i="8"/>
  <c r="BH68" i="8"/>
  <c r="BG68" i="8"/>
  <c r="BJ67" i="8"/>
  <c r="BI67" i="8"/>
  <c r="BH67" i="8"/>
  <c r="BG67" i="8"/>
  <c r="BJ66" i="8"/>
  <c r="BI66" i="8"/>
  <c r="BH66" i="8"/>
  <c r="BG66" i="8"/>
  <c r="BJ65" i="8"/>
  <c r="BI65" i="8"/>
  <c r="BH65" i="8"/>
  <c r="BG65" i="8"/>
  <c r="BJ64" i="8"/>
  <c r="BI64" i="8"/>
  <c r="BH64" i="8"/>
  <c r="BG64" i="8"/>
  <c r="BJ63" i="8"/>
  <c r="BI63" i="8"/>
  <c r="BH63" i="8"/>
  <c r="BG63" i="8"/>
  <c r="BJ62" i="8"/>
  <c r="BI62" i="8"/>
  <c r="BH62" i="8"/>
  <c r="BG62" i="8"/>
  <c r="BJ61" i="8"/>
  <c r="BI61" i="8"/>
  <c r="BH61" i="8"/>
  <c r="BG61" i="8"/>
  <c r="BJ60" i="8"/>
  <c r="BI60" i="8"/>
  <c r="BH60" i="8"/>
  <c r="BG60" i="8"/>
  <c r="BJ59" i="8"/>
  <c r="BI59" i="8"/>
  <c r="BH59" i="8"/>
  <c r="BG59" i="8"/>
  <c r="BJ58" i="8"/>
  <c r="BI58" i="8"/>
  <c r="BH58" i="8"/>
  <c r="BG58" i="8"/>
  <c r="BJ57" i="8"/>
  <c r="BI57" i="8"/>
  <c r="BH57" i="8"/>
  <c r="BG57" i="8"/>
  <c r="BJ56" i="8"/>
  <c r="BI56" i="8"/>
  <c r="BH56" i="8"/>
  <c r="BG56" i="8"/>
  <c r="BJ55" i="8"/>
  <c r="BI55" i="8"/>
  <c r="BH55" i="8"/>
  <c r="BG55" i="8"/>
  <c r="BJ54" i="8"/>
  <c r="BI54" i="8"/>
  <c r="BH54" i="8"/>
  <c r="BG54" i="8"/>
  <c r="BJ53" i="8"/>
  <c r="BI53" i="8"/>
  <c r="BH53" i="8"/>
  <c r="BG53" i="8"/>
  <c r="A16" i="2"/>
  <c r="D16" i="2"/>
  <c r="F16" i="2"/>
  <c r="A17" i="2"/>
  <c r="D17" i="2"/>
  <c r="F17" i="2"/>
  <c r="A18" i="2"/>
  <c r="D18" i="2"/>
  <c r="F18" i="2"/>
  <c r="A19" i="2"/>
  <c r="D19" i="2"/>
  <c r="F19" i="2"/>
  <c r="A20" i="2"/>
  <c r="D20" i="2"/>
  <c r="F20" i="2"/>
  <c r="A21" i="2"/>
  <c r="D21" i="2"/>
  <c r="F21" i="2"/>
  <c r="A22" i="2"/>
  <c r="D22" i="2"/>
  <c r="F22" i="2"/>
  <c r="A23" i="2"/>
  <c r="D23" i="2"/>
  <c r="F23" i="2"/>
  <c r="A24" i="2"/>
  <c r="D24" i="2"/>
  <c r="F24" i="2"/>
  <c r="A25" i="2"/>
  <c r="D25" i="2"/>
  <c r="F25" i="2"/>
  <c r="A26" i="2"/>
  <c r="D26" i="2"/>
  <c r="F26" i="2"/>
  <c r="A27" i="2"/>
  <c r="D27" i="2"/>
  <c r="F27" i="2"/>
  <c r="A28" i="2"/>
  <c r="D28" i="2"/>
  <c r="F28" i="2"/>
  <c r="A29" i="2"/>
  <c r="D29" i="2"/>
  <c r="F29" i="2"/>
  <c r="A30" i="2"/>
  <c r="D30" i="2"/>
  <c r="F30" i="2"/>
  <c r="A31" i="2"/>
  <c r="D31" i="2"/>
  <c r="F31" i="2"/>
  <c r="A32" i="2"/>
  <c r="D32" i="2"/>
  <c r="F32" i="2"/>
  <c r="A33" i="2"/>
  <c r="D33" i="2"/>
  <c r="F33" i="2"/>
  <c r="A34" i="2"/>
  <c r="D34" i="2"/>
  <c r="F34" i="2"/>
  <c r="A35" i="2"/>
  <c r="D35" i="2"/>
  <c r="F35" i="2"/>
  <c r="A36" i="2"/>
  <c r="D36" i="2"/>
  <c r="F36" i="2"/>
  <c r="A37" i="2"/>
  <c r="D37" i="2"/>
  <c r="F37" i="2"/>
  <c r="A38" i="2"/>
  <c r="D38" i="2"/>
  <c r="F38" i="2"/>
  <c r="A39" i="2"/>
  <c r="D39" i="2"/>
  <c r="F39" i="2"/>
  <c r="A40" i="2"/>
  <c r="D40" i="2"/>
  <c r="F40" i="2"/>
  <c r="A41" i="2"/>
  <c r="D41" i="2"/>
  <c r="F41" i="2"/>
  <c r="A42" i="2"/>
  <c r="D42" i="2"/>
  <c r="F42" i="2"/>
  <c r="A43" i="2"/>
  <c r="D43" i="2"/>
  <c r="F43" i="2"/>
  <c r="A44" i="2"/>
  <c r="D44" i="2"/>
  <c r="F44" i="2"/>
  <c r="A45" i="2"/>
  <c r="D45" i="2"/>
  <c r="F45" i="2"/>
  <c r="A46" i="2"/>
  <c r="D46" i="2"/>
  <c r="F46" i="2"/>
  <c r="A47" i="2"/>
  <c r="D47" i="2"/>
  <c r="F47" i="2"/>
  <c r="A48" i="2"/>
  <c r="D48" i="2"/>
  <c r="F48" i="2"/>
  <c r="A49" i="2"/>
  <c r="D49" i="2"/>
  <c r="F49" i="2"/>
  <c r="A50" i="2"/>
  <c r="D50" i="2"/>
  <c r="F50" i="2"/>
  <c r="A51" i="2"/>
  <c r="D51" i="2"/>
  <c r="F51" i="2"/>
  <c r="A52" i="2"/>
  <c r="D52" i="2"/>
  <c r="F52" i="2"/>
  <c r="A53" i="2"/>
  <c r="D53" i="2"/>
  <c r="F53" i="2"/>
  <c r="A54" i="2"/>
  <c r="D54" i="2"/>
  <c r="F54" i="2"/>
  <c r="A55" i="2"/>
  <c r="D55" i="2"/>
  <c r="F55" i="2"/>
  <c r="A56" i="2"/>
  <c r="D56" i="2"/>
  <c r="F56" i="2"/>
  <c r="A57" i="2"/>
  <c r="D57" i="2"/>
  <c r="F57" i="2"/>
  <c r="A58" i="2"/>
  <c r="D58" i="2"/>
  <c r="F58" i="2"/>
  <c r="A59" i="2"/>
  <c r="D59" i="2"/>
  <c r="F59" i="2"/>
  <c r="A60" i="2"/>
  <c r="D60" i="2"/>
  <c r="F60" i="2"/>
  <c r="A61" i="2"/>
  <c r="D61" i="2"/>
  <c r="F61" i="2"/>
  <c r="A62" i="2"/>
  <c r="D62" i="2"/>
  <c r="F62" i="2"/>
  <c r="A63" i="2"/>
  <c r="D63" i="2"/>
  <c r="F63" i="2"/>
  <c r="A64" i="2"/>
  <c r="D64" i="2"/>
  <c r="F64" i="2"/>
  <c r="A65" i="2"/>
  <c r="D65" i="2"/>
  <c r="F65" i="2"/>
  <c r="A66" i="2"/>
  <c r="D66" i="2"/>
  <c r="F66" i="2"/>
  <c r="A67" i="2"/>
  <c r="D67" i="2"/>
  <c r="F67" i="2"/>
  <c r="A68" i="2"/>
  <c r="D68" i="2"/>
  <c r="F68" i="2"/>
  <c r="BC282" i="7"/>
  <c r="BC281" i="7"/>
  <c r="BC280" i="7"/>
  <c r="BC278" i="7"/>
  <c r="BC277" i="7"/>
  <c r="BC276" i="7"/>
  <c r="BC275" i="7"/>
  <c r="BC274" i="7"/>
  <c r="BC273" i="7"/>
  <c r="BC263" i="7"/>
  <c r="BC262" i="7"/>
  <c r="BC261" i="7"/>
  <c r="BC241" i="7"/>
  <c r="BC240" i="7"/>
  <c r="BC239" i="7"/>
  <c r="BC238" i="7"/>
  <c r="BC237" i="7"/>
  <c r="BC236" i="7"/>
  <c r="BC235" i="7"/>
  <c r="BC234" i="7"/>
  <c r="BC233" i="7"/>
  <c r="BC222" i="7"/>
  <c r="BC221" i="7"/>
  <c r="BC220" i="7"/>
  <c r="BC201" i="7"/>
  <c r="BC200" i="7"/>
  <c r="BC199" i="7"/>
  <c r="BC198" i="7"/>
  <c r="BC197" i="7"/>
  <c r="BC196" i="7"/>
  <c r="BC195" i="7"/>
  <c r="BC194" i="7"/>
  <c r="BC193" i="7"/>
  <c r="BC181" i="7"/>
  <c r="BC180" i="7"/>
  <c r="BC179" i="7"/>
  <c r="BC160" i="7"/>
  <c r="BC159" i="7"/>
  <c r="BC158" i="7"/>
  <c r="BC157" i="7"/>
  <c r="BC156" i="7"/>
  <c r="BC155" i="7"/>
  <c r="BC154" i="7"/>
  <c r="BC153" i="7"/>
  <c r="BC142" i="7"/>
  <c r="BC141" i="7"/>
  <c r="BC140" i="7"/>
  <c r="BC139" i="7"/>
  <c r="BC119" i="7"/>
  <c r="BC118" i="7"/>
  <c r="BC117" i="7"/>
  <c r="BC116" i="7"/>
  <c r="BC115" i="7"/>
  <c r="BC114" i="7"/>
  <c r="BC113" i="7"/>
  <c r="BC102" i="7"/>
  <c r="BC101" i="7"/>
  <c r="BC100" i="7"/>
  <c r="BC99" i="7"/>
  <c r="BC98" i="7"/>
  <c r="BC78" i="7"/>
  <c r="BC77" i="7"/>
  <c r="BC76" i="7"/>
  <c r="BC75" i="7"/>
  <c r="BC74" i="7"/>
  <c r="BC73" i="7"/>
  <c r="BC61" i="7"/>
  <c r="BC60" i="7"/>
  <c r="BC59" i="7"/>
  <c r="BC58" i="7"/>
  <c r="BC57" i="7"/>
  <c r="BC56" i="7"/>
  <c r="BC36" i="7"/>
  <c r="BC35" i="7"/>
  <c r="BC34" i="7"/>
  <c r="BC33" i="7"/>
  <c r="BC21" i="7"/>
  <c r="BC20" i="7"/>
  <c r="BC19" i="7"/>
  <c r="BC18" i="7"/>
  <c r="BC17" i="7"/>
  <c r="BC16" i="7"/>
  <c r="BC15" i="7"/>
  <c r="BC14" i="7"/>
  <c r="BC13" i="7"/>
  <c r="BC2" i="7"/>
  <c r="BC292" i="7" s="1"/>
  <c r="BN301" i="7"/>
  <c r="BN300" i="7"/>
  <c r="BN299" i="7"/>
  <c r="BN298" i="7"/>
  <c r="BN297" i="7"/>
  <c r="BN296" i="7"/>
  <c r="BN295" i="7"/>
  <c r="BN294" i="7"/>
  <c r="BN293" i="7"/>
  <c r="BN292" i="7"/>
  <c r="BN291" i="7"/>
  <c r="BN290" i="7"/>
  <c r="BN289" i="7"/>
  <c r="BN288" i="7"/>
  <c r="BN287" i="7"/>
  <c r="BN286" i="7"/>
  <c r="BN285" i="7"/>
  <c r="BN284" i="7"/>
  <c r="BN283" i="7"/>
  <c r="BN282" i="7"/>
  <c r="BN281" i="7"/>
  <c r="BN280" i="7"/>
  <c r="BN279" i="7"/>
  <c r="BN278" i="7"/>
  <c r="BN277" i="7"/>
  <c r="BN276" i="7"/>
  <c r="BN275" i="7"/>
  <c r="BN274" i="7"/>
  <c r="BN273" i="7"/>
  <c r="BN272" i="7"/>
  <c r="BN271" i="7"/>
  <c r="BN270" i="7"/>
  <c r="BN269" i="7"/>
  <c r="BN268" i="7"/>
  <c r="BN267" i="7"/>
  <c r="BN266" i="7"/>
  <c r="BN265" i="7"/>
  <c r="BN264" i="7"/>
  <c r="BN263" i="7"/>
  <c r="BN262" i="7"/>
  <c r="BN261" i="7"/>
  <c r="BN260" i="7"/>
  <c r="BN259" i="7"/>
  <c r="BN258" i="7"/>
  <c r="BN257" i="7"/>
  <c r="BN256" i="7"/>
  <c r="BN255" i="7"/>
  <c r="BN254" i="7"/>
  <c r="BN253" i="7"/>
  <c r="BN252" i="7"/>
  <c r="BN251" i="7"/>
  <c r="BN250" i="7"/>
  <c r="BN249" i="7"/>
  <c r="BN248" i="7"/>
  <c r="BN247" i="7"/>
  <c r="BN246" i="7"/>
  <c r="BN245" i="7"/>
  <c r="BN244" i="7"/>
  <c r="BN243" i="7"/>
  <c r="BN242" i="7"/>
  <c r="BN241" i="7"/>
  <c r="BN240" i="7"/>
  <c r="BN239" i="7"/>
  <c r="BN238" i="7"/>
  <c r="BN237" i="7"/>
  <c r="BN236" i="7"/>
  <c r="BN235" i="7"/>
  <c r="BN234" i="7"/>
  <c r="BN233" i="7"/>
  <c r="BN232" i="7"/>
  <c r="BN231" i="7"/>
  <c r="BN230" i="7"/>
  <c r="BN229" i="7"/>
  <c r="BN228" i="7"/>
  <c r="BN227" i="7"/>
  <c r="BN226" i="7"/>
  <c r="BN225" i="7"/>
  <c r="BN224" i="7"/>
  <c r="BN223" i="7"/>
  <c r="BN222" i="7"/>
  <c r="BN221" i="7"/>
  <c r="BN220" i="7"/>
  <c r="BN219" i="7"/>
  <c r="BN218" i="7"/>
  <c r="BN217" i="7"/>
  <c r="BN216" i="7"/>
  <c r="BN215" i="7"/>
  <c r="BN214" i="7"/>
  <c r="BN213" i="7"/>
  <c r="BN212" i="7"/>
  <c r="BN211" i="7"/>
  <c r="BN210" i="7"/>
  <c r="BN209" i="7"/>
  <c r="BN208" i="7"/>
  <c r="BN207" i="7"/>
  <c r="BN206" i="7"/>
  <c r="BN205" i="7"/>
  <c r="BN204" i="7"/>
  <c r="BN203" i="7"/>
  <c r="BN202" i="7"/>
  <c r="BN201" i="7"/>
  <c r="BN200" i="7"/>
  <c r="BN199" i="7"/>
  <c r="BN198" i="7"/>
  <c r="BN197" i="7"/>
  <c r="BN196" i="7"/>
  <c r="BN195" i="7"/>
  <c r="BN194" i="7"/>
  <c r="BN193" i="7"/>
  <c r="BN192" i="7"/>
  <c r="BN191" i="7"/>
  <c r="BN190" i="7"/>
  <c r="BN189" i="7"/>
  <c r="BN188" i="7"/>
  <c r="BN187" i="7"/>
  <c r="BN186" i="7"/>
  <c r="BN185" i="7"/>
  <c r="BN184" i="7"/>
  <c r="BN183" i="7"/>
  <c r="BN182" i="7"/>
  <c r="BN181" i="7"/>
  <c r="BN180" i="7"/>
  <c r="BN179" i="7"/>
  <c r="BN178" i="7"/>
  <c r="BN177" i="7"/>
  <c r="BN176" i="7"/>
  <c r="BN175" i="7"/>
  <c r="BN174" i="7"/>
  <c r="BN173" i="7"/>
  <c r="BN172" i="7"/>
  <c r="BN171" i="7"/>
  <c r="BN170" i="7"/>
  <c r="BN169" i="7"/>
  <c r="BN168" i="7"/>
  <c r="BN167" i="7"/>
  <c r="BN166" i="7"/>
  <c r="BN165" i="7"/>
  <c r="BN164" i="7"/>
  <c r="BN163" i="7"/>
  <c r="BN162" i="7"/>
  <c r="BN161" i="7"/>
  <c r="BN160" i="7"/>
  <c r="BN159" i="7"/>
  <c r="BN158" i="7"/>
  <c r="BN157" i="7"/>
  <c r="BN156" i="7"/>
  <c r="BN155" i="7"/>
  <c r="BN154" i="7"/>
  <c r="BN153" i="7"/>
  <c r="BN152" i="7"/>
  <c r="BN151" i="7"/>
  <c r="BN150" i="7"/>
  <c r="BN149" i="7"/>
  <c r="BN148" i="7"/>
  <c r="BN147" i="7"/>
  <c r="BN146" i="7"/>
  <c r="BN145" i="7"/>
  <c r="BN144" i="7"/>
  <c r="BN143" i="7"/>
  <c r="BN142" i="7"/>
  <c r="BN141" i="7"/>
  <c r="BN140" i="7"/>
  <c r="BN139" i="7"/>
  <c r="BN138" i="7"/>
  <c r="BN137" i="7"/>
  <c r="BN136" i="7"/>
  <c r="BN135" i="7"/>
  <c r="BN134" i="7"/>
  <c r="BN133" i="7"/>
  <c r="BN132" i="7"/>
  <c r="BN131" i="7"/>
  <c r="BN130" i="7"/>
  <c r="BN129" i="7"/>
  <c r="BN128" i="7"/>
  <c r="BN127" i="7"/>
  <c r="BN126" i="7"/>
  <c r="BN125" i="7"/>
  <c r="BN124" i="7"/>
  <c r="BN123" i="7"/>
  <c r="BN122" i="7"/>
  <c r="BN121" i="7"/>
  <c r="BN120" i="7"/>
  <c r="BN119" i="7"/>
  <c r="BN118" i="7"/>
  <c r="BN117" i="7"/>
  <c r="BN116" i="7"/>
  <c r="BN115" i="7"/>
  <c r="BN114" i="7"/>
  <c r="BN113" i="7"/>
  <c r="BN112" i="7"/>
  <c r="BN111" i="7"/>
  <c r="BN110" i="7"/>
  <c r="BN109" i="7"/>
  <c r="BN108" i="7"/>
  <c r="BN107" i="7"/>
  <c r="BN106" i="7"/>
  <c r="BN105" i="7"/>
  <c r="BN104" i="7"/>
  <c r="BN103" i="7"/>
  <c r="BN102" i="7"/>
  <c r="BN101" i="7"/>
  <c r="BN100" i="7"/>
  <c r="BN99" i="7"/>
  <c r="BN98" i="7"/>
  <c r="BN97" i="7"/>
  <c r="BN96" i="7"/>
  <c r="BN95" i="7"/>
  <c r="BN94" i="7"/>
  <c r="BN93" i="7"/>
  <c r="BN92" i="7"/>
  <c r="BN91" i="7"/>
  <c r="BN90" i="7"/>
  <c r="BN89" i="7"/>
  <c r="BN88" i="7"/>
  <c r="BN87" i="7"/>
  <c r="BN86" i="7"/>
  <c r="BN85" i="7"/>
  <c r="BN84" i="7"/>
  <c r="BN83" i="7"/>
  <c r="BN82" i="7"/>
  <c r="BN81" i="7"/>
  <c r="BN80" i="7"/>
  <c r="BN79" i="7"/>
  <c r="BN78" i="7"/>
  <c r="BN77" i="7"/>
  <c r="BN76" i="7"/>
  <c r="BN75" i="7"/>
  <c r="BN74" i="7"/>
  <c r="BN73" i="7"/>
  <c r="BN72" i="7"/>
  <c r="BN71" i="7"/>
  <c r="BN70" i="7"/>
  <c r="BN69" i="7"/>
  <c r="BN68" i="7"/>
  <c r="BN67" i="7"/>
  <c r="BN66" i="7"/>
  <c r="BN65" i="7"/>
  <c r="BN64" i="7"/>
  <c r="BN63" i="7"/>
  <c r="BN62" i="7"/>
  <c r="BN61" i="7"/>
  <c r="BN60" i="7"/>
  <c r="BN59" i="7"/>
  <c r="BN58" i="7"/>
  <c r="BN57" i="7"/>
  <c r="BN56" i="7"/>
  <c r="BN55" i="7"/>
  <c r="BN54" i="7"/>
  <c r="BN53" i="7"/>
  <c r="BN52" i="7"/>
  <c r="BN51" i="7"/>
  <c r="BN50" i="7"/>
  <c r="BN49" i="7"/>
  <c r="BN48" i="7"/>
  <c r="BN47" i="7"/>
  <c r="BN46" i="7"/>
  <c r="BN45" i="7"/>
  <c r="BN44" i="7"/>
  <c r="BN43" i="7"/>
  <c r="BN42" i="7"/>
  <c r="BN41" i="7"/>
  <c r="BN40" i="7"/>
  <c r="BN39" i="7"/>
  <c r="BN38" i="7"/>
  <c r="BN37" i="7"/>
  <c r="BN36" i="7"/>
  <c r="BN35" i="7"/>
  <c r="BN34" i="7"/>
  <c r="BN33" i="7"/>
  <c r="BN32" i="7"/>
  <c r="BN31" i="7"/>
  <c r="BN30" i="7"/>
  <c r="BN29" i="7"/>
  <c r="BN28" i="7"/>
  <c r="BN27" i="7"/>
  <c r="BN26" i="7"/>
  <c r="BN25" i="7"/>
  <c r="BN24" i="7"/>
  <c r="BN23" i="7"/>
  <c r="BN22" i="7"/>
  <c r="BN21" i="7"/>
  <c r="BN20" i="7"/>
  <c r="BN19" i="7"/>
  <c r="BN18" i="7"/>
  <c r="BN17" i="7"/>
  <c r="BN16" i="7"/>
  <c r="BN15" i="7"/>
  <c r="BN14" i="7"/>
  <c r="BN13" i="7"/>
  <c r="BN12" i="7"/>
  <c r="BN11" i="7"/>
  <c r="BN10" i="7"/>
  <c r="BN9" i="7"/>
  <c r="BN8" i="7"/>
  <c r="BN7" i="7"/>
  <c r="BN6" i="7"/>
  <c r="BN5" i="7"/>
  <c r="BN4" i="7"/>
  <c r="BN3" i="7"/>
  <c r="BA301" i="7"/>
  <c r="AZ301" i="7"/>
  <c r="AY301" i="7"/>
  <c r="AX301" i="7"/>
  <c r="AW301" i="7"/>
  <c r="BA300" i="7"/>
  <c r="AZ300" i="7"/>
  <c r="AY300" i="7"/>
  <c r="AX300" i="7"/>
  <c r="AW300" i="7"/>
  <c r="BA299" i="7"/>
  <c r="AZ299" i="7"/>
  <c r="AY299" i="7"/>
  <c r="AX299" i="7"/>
  <c r="AW299" i="7"/>
  <c r="BA298" i="7"/>
  <c r="AZ298" i="7"/>
  <c r="AY298" i="7"/>
  <c r="AX298" i="7"/>
  <c r="AW298" i="7"/>
  <c r="BA297" i="7"/>
  <c r="AZ297" i="7"/>
  <c r="AY297" i="7"/>
  <c r="AX297" i="7"/>
  <c r="AW297" i="7"/>
  <c r="BA296" i="7"/>
  <c r="AZ296" i="7"/>
  <c r="AY296" i="7"/>
  <c r="AX296" i="7"/>
  <c r="AW296" i="7"/>
  <c r="BA295" i="7"/>
  <c r="AZ295" i="7"/>
  <c r="AY295" i="7"/>
  <c r="AX295" i="7"/>
  <c r="AW295" i="7"/>
  <c r="BA294" i="7"/>
  <c r="AZ294" i="7"/>
  <c r="AY294" i="7"/>
  <c r="AX294" i="7"/>
  <c r="AW294" i="7"/>
  <c r="BA293" i="7"/>
  <c r="AZ293" i="7"/>
  <c r="AY293" i="7"/>
  <c r="AX293" i="7"/>
  <c r="AW293" i="7"/>
  <c r="BA292" i="7"/>
  <c r="AZ292" i="7"/>
  <c r="AY292" i="7"/>
  <c r="AX292" i="7"/>
  <c r="AW292" i="7"/>
  <c r="BA291" i="7"/>
  <c r="AZ291" i="7"/>
  <c r="AY291" i="7"/>
  <c r="AX291" i="7"/>
  <c r="AW291" i="7"/>
  <c r="BA290" i="7"/>
  <c r="AZ290" i="7"/>
  <c r="AY290" i="7"/>
  <c r="AX290" i="7"/>
  <c r="AW290" i="7"/>
  <c r="BA289" i="7"/>
  <c r="AZ289" i="7"/>
  <c r="AY289" i="7"/>
  <c r="AX289" i="7"/>
  <c r="AW289" i="7"/>
  <c r="BA288" i="7"/>
  <c r="AZ288" i="7"/>
  <c r="AY288" i="7"/>
  <c r="AX288" i="7"/>
  <c r="AW288" i="7"/>
  <c r="BA287" i="7"/>
  <c r="AZ287" i="7"/>
  <c r="AY287" i="7"/>
  <c r="AX287" i="7"/>
  <c r="AW287" i="7"/>
  <c r="BA286" i="7"/>
  <c r="AZ286" i="7"/>
  <c r="AY286" i="7"/>
  <c r="AX286" i="7"/>
  <c r="AW286" i="7"/>
  <c r="BA285" i="7"/>
  <c r="AZ285" i="7"/>
  <c r="AY285" i="7"/>
  <c r="AX285" i="7"/>
  <c r="AW285" i="7"/>
  <c r="BA284" i="7"/>
  <c r="AZ284" i="7"/>
  <c r="AY284" i="7"/>
  <c r="AX284" i="7"/>
  <c r="AW284" i="7"/>
  <c r="BA283" i="7"/>
  <c r="AZ283" i="7"/>
  <c r="AY283" i="7"/>
  <c r="AX283" i="7"/>
  <c r="AW283" i="7"/>
  <c r="BA282" i="7"/>
  <c r="AZ282" i="7"/>
  <c r="AY282" i="7"/>
  <c r="AX282" i="7"/>
  <c r="AW282" i="7"/>
  <c r="BA281" i="7"/>
  <c r="AZ281" i="7"/>
  <c r="AY281" i="7"/>
  <c r="AX281" i="7"/>
  <c r="AW281" i="7"/>
  <c r="BA280" i="7"/>
  <c r="AZ280" i="7"/>
  <c r="AY280" i="7"/>
  <c r="AX280" i="7"/>
  <c r="AW280" i="7"/>
  <c r="BA279" i="7"/>
  <c r="AZ279" i="7"/>
  <c r="AY279" i="7"/>
  <c r="AX279" i="7"/>
  <c r="AW279" i="7"/>
  <c r="BA278" i="7"/>
  <c r="AZ278" i="7"/>
  <c r="AY278" i="7"/>
  <c r="AX278" i="7"/>
  <c r="AW278" i="7"/>
  <c r="BA277" i="7"/>
  <c r="AZ277" i="7"/>
  <c r="AY277" i="7"/>
  <c r="AX277" i="7"/>
  <c r="AW277" i="7"/>
  <c r="BA276" i="7"/>
  <c r="AZ276" i="7"/>
  <c r="AY276" i="7"/>
  <c r="AX276" i="7"/>
  <c r="AW276" i="7"/>
  <c r="BA275" i="7"/>
  <c r="AZ275" i="7"/>
  <c r="AY275" i="7"/>
  <c r="AX275" i="7"/>
  <c r="AW275" i="7"/>
  <c r="BA274" i="7"/>
  <c r="AZ274" i="7"/>
  <c r="AY274" i="7"/>
  <c r="AX274" i="7"/>
  <c r="AW274" i="7"/>
  <c r="BA273" i="7"/>
  <c r="AZ273" i="7"/>
  <c r="AY273" i="7"/>
  <c r="AX273" i="7"/>
  <c r="AW273" i="7"/>
  <c r="BA272" i="7"/>
  <c r="AZ272" i="7"/>
  <c r="AY272" i="7"/>
  <c r="AX272" i="7"/>
  <c r="AW272" i="7"/>
  <c r="BA271" i="7"/>
  <c r="AZ271" i="7"/>
  <c r="AY271" i="7"/>
  <c r="AX271" i="7"/>
  <c r="AW271" i="7"/>
  <c r="BA270" i="7"/>
  <c r="AZ270" i="7"/>
  <c r="AY270" i="7"/>
  <c r="AX270" i="7"/>
  <c r="AW270" i="7"/>
  <c r="BA269" i="7"/>
  <c r="AZ269" i="7"/>
  <c r="AY269" i="7"/>
  <c r="AX269" i="7"/>
  <c r="AW269" i="7"/>
  <c r="BA268" i="7"/>
  <c r="AZ268" i="7"/>
  <c r="AY268" i="7"/>
  <c r="AX268" i="7"/>
  <c r="AW268" i="7"/>
  <c r="BA267" i="7"/>
  <c r="AZ267" i="7"/>
  <c r="AY267" i="7"/>
  <c r="AX267" i="7"/>
  <c r="AW267" i="7"/>
  <c r="BA266" i="7"/>
  <c r="AZ266" i="7"/>
  <c r="AY266" i="7"/>
  <c r="AX266" i="7"/>
  <c r="AW266" i="7"/>
  <c r="BA265" i="7"/>
  <c r="AZ265" i="7"/>
  <c r="AY265" i="7"/>
  <c r="AX265" i="7"/>
  <c r="AW265" i="7"/>
  <c r="BA264" i="7"/>
  <c r="AZ264" i="7"/>
  <c r="AY264" i="7"/>
  <c r="AX264" i="7"/>
  <c r="AW264" i="7"/>
  <c r="BA263" i="7"/>
  <c r="AZ263" i="7"/>
  <c r="AY263" i="7"/>
  <c r="AX263" i="7"/>
  <c r="AW263" i="7"/>
  <c r="BA262" i="7"/>
  <c r="AZ262" i="7"/>
  <c r="AY262" i="7"/>
  <c r="AX262" i="7"/>
  <c r="AW262" i="7"/>
  <c r="BA261" i="7"/>
  <c r="AZ261" i="7"/>
  <c r="AY261" i="7"/>
  <c r="AX261" i="7"/>
  <c r="AW261" i="7"/>
  <c r="BA260" i="7"/>
  <c r="AZ260" i="7"/>
  <c r="AY260" i="7"/>
  <c r="AX260" i="7"/>
  <c r="AW260" i="7"/>
  <c r="BA259" i="7"/>
  <c r="AZ259" i="7"/>
  <c r="AY259" i="7"/>
  <c r="AX259" i="7"/>
  <c r="AW259" i="7"/>
  <c r="BA258" i="7"/>
  <c r="AZ258" i="7"/>
  <c r="AY258" i="7"/>
  <c r="AX258" i="7"/>
  <c r="AW258" i="7"/>
  <c r="BA257" i="7"/>
  <c r="AZ257" i="7"/>
  <c r="AY257" i="7"/>
  <c r="AX257" i="7"/>
  <c r="AW257" i="7"/>
  <c r="BA256" i="7"/>
  <c r="AZ256" i="7"/>
  <c r="AY256" i="7"/>
  <c r="AX256" i="7"/>
  <c r="AW256" i="7"/>
  <c r="BA255" i="7"/>
  <c r="AZ255" i="7"/>
  <c r="AY255" i="7"/>
  <c r="AX255" i="7"/>
  <c r="AW255" i="7"/>
  <c r="BA254" i="7"/>
  <c r="AZ254" i="7"/>
  <c r="AY254" i="7"/>
  <c r="AX254" i="7"/>
  <c r="AW254" i="7"/>
  <c r="BA253" i="7"/>
  <c r="AZ253" i="7"/>
  <c r="AY253" i="7"/>
  <c r="AX253" i="7"/>
  <c r="AW253" i="7"/>
  <c r="BA252" i="7"/>
  <c r="AZ252" i="7"/>
  <c r="AY252" i="7"/>
  <c r="AX252" i="7"/>
  <c r="AW252" i="7"/>
  <c r="BA251" i="7"/>
  <c r="AZ251" i="7"/>
  <c r="AY251" i="7"/>
  <c r="AX251" i="7"/>
  <c r="AW251" i="7"/>
  <c r="BA250" i="7"/>
  <c r="AZ250" i="7"/>
  <c r="AY250" i="7"/>
  <c r="AX250" i="7"/>
  <c r="AW250" i="7"/>
  <c r="BA249" i="7"/>
  <c r="AZ249" i="7"/>
  <c r="AY249" i="7"/>
  <c r="AX249" i="7"/>
  <c r="AW249" i="7"/>
  <c r="BA248" i="7"/>
  <c r="AZ248" i="7"/>
  <c r="AY248" i="7"/>
  <c r="AX248" i="7"/>
  <c r="AW248" i="7"/>
  <c r="BA247" i="7"/>
  <c r="AZ247" i="7"/>
  <c r="AY247" i="7"/>
  <c r="AX247" i="7"/>
  <c r="AW247" i="7"/>
  <c r="BA246" i="7"/>
  <c r="AZ246" i="7"/>
  <c r="AY246" i="7"/>
  <c r="AX246" i="7"/>
  <c r="AW246" i="7"/>
  <c r="BA245" i="7"/>
  <c r="AZ245" i="7"/>
  <c r="AY245" i="7"/>
  <c r="AX245" i="7"/>
  <c r="AW245" i="7"/>
  <c r="BA244" i="7"/>
  <c r="AZ244" i="7"/>
  <c r="AY244" i="7"/>
  <c r="AX244" i="7"/>
  <c r="AW244" i="7"/>
  <c r="BA243" i="7"/>
  <c r="AZ243" i="7"/>
  <c r="AY243" i="7"/>
  <c r="AX243" i="7"/>
  <c r="AW243" i="7"/>
  <c r="BA242" i="7"/>
  <c r="AZ242" i="7"/>
  <c r="AY242" i="7"/>
  <c r="AX242" i="7"/>
  <c r="AW242" i="7"/>
  <c r="BA241" i="7"/>
  <c r="AZ241" i="7"/>
  <c r="AY241" i="7"/>
  <c r="AX241" i="7"/>
  <c r="AW241" i="7"/>
  <c r="BA240" i="7"/>
  <c r="AZ240" i="7"/>
  <c r="AY240" i="7"/>
  <c r="AX240" i="7"/>
  <c r="AW240" i="7"/>
  <c r="BA239" i="7"/>
  <c r="AZ239" i="7"/>
  <c r="AY239" i="7"/>
  <c r="AX239" i="7"/>
  <c r="AW239" i="7"/>
  <c r="BA238" i="7"/>
  <c r="AZ238" i="7"/>
  <c r="AY238" i="7"/>
  <c r="AX238" i="7"/>
  <c r="AW238" i="7"/>
  <c r="BA237" i="7"/>
  <c r="AZ237" i="7"/>
  <c r="AY237" i="7"/>
  <c r="AX237" i="7"/>
  <c r="AW237" i="7"/>
  <c r="BA236" i="7"/>
  <c r="AZ236" i="7"/>
  <c r="AY236" i="7"/>
  <c r="AX236" i="7"/>
  <c r="AW236" i="7"/>
  <c r="BA235" i="7"/>
  <c r="AZ235" i="7"/>
  <c r="AY235" i="7"/>
  <c r="AX235" i="7"/>
  <c r="AW235" i="7"/>
  <c r="BA234" i="7"/>
  <c r="AZ234" i="7"/>
  <c r="AY234" i="7"/>
  <c r="AX234" i="7"/>
  <c r="AW234" i="7"/>
  <c r="BA233" i="7"/>
  <c r="AZ233" i="7"/>
  <c r="AY233" i="7"/>
  <c r="AX233" i="7"/>
  <c r="AW233" i="7"/>
  <c r="BA232" i="7"/>
  <c r="AZ232" i="7"/>
  <c r="AY232" i="7"/>
  <c r="AX232" i="7"/>
  <c r="AW232" i="7"/>
  <c r="BA231" i="7"/>
  <c r="AZ231" i="7"/>
  <c r="AY231" i="7"/>
  <c r="AX231" i="7"/>
  <c r="AW231" i="7"/>
  <c r="BA230" i="7"/>
  <c r="AZ230" i="7"/>
  <c r="AY230" i="7"/>
  <c r="AX230" i="7"/>
  <c r="AW230" i="7"/>
  <c r="BA229" i="7"/>
  <c r="AZ229" i="7"/>
  <c r="AY229" i="7"/>
  <c r="AX229" i="7"/>
  <c r="AW229" i="7"/>
  <c r="BA228" i="7"/>
  <c r="AZ228" i="7"/>
  <c r="AY228" i="7"/>
  <c r="AX228" i="7"/>
  <c r="AW228" i="7"/>
  <c r="BA227" i="7"/>
  <c r="AZ227" i="7"/>
  <c r="AY227" i="7"/>
  <c r="AX227" i="7"/>
  <c r="AW227" i="7"/>
  <c r="BA226" i="7"/>
  <c r="AZ226" i="7"/>
  <c r="AY226" i="7"/>
  <c r="AX226" i="7"/>
  <c r="AW226" i="7"/>
  <c r="BA225" i="7"/>
  <c r="AZ225" i="7"/>
  <c r="AY225" i="7"/>
  <c r="AX225" i="7"/>
  <c r="AW225" i="7"/>
  <c r="BA224" i="7"/>
  <c r="AZ224" i="7"/>
  <c r="AY224" i="7"/>
  <c r="AX224" i="7"/>
  <c r="AW224" i="7"/>
  <c r="BA223" i="7"/>
  <c r="AZ223" i="7"/>
  <c r="AY223" i="7"/>
  <c r="AX223" i="7"/>
  <c r="AW223" i="7"/>
  <c r="BA222" i="7"/>
  <c r="AZ222" i="7"/>
  <c r="AY222" i="7"/>
  <c r="AX222" i="7"/>
  <c r="AW222" i="7"/>
  <c r="BA221" i="7"/>
  <c r="AZ221" i="7"/>
  <c r="AY221" i="7"/>
  <c r="AX221" i="7"/>
  <c r="AW221" i="7"/>
  <c r="BA220" i="7"/>
  <c r="AZ220" i="7"/>
  <c r="AY220" i="7"/>
  <c r="AX220" i="7"/>
  <c r="AW220" i="7"/>
  <c r="BA219" i="7"/>
  <c r="AZ219" i="7"/>
  <c r="AY219" i="7"/>
  <c r="AX219" i="7"/>
  <c r="AW219" i="7"/>
  <c r="BA218" i="7"/>
  <c r="AZ218" i="7"/>
  <c r="AY218" i="7"/>
  <c r="AX218" i="7"/>
  <c r="AW218" i="7"/>
  <c r="BA217" i="7"/>
  <c r="AZ217" i="7"/>
  <c r="AY217" i="7"/>
  <c r="AX217" i="7"/>
  <c r="AW217" i="7"/>
  <c r="BA216" i="7"/>
  <c r="AZ216" i="7"/>
  <c r="AY216" i="7"/>
  <c r="AX216" i="7"/>
  <c r="AW216" i="7"/>
  <c r="BA215" i="7"/>
  <c r="AZ215" i="7"/>
  <c r="AY215" i="7"/>
  <c r="AX215" i="7"/>
  <c r="AW215" i="7"/>
  <c r="BA214" i="7"/>
  <c r="AZ214" i="7"/>
  <c r="AY214" i="7"/>
  <c r="AX214" i="7"/>
  <c r="AW214" i="7"/>
  <c r="BA213" i="7"/>
  <c r="AZ213" i="7"/>
  <c r="AY213" i="7"/>
  <c r="AX213" i="7"/>
  <c r="AW213" i="7"/>
  <c r="BA212" i="7"/>
  <c r="AZ212" i="7"/>
  <c r="AY212" i="7"/>
  <c r="AX212" i="7"/>
  <c r="AW212" i="7"/>
  <c r="BA211" i="7"/>
  <c r="AZ211" i="7"/>
  <c r="AY211" i="7"/>
  <c r="AX211" i="7"/>
  <c r="AW211" i="7"/>
  <c r="BA210" i="7"/>
  <c r="AZ210" i="7"/>
  <c r="AY210" i="7"/>
  <c r="AX210" i="7"/>
  <c r="AW210" i="7"/>
  <c r="BA209" i="7"/>
  <c r="AZ209" i="7"/>
  <c r="AY209" i="7"/>
  <c r="AX209" i="7"/>
  <c r="AW209" i="7"/>
  <c r="BA208" i="7"/>
  <c r="AZ208" i="7"/>
  <c r="AY208" i="7"/>
  <c r="AX208" i="7"/>
  <c r="AW208" i="7"/>
  <c r="BA207" i="7"/>
  <c r="AZ207" i="7"/>
  <c r="AY207" i="7"/>
  <c r="AX207" i="7"/>
  <c r="AW207" i="7"/>
  <c r="BA206" i="7"/>
  <c r="AZ206" i="7"/>
  <c r="AY206" i="7"/>
  <c r="AX206" i="7"/>
  <c r="AW206" i="7"/>
  <c r="BA205" i="7"/>
  <c r="AZ205" i="7"/>
  <c r="AY205" i="7"/>
  <c r="AX205" i="7"/>
  <c r="AW205" i="7"/>
  <c r="BA204" i="7"/>
  <c r="AZ204" i="7"/>
  <c r="AY204" i="7"/>
  <c r="AX204" i="7"/>
  <c r="AW204" i="7"/>
  <c r="BA203" i="7"/>
  <c r="AZ203" i="7"/>
  <c r="AY203" i="7"/>
  <c r="AX203" i="7"/>
  <c r="AW203" i="7"/>
  <c r="BA202" i="7"/>
  <c r="AZ202" i="7"/>
  <c r="AY202" i="7"/>
  <c r="AX202" i="7"/>
  <c r="AW202" i="7"/>
  <c r="BA201" i="7"/>
  <c r="AZ201" i="7"/>
  <c r="AY201" i="7"/>
  <c r="AX201" i="7"/>
  <c r="AW201" i="7"/>
  <c r="BA200" i="7"/>
  <c r="AZ200" i="7"/>
  <c r="AY200" i="7"/>
  <c r="AX200" i="7"/>
  <c r="AW200" i="7"/>
  <c r="BA199" i="7"/>
  <c r="AZ199" i="7"/>
  <c r="AY199" i="7"/>
  <c r="AX199" i="7"/>
  <c r="AW199" i="7"/>
  <c r="BA198" i="7"/>
  <c r="AZ198" i="7"/>
  <c r="AY198" i="7"/>
  <c r="AX198" i="7"/>
  <c r="AW198" i="7"/>
  <c r="BA197" i="7"/>
  <c r="AZ197" i="7"/>
  <c r="AY197" i="7"/>
  <c r="AX197" i="7"/>
  <c r="AW197" i="7"/>
  <c r="BA196" i="7"/>
  <c r="AZ196" i="7"/>
  <c r="AY196" i="7"/>
  <c r="AX196" i="7"/>
  <c r="AW196" i="7"/>
  <c r="BA195" i="7"/>
  <c r="AZ195" i="7"/>
  <c r="AY195" i="7"/>
  <c r="AX195" i="7"/>
  <c r="AW195" i="7"/>
  <c r="BA194" i="7"/>
  <c r="AZ194" i="7"/>
  <c r="AY194" i="7"/>
  <c r="AX194" i="7"/>
  <c r="AW194" i="7"/>
  <c r="BA193" i="7"/>
  <c r="AZ193" i="7"/>
  <c r="AY193" i="7"/>
  <c r="AX193" i="7"/>
  <c r="AW193" i="7"/>
  <c r="BA192" i="7"/>
  <c r="AZ192" i="7"/>
  <c r="AY192" i="7"/>
  <c r="AX192" i="7"/>
  <c r="AW192" i="7"/>
  <c r="BA191" i="7"/>
  <c r="AZ191" i="7"/>
  <c r="AY191" i="7"/>
  <c r="AX191" i="7"/>
  <c r="AW191" i="7"/>
  <c r="BA190" i="7"/>
  <c r="AZ190" i="7"/>
  <c r="AY190" i="7"/>
  <c r="AX190" i="7"/>
  <c r="AW190" i="7"/>
  <c r="BA189" i="7"/>
  <c r="AZ189" i="7"/>
  <c r="AY189" i="7"/>
  <c r="AX189" i="7"/>
  <c r="AW189" i="7"/>
  <c r="BA188" i="7"/>
  <c r="AZ188" i="7"/>
  <c r="AY188" i="7"/>
  <c r="AX188" i="7"/>
  <c r="AW188" i="7"/>
  <c r="BA187" i="7"/>
  <c r="AZ187" i="7"/>
  <c r="AY187" i="7"/>
  <c r="AX187" i="7"/>
  <c r="AW187" i="7"/>
  <c r="BA186" i="7"/>
  <c r="AZ186" i="7"/>
  <c r="AY186" i="7"/>
  <c r="AX186" i="7"/>
  <c r="AW186" i="7"/>
  <c r="BA185" i="7"/>
  <c r="AZ185" i="7"/>
  <c r="AY185" i="7"/>
  <c r="AX185" i="7"/>
  <c r="AW185" i="7"/>
  <c r="BA184" i="7"/>
  <c r="AZ184" i="7"/>
  <c r="AY184" i="7"/>
  <c r="AX184" i="7"/>
  <c r="AW184" i="7"/>
  <c r="BA183" i="7"/>
  <c r="AZ183" i="7"/>
  <c r="AY183" i="7"/>
  <c r="AX183" i="7"/>
  <c r="AW183" i="7"/>
  <c r="BA182" i="7"/>
  <c r="AZ182" i="7"/>
  <c r="AY182" i="7"/>
  <c r="AX182" i="7"/>
  <c r="AW182" i="7"/>
  <c r="BA181" i="7"/>
  <c r="AZ181" i="7"/>
  <c r="AY181" i="7"/>
  <c r="AX181" i="7"/>
  <c r="AW181" i="7"/>
  <c r="BA180" i="7"/>
  <c r="AZ180" i="7"/>
  <c r="AY180" i="7"/>
  <c r="AX180" i="7"/>
  <c r="AW180" i="7"/>
  <c r="BA179" i="7"/>
  <c r="AZ179" i="7"/>
  <c r="AY179" i="7"/>
  <c r="AX179" i="7"/>
  <c r="AW179" i="7"/>
  <c r="BA178" i="7"/>
  <c r="AZ178" i="7"/>
  <c r="AY178" i="7"/>
  <c r="AX178" i="7"/>
  <c r="AW178" i="7"/>
  <c r="BA177" i="7"/>
  <c r="AZ177" i="7"/>
  <c r="AY177" i="7"/>
  <c r="AX177" i="7"/>
  <c r="AW177" i="7"/>
  <c r="BA176" i="7"/>
  <c r="AZ176" i="7"/>
  <c r="AY176" i="7"/>
  <c r="AX176" i="7"/>
  <c r="AW176" i="7"/>
  <c r="BA175" i="7"/>
  <c r="AZ175" i="7"/>
  <c r="AY175" i="7"/>
  <c r="AX175" i="7"/>
  <c r="AW175" i="7"/>
  <c r="BA174" i="7"/>
  <c r="AZ174" i="7"/>
  <c r="AY174" i="7"/>
  <c r="AX174" i="7"/>
  <c r="AW174" i="7"/>
  <c r="BA173" i="7"/>
  <c r="AZ173" i="7"/>
  <c r="AY173" i="7"/>
  <c r="AX173" i="7"/>
  <c r="AW173" i="7"/>
  <c r="BA172" i="7"/>
  <c r="AZ172" i="7"/>
  <c r="AY172" i="7"/>
  <c r="AX172" i="7"/>
  <c r="AW172" i="7"/>
  <c r="BA171" i="7"/>
  <c r="AZ171" i="7"/>
  <c r="AY171" i="7"/>
  <c r="AX171" i="7"/>
  <c r="AW171" i="7"/>
  <c r="BA170" i="7"/>
  <c r="AZ170" i="7"/>
  <c r="AY170" i="7"/>
  <c r="AX170" i="7"/>
  <c r="AW170" i="7"/>
  <c r="BA169" i="7"/>
  <c r="AZ169" i="7"/>
  <c r="AY169" i="7"/>
  <c r="AX169" i="7"/>
  <c r="AW169" i="7"/>
  <c r="BA168" i="7"/>
  <c r="AZ168" i="7"/>
  <c r="AY168" i="7"/>
  <c r="AX168" i="7"/>
  <c r="AW168" i="7"/>
  <c r="BA167" i="7"/>
  <c r="AZ167" i="7"/>
  <c r="AY167" i="7"/>
  <c r="AX167" i="7"/>
  <c r="AW167" i="7"/>
  <c r="BA166" i="7"/>
  <c r="AZ166" i="7"/>
  <c r="AY166" i="7"/>
  <c r="AX166" i="7"/>
  <c r="AW166" i="7"/>
  <c r="BA165" i="7"/>
  <c r="AZ165" i="7"/>
  <c r="AY165" i="7"/>
  <c r="AX165" i="7"/>
  <c r="AW165" i="7"/>
  <c r="BA164" i="7"/>
  <c r="AZ164" i="7"/>
  <c r="AY164" i="7"/>
  <c r="AX164" i="7"/>
  <c r="AW164" i="7"/>
  <c r="BA163" i="7"/>
  <c r="AZ163" i="7"/>
  <c r="AY163" i="7"/>
  <c r="AX163" i="7"/>
  <c r="AW163" i="7"/>
  <c r="BA162" i="7"/>
  <c r="AZ162" i="7"/>
  <c r="AY162" i="7"/>
  <c r="AX162" i="7"/>
  <c r="AW162" i="7"/>
  <c r="BA161" i="7"/>
  <c r="AZ161" i="7"/>
  <c r="AY161" i="7"/>
  <c r="AX161" i="7"/>
  <c r="AW161" i="7"/>
  <c r="BA160" i="7"/>
  <c r="AZ160" i="7"/>
  <c r="AY160" i="7"/>
  <c r="AX160" i="7"/>
  <c r="AW160" i="7"/>
  <c r="BA159" i="7"/>
  <c r="AZ159" i="7"/>
  <c r="AY159" i="7"/>
  <c r="AX159" i="7"/>
  <c r="AW159" i="7"/>
  <c r="BA158" i="7"/>
  <c r="AZ158" i="7"/>
  <c r="AY158" i="7"/>
  <c r="AX158" i="7"/>
  <c r="AW158" i="7"/>
  <c r="BA157" i="7"/>
  <c r="AZ157" i="7"/>
  <c r="AY157" i="7"/>
  <c r="AX157" i="7"/>
  <c r="AW157" i="7"/>
  <c r="BA156" i="7"/>
  <c r="AZ156" i="7"/>
  <c r="AY156" i="7"/>
  <c r="AX156" i="7"/>
  <c r="AW156" i="7"/>
  <c r="BA155" i="7"/>
  <c r="AZ155" i="7"/>
  <c r="AY155" i="7"/>
  <c r="AX155" i="7"/>
  <c r="AW155" i="7"/>
  <c r="BA154" i="7"/>
  <c r="AZ154" i="7"/>
  <c r="AY154" i="7"/>
  <c r="AX154" i="7"/>
  <c r="AW154" i="7"/>
  <c r="BA153" i="7"/>
  <c r="AZ153" i="7"/>
  <c r="AY153" i="7"/>
  <c r="AX153" i="7"/>
  <c r="AW153" i="7"/>
  <c r="BA152" i="7"/>
  <c r="AZ152" i="7"/>
  <c r="AY152" i="7"/>
  <c r="AX152" i="7"/>
  <c r="AW152" i="7"/>
  <c r="BA151" i="7"/>
  <c r="AZ151" i="7"/>
  <c r="AY151" i="7"/>
  <c r="AX151" i="7"/>
  <c r="AW151" i="7"/>
  <c r="BA150" i="7"/>
  <c r="AZ150" i="7"/>
  <c r="AY150" i="7"/>
  <c r="AX150" i="7"/>
  <c r="AW150" i="7"/>
  <c r="BA149" i="7"/>
  <c r="AZ149" i="7"/>
  <c r="AY149" i="7"/>
  <c r="AX149" i="7"/>
  <c r="AW149" i="7"/>
  <c r="BA148" i="7"/>
  <c r="AZ148" i="7"/>
  <c r="AY148" i="7"/>
  <c r="AX148" i="7"/>
  <c r="AW148" i="7"/>
  <c r="BA147" i="7"/>
  <c r="AZ147" i="7"/>
  <c r="AY147" i="7"/>
  <c r="AX147" i="7"/>
  <c r="AW147" i="7"/>
  <c r="BA146" i="7"/>
  <c r="AZ146" i="7"/>
  <c r="AY146" i="7"/>
  <c r="AX146" i="7"/>
  <c r="AW146" i="7"/>
  <c r="BA145" i="7"/>
  <c r="AZ145" i="7"/>
  <c r="AY145" i="7"/>
  <c r="AX145" i="7"/>
  <c r="AW145" i="7"/>
  <c r="BA144" i="7"/>
  <c r="AZ144" i="7"/>
  <c r="AY144" i="7"/>
  <c r="AX144" i="7"/>
  <c r="AW144" i="7"/>
  <c r="BA143" i="7"/>
  <c r="AZ143" i="7"/>
  <c r="AY143" i="7"/>
  <c r="AX143" i="7"/>
  <c r="AW143" i="7"/>
  <c r="BA142" i="7"/>
  <c r="AZ142" i="7"/>
  <c r="AY142" i="7"/>
  <c r="AX142" i="7"/>
  <c r="AW142" i="7"/>
  <c r="BA141" i="7"/>
  <c r="AZ141" i="7"/>
  <c r="AY141" i="7"/>
  <c r="AX141" i="7"/>
  <c r="AW141" i="7"/>
  <c r="BA140" i="7"/>
  <c r="AZ140" i="7"/>
  <c r="AY140" i="7"/>
  <c r="AX140" i="7"/>
  <c r="AW140" i="7"/>
  <c r="BA139" i="7"/>
  <c r="AZ139" i="7"/>
  <c r="AY139" i="7"/>
  <c r="AX139" i="7"/>
  <c r="AW139" i="7"/>
  <c r="BA138" i="7"/>
  <c r="AZ138" i="7"/>
  <c r="AY138" i="7"/>
  <c r="AX138" i="7"/>
  <c r="AW138" i="7"/>
  <c r="BA137" i="7"/>
  <c r="AZ137" i="7"/>
  <c r="AY137" i="7"/>
  <c r="AX137" i="7"/>
  <c r="AW137" i="7"/>
  <c r="BA136" i="7"/>
  <c r="AZ136" i="7"/>
  <c r="AY136" i="7"/>
  <c r="AX136" i="7"/>
  <c r="AW136" i="7"/>
  <c r="BA135" i="7"/>
  <c r="AZ135" i="7"/>
  <c r="AY135" i="7"/>
  <c r="AX135" i="7"/>
  <c r="AW135" i="7"/>
  <c r="BA134" i="7"/>
  <c r="AZ134" i="7"/>
  <c r="AY134" i="7"/>
  <c r="AX134" i="7"/>
  <c r="AW134" i="7"/>
  <c r="BA133" i="7"/>
  <c r="AZ133" i="7"/>
  <c r="AY133" i="7"/>
  <c r="AX133" i="7"/>
  <c r="AW133" i="7"/>
  <c r="BA132" i="7"/>
  <c r="AZ132" i="7"/>
  <c r="AY132" i="7"/>
  <c r="AX132" i="7"/>
  <c r="AW132" i="7"/>
  <c r="BA131" i="7"/>
  <c r="AZ131" i="7"/>
  <c r="AY131" i="7"/>
  <c r="AX131" i="7"/>
  <c r="AW131" i="7"/>
  <c r="BA130" i="7"/>
  <c r="AZ130" i="7"/>
  <c r="AY130" i="7"/>
  <c r="AX130" i="7"/>
  <c r="AW130" i="7"/>
  <c r="BA129" i="7"/>
  <c r="AZ129" i="7"/>
  <c r="AY129" i="7"/>
  <c r="AX129" i="7"/>
  <c r="AW129" i="7"/>
  <c r="BA128" i="7"/>
  <c r="AZ128" i="7"/>
  <c r="AY128" i="7"/>
  <c r="AX128" i="7"/>
  <c r="AW128" i="7"/>
  <c r="BA127" i="7"/>
  <c r="AZ127" i="7"/>
  <c r="AY127" i="7"/>
  <c r="AX127" i="7"/>
  <c r="AW127" i="7"/>
  <c r="BA126" i="7"/>
  <c r="AZ126" i="7"/>
  <c r="AY126" i="7"/>
  <c r="AX126" i="7"/>
  <c r="AW126" i="7"/>
  <c r="BA125" i="7"/>
  <c r="AZ125" i="7"/>
  <c r="AY125" i="7"/>
  <c r="AX125" i="7"/>
  <c r="AW125" i="7"/>
  <c r="BA124" i="7"/>
  <c r="AZ124" i="7"/>
  <c r="AY124" i="7"/>
  <c r="AX124" i="7"/>
  <c r="AW124" i="7"/>
  <c r="BA123" i="7"/>
  <c r="AZ123" i="7"/>
  <c r="AY123" i="7"/>
  <c r="AX123" i="7"/>
  <c r="AW123" i="7"/>
  <c r="BA122" i="7"/>
  <c r="AZ122" i="7"/>
  <c r="AY122" i="7"/>
  <c r="AX122" i="7"/>
  <c r="AW122" i="7"/>
  <c r="BA121" i="7"/>
  <c r="AZ121" i="7"/>
  <c r="AY121" i="7"/>
  <c r="AX121" i="7"/>
  <c r="AW121" i="7"/>
  <c r="BA120" i="7"/>
  <c r="AZ120" i="7"/>
  <c r="AY120" i="7"/>
  <c r="AX120" i="7"/>
  <c r="AW120" i="7"/>
  <c r="BA119" i="7"/>
  <c r="AZ119" i="7"/>
  <c r="AY119" i="7"/>
  <c r="AX119" i="7"/>
  <c r="AW119" i="7"/>
  <c r="BA118" i="7"/>
  <c r="AZ118" i="7"/>
  <c r="AY118" i="7"/>
  <c r="AX118" i="7"/>
  <c r="AW118" i="7"/>
  <c r="BA117" i="7"/>
  <c r="AZ117" i="7"/>
  <c r="AY117" i="7"/>
  <c r="AX117" i="7"/>
  <c r="AW117" i="7"/>
  <c r="BA116" i="7"/>
  <c r="AZ116" i="7"/>
  <c r="AY116" i="7"/>
  <c r="AX116" i="7"/>
  <c r="AW116" i="7"/>
  <c r="BA115" i="7"/>
  <c r="AZ115" i="7"/>
  <c r="AY115" i="7"/>
  <c r="AX115" i="7"/>
  <c r="AW115" i="7"/>
  <c r="BA114" i="7"/>
  <c r="AZ114" i="7"/>
  <c r="AY114" i="7"/>
  <c r="AX114" i="7"/>
  <c r="AW114" i="7"/>
  <c r="BA113" i="7"/>
  <c r="AZ113" i="7"/>
  <c r="AY113" i="7"/>
  <c r="AX113" i="7"/>
  <c r="AW113" i="7"/>
  <c r="BA112" i="7"/>
  <c r="AZ112" i="7"/>
  <c r="AY112" i="7"/>
  <c r="AX112" i="7"/>
  <c r="AW112" i="7"/>
  <c r="BA111" i="7"/>
  <c r="AZ111" i="7"/>
  <c r="AY111" i="7"/>
  <c r="AX111" i="7"/>
  <c r="AW111" i="7"/>
  <c r="BA110" i="7"/>
  <c r="AZ110" i="7"/>
  <c r="AY110" i="7"/>
  <c r="AX110" i="7"/>
  <c r="AW110" i="7"/>
  <c r="BA109" i="7"/>
  <c r="AZ109" i="7"/>
  <c r="AY109" i="7"/>
  <c r="AX109" i="7"/>
  <c r="AW109" i="7"/>
  <c r="BA108" i="7"/>
  <c r="AZ108" i="7"/>
  <c r="AY108" i="7"/>
  <c r="AX108" i="7"/>
  <c r="AW108" i="7"/>
  <c r="BA107" i="7"/>
  <c r="AZ107" i="7"/>
  <c r="AY107" i="7"/>
  <c r="AX107" i="7"/>
  <c r="AW107" i="7"/>
  <c r="BA106" i="7"/>
  <c r="AZ106" i="7"/>
  <c r="AY106" i="7"/>
  <c r="AX106" i="7"/>
  <c r="AW106" i="7"/>
  <c r="BA105" i="7"/>
  <c r="AZ105" i="7"/>
  <c r="AY105" i="7"/>
  <c r="AX105" i="7"/>
  <c r="AW105" i="7"/>
  <c r="BA104" i="7"/>
  <c r="AZ104" i="7"/>
  <c r="AY104" i="7"/>
  <c r="AX104" i="7"/>
  <c r="AW104" i="7"/>
  <c r="BA103" i="7"/>
  <c r="AZ103" i="7"/>
  <c r="AY103" i="7"/>
  <c r="AX103" i="7"/>
  <c r="AW103" i="7"/>
  <c r="BA102" i="7"/>
  <c r="AZ102" i="7"/>
  <c r="AY102" i="7"/>
  <c r="AX102" i="7"/>
  <c r="AW102" i="7"/>
  <c r="BA101" i="7"/>
  <c r="AZ101" i="7"/>
  <c r="AY101" i="7"/>
  <c r="AX101" i="7"/>
  <c r="AW101" i="7"/>
  <c r="BA100" i="7"/>
  <c r="AZ100" i="7"/>
  <c r="AY100" i="7"/>
  <c r="AX100" i="7"/>
  <c r="AW100" i="7"/>
  <c r="BA99" i="7"/>
  <c r="AZ99" i="7"/>
  <c r="AY99" i="7"/>
  <c r="AX99" i="7"/>
  <c r="AW99" i="7"/>
  <c r="BA98" i="7"/>
  <c r="AZ98" i="7"/>
  <c r="AY98" i="7"/>
  <c r="AX98" i="7"/>
  <c r="AW98" i="7"/>
  <c r="BA97" i="7"/>
  <c r="AZ97" i="7"/>
  <c r="AY97" i="7"/>
  <c r="AX97" i="7"/>
  <c r="AW97" i="7"/>
  <c r="BA96" i="7"/>
  <c r="AZ96" i="7"/>
  <c r="AY96" i="7"/>
  <c r="AX96" i="7"/>
  <c r="AW96" i="7"/>
  <c r="BA95" i="7"/>
  <c r="AZ95" i="7"/>
  <c r="AY95" i="7"/>
  <c r="AX95" i="7"/>
  <c r="AW95" i="7"/>
  <c r="BA94" i="7"/>
  <c r="AZ94" i="7"/>
  <c r="AY94" i="7"/>
  <c r="AX94" i="7"/>
  <c r="AW94" i="7"/>
  <c r="BA93" i="7"/>
  <c r="AZ93" i="7"/>
  <c r="AY93" i="7"/>
  <c r="AX93" i="7"/>
  <c r="AW93" i="7"/>
  <c r="BA92" i="7"/>
  <c r="AZ92" i="7"/>
  <c r="AY92" i="7"/>
  <c r="AX92" i="7"/>
  <c r="AW92" i="7"/>
  <c r="BA91" i="7"/>
  <c r="AZ91" i="7"/>
  <c r="AY91" i="7"/>
  <c r="AX91" i="7"/>
  <c r="AW91" i="7"/>
  <c r="BA90" i="7"/>
  <c r="AZ90" i="7"/>
  <c r="AY90" i="7"/>
  <c r="AX90" i="7"/>
  <c r="AW90" i="7"/>
  <c r="BA89" i="7"/>
  <c r="AZ89" i="7"/>
  <c r="AY89" i="7"/>
  <c r="AX89" i="7"/>
  <c r="AW89" i="7"/>
  <c r="BA88" i="7"/>
  <c r="AZ88" i="7"/>
  <c r="AY88" i="7"/>
  <c r="AX88" i="7"/>
  <c r="AW88" i="7"/>
  <c r="BA87" i="7"/>
  <c r="AZ87" i="7"/>
  <c r="AY87" i="7"/>
  <c r="AX87" i="7"/>
  <c r="AW87" i="7"/>
  <c r="BA86" i="7"/>
  <c r="AZ86" i="7"/>
  <c r="AY86" i="7"/>
  <c r="AX86" i="7"/>
  <c r="AW86" i="7"/>
  <c r="BA85" i="7"/>
  <c r="AZ85" i="7"/>
  <c r="AY85" i="7"/>
  <c r="AX85" i="7"/>
  <c r="AW85" i="7"/>
  <c r="BA84" i="7"/>
  <c r="AZ84" i="7"/>
  <c r="AY84" i="7"/>
  <c r="AX84" i="7"/>
  <c r="AW84" i="7"/>
  <c r="BA83" i="7"/>
  <c r="AZ83" i="7"/>
  <c r="AY83" i="7"/>
  <c r="AX83" i="7"/>
  <c r="AW83" i="7"/>
  <c r="BA82" i="7"/>
  <c r="AZ82" i="7"/>
  <c r="AY82" i="7"/>
  <c r="AX82" i="7"/>
  <c r="AW82" i="7"/>
  <c r="BA81" i="7"/>
  <c r="AZ81" i="7"/>
  <c r="AY81" i="7"/>
  <c r="AX81" i="7"/>
  <c r="AW81" i="7"/>
  <c r="BA80" i="7"/>
  <c r="AZ80" i="7"/>
  <c r="AY80" i="7"/>
  <c r="AX80" i="7"/>
  <c r="AW80" i="7"/>
  <c r="BA79" i="7"/>
  <c r="AZ79" i="7"/>
  <c r="AY79" i="7"/>
  <c r="AX79" i="7"/>
  <c r="AW79" i="7"/>
  <c r="BA78" i="7"/>
  <c r="AZ78" i="7"/>
  <c r="AY78" i="7"/>
  <c r="AX78" i="7"/>
  <c r="AW78" i="7"/>
  <c r="BA77" i="7"/>
  <c r="AZ77" i="7"/>
  <c r="AY77" i="7"/>
  <c r="AX77" i="7"/>
  <c r="AW77" i="7"/>
  <c r="BA76" i="7"/>
  <c r="AZ76" i="7"/>
  <c r="AY76" i="7"/>
  <c r="AX76" i="7"/>
  <c r="AW76" i="7"/>
  <c r="BA75" i="7"/>
  <c r="AZ75" i="7"/>
  <c r="AY75" i="7"/>
  <c r="AX75" i="7"/>
  <c r="AW75" i="7"/>
  <c r="BA74" i="7"/>
  <c r="AZ74" i="7"/>
  <c r="AY74" i="7"/>
  <c r="AX74" i="7"/>
  <c r="AW74" i="7"/>
  <c r="BA73" i="7"/>
  <c r="AZ73" i="7"/>
  <c r="AY73" i="7"/>
  <c r="AX73" i="7"/>
  <c r="AW73" i="7"/>
  <c r="BA72" i="7"/>
  <c r="AZ72" i="7"/>
  <c r="AY72" i="7"/>
  <c r="AX72" i="7"/>
  <c r="AW72" i="7"/>
  <c r="BA71" i="7"/>
  <c r="AZ71" i="7"/>
  <c r="AY71" i="7"/>
  <c r="AX71" i="7"/>
  <c r="AW71" i="7"/>
  <c r="BA70" i="7"/>
  <c r="AZ70" i="7"/>
  <c r="AY70" i="7"/>
  <c r="AX70" i="7"/>
  <c r="AW70" i="7"/>
  <c r="BA69" i="7"/>
  <c r="AZ69" i="7"/>
  <c r="AY69" i="7"/>
  <c r="AX69" i="7"/>
  <c r="AW69" i="7"/>
  <c r="BA68" i="7"/>
  <c r="AZ68" i="7"/>
  <c r="AY68" i="7"/>
  <c r="AX68" i="7"/>
  <c r="AW68" i="7"/>
  <c r="BA67" i="7"/>
  <c r="AZ67" i="7"/>
  <c r="AY67" i="7"/>
  <c r="AX67" i="7"/>
  <c r="AW67" i="7"/>
  <c r="BA66" i="7"/>
  <c r="AZ66" i="7"/>
  <c r="AY66" i="7"/>
  <c r="AX66" i="7"/>
  <c r="AW66" i="7"/>
  <c r="BA65" i="7"/>
  <c r="AZ65" i="7"/>
  <c r="AY65" i="7"/>
  <c r="AX65" i="7"/>
  <c r="AW65" i="7"/>
  <c r="BA64" i="7"/>
  <c r="AZ64" i="7"/>
  <c r="AY64" i="7"/>
  <c r="AX64" i="7"/>
  <c r="AW64" i="7"/>
  <c r="BA63" i="7"/>
  <c r="AZ63" i="7"/>
  <c r="AY63" i="7"/>
  <c r="AX63" i="7"/>
  <c r="AW63" i="7"/>
  <c r="BA62" i="7"/>
  <c r="AZ62" i="7"/>
  <c r="AY62" i="7"/>
  <c r="AX62" i="7"/>
  <c r="AW62" i="7"/>
  <c r="BA61" i="7"/>
  <c r="AZ61" i="7"/>
  <c r="AY61" i="7"/>
  <c r="AX61" i="7"/>
  <c r="AW61" i="7"/>
  <c r="BA60" i="7"/>
  <c r="AZ60" i="7"/>
  <c r="AY60" i="7"/>
  <c r="AX60" i="7"/>
  <c r="AW60" i="7"/>
  <c r="BA59" i="7"/>
  <c r="AZ59" i="7"/>
  <c r="AY59" i="7"/>
  <c r="AX59" i="7"/>
  <c r="AW59" i="7"/>
  <c r="BA58" i="7"/>
  <c r="AZ58" i="7"/>
  <c r="AY58" i="7"/>
  <c r="AX58" i="7"/>
  <c r="AW58" i="7"/>
  <c r="BA57" i="7"/>
  <c r="AZ57" i="7"/>
  <c r="AY57" i="7"/>
  <c r="AX57" i="7"/>
  <c r="AW57" i="7"/>
  <c r="BA56" i="7"/>
  <c r="AZ56" i="7"/>
  <c r="AY56" i="7"/>
  <c r="AX56" i="7"/>
  <c r="AW56" i="7"/>
  <c r="BA55" i="7"/>
  <c r="AZ55" i="7"/>
  <c r="AY55" i="7"/>
  <c r="AX55" i="7"/>
  <c r="AW55" i="7"/>
  <c r="BA54" i="7"/>
  <c r="AZ54" i="7"/>
  <c r="AY54" i="7"/>
  <c r="AX54" i="7"/>
  <c r="AW54" i="7"/>
  <c r="BA53" i="7"/>
  <c r="AZ53" i="7"/>
  <c r="AY53" i="7"/>
  <c r="AX53" i="7"/>
  <c r="AW53" i="7"/>
  <c r="BA52" i="7"/>
  <c r="AZ52" i="7"/>
  <c r="AY52" i="7"/>
  <c r="AX52" i="7"/>
  <c r="AW52" i="7"/>
  <c r="BA51" i="7"/>
  <c r="AZ51" i="7"/>
  <c r="AY51" i="7"/>
  <c r="AX51" i="7"/>
  <c r="AW51" i="7"/>
  <c r="BA50" i="7"/>
  <c r="AZ50" i="7"/>
  <c r="AY50" i="7"/>
  <c r="AX50" i="7"/>
  <c r="AW50" i="7"/>
  <c r="BA49" i="7"/>
  <c r="AZ49" i="7"/>
  <c r="AY49" i="7"/>
  <c r="AX49" i="7"/>
  <c r="AW49" i="7"/>
  <c r="BA48" i="7"/>
  <c r="AZ48" i="7"/>
  <c r="AY48" i="7"/>
  <c r="AX48" i="7"/>
  <c r="AW48" i="7"/>
  <c r="BA47" i="7"/>
  <c r="AZ47" i="7"/>
  <c r="AY47" i="7"/>
  <c r="AX47" i="7"/>
  <c r="AW47" i="7"/>
  <c r="BA46" i="7"/>
  <c r="AZ46" i="7"/>
  <c r="AY46" i="7"/>
  <c r="AX46" i="7"/>
  <c r="AW46" i="7"/>
  <c r="BA45" i="7"/>
  <c r="AZ45" i="7"/>
  <c r="AY45" i="7"/>
  <c r="AX45" i="7"/>
  <c r="AW45" i="7"/>
  <c r="BA44" i="7"/>
  <c r="AZ44" i="7"/>
  <c r="AY44" i="7"/>
  <c r="AX44" i="7"/>
  <c r="AW44" i="7"/>
  <c r="BA43" i="7"/>
  <c r="AZ43" i="7"/>
  <c r="AY43" i="7"/>
  <c r="AX43" i="7"/>
  <c r="AW43" i="7"/>
  <c r="BA42" i="7"/>
  <c r="AZ42" i="7"/>
  <c r="AY42" i="7"/>
  <c r="AX42" i="7"/>
  <c r="AW42" i="7"/>
  <c r="BA41" i="7"/>
  <c r="AZ41" i="7"/>
  <c r="AY41" i="7"/>
  <c r="AX41" i="7"/>
  <c r="AW41" i="7"/>
  <c r="BA40" i="7"/>
  <c r="AZ40" i="7"/>
  <c r="AY40" i="7"/>
  <c r="AX40" i="7"/>
  <c r="AW40" i="7"/>
  <c r="BA39" i="7"/>
  <c r="AZ39" i="7"/>
  <c r="AY39" i="7"/>
  <c r="AX39" i="7"/>
  <c r="AW39" i="7"/>
  <c r="BA38" i="7"/>
  <c r="AZ38" i="7"/>
  <c r="AY38" i="7"/>
  <c r="AX38" i="7"/>
  <c r="AW38" i="7"/>
  <c r="BA37" i="7"/>
  <c r="AZ37" i="7"/>
  <c r="AY37" i="7"/>
  <c r="AX37" i="7"/>
  <c r="AW37" i="7"/>
  <c r="BA36" i="7"/>
  <c r="AZ36" i="7"/>
  <c r="AY36" i="7"/>
  <c r="AX36" i="7"/>
  <c r="AW36" i="7"/>
  <c r="BA35" i="7"/>
  <c r="AZ35" i="7"/>
  <c r="AY35" i="7"/>
  <c r="AX35" i="7"/>
  <c r="AW35" i="7"/>
  <c r="BA34" i="7"/>
  <c r="AZ34" i="7"/>
  <c r="AY34" i="7"/>
  <c r="AX34" i="7"/>
  <c r="AW34" i="7"/>
  <c r="BA33" i="7"/>
  <c r="AZ33" i="7"/>
  <c r="AY33" i="7"/>
  <c r="AX33" i="7"/>
  <c r="AW33" i="7"/>
  <c r="BA32" i="7"/>
  <c r="AZ32" i="7"/>
  <c r="AY32" i="7"/>
  <c r="AX32" i="7"/>
  <c r="AW32" i="7"/>
  <c r="BA31" i="7"/>
  <c r="AZ31" i="7"/>
  <c r="AY31" i="7"/>
  <c r="AX31" i="7"/>
  <c r="AW31" i="7"/>
  <c r="BA30" i="7"/>
  <c r="AZ30" i="7"/>
  <c r="AY30" i="7"/>
  <c r="AX30" i="7"/>
  <c r="AW30" i="7"/>
  <c r="BA29" i="7"/>
  <c r="AZ29" i="7"/>
  <c r="AY29" i="7"/>
  <c r="AX29" i="7"/>
  <c r="AW29" i="7"/>
  <c r="BA28" i="7"/>
  <c r="AZ28" i="7"/>
  <c r="AY28" i="7"/>
  <c r="AX28" i="7"/>
  <c r="AW28" i="7"/>
  <c r="BA27" i="7"/>
  <c r="AZ27" i="7"/>
  <c r="AY27" i="7"/>
  <c r="AX27" i="7"/>
  <c r="AW27" i="7"/>
  <c r="BA26" i="7"/>
  <c r="AZ26" i="7"/>
  <c r="AY26" i="7"/>
  <c r="AX26" i="7"/>
  <c r="AW26" i="7"/>
  <c r="BA25" i="7"/>
  <c r="AZ25" i="7"/>
  <c r="AY25" i="7"/>
  <c r="AX25" i="7"/>
  <c r="AW25" i="7"/>
  <c r="BA24" i="7"/>
  <c r="AZ24" i="7"/>
  <c r="AY24" i="7"/>
  <c r="AX24" i="7"/>
  <c r="AW24" i="7"/>
  <c r="BA23" i="7"/>
  <c r="AZ23" i="7"/>
  <c r="AY23" i="7"/>
  <c r="AX23" i="7"/>
  <c r="AW23" i="7"/>
  <c r="BA22" i="7"/>
  <c r="AZ22" i="7"/>
  <c r="AY22" i="7"/>
  <c r="AX22" i="7"/>
  <c r="AW22" i="7"/>
  <c r="BL301" i="7"/>
  <c r="BK301" i="7"/>
  <c r="BJ301" i="7"/>
  <c r="BI301" i="7"/>
  <c r="BH301" i="7"/>
  <c r="BL300" i="7"/>
  <c r="BK300" i="7"/>
  <c r="BJ300" i="7"/>
  <c r="BI300" i="7"/>
  <c r="BH300" i="7"/>
  <c r="BL299" i="7"/>
  <c r="BK299" i="7"/>
  <c r="BJ299" i="7"/>
  <c r="BI299" i="7"/>
  <c r="BH299" i="7"/>
  <c r="BL298" i="7"/>
  <c r="BK298" i="7"/>
  <c r="BJ298" i="7"/>
  <c r="BI298" i="7"/>
  <c r="BH298" i="7"/>
  <c r="BL297" i="7"/>
  <c r="BK297" i="7"/>
  <c r="BJ297" i="7"/>
  <c r="BI297" i="7"/>
  <c r="BH297" i="7"/>
  <c r="BL296" i="7"/>
  <c r="BK296" i="7"/>
  <c r="BJ296" i="7"/>
  <c r="BI296" i="7"/>
  <c r="BH296" i="7"/>
  <c r="BL295" i="7"/>
  <c r="BK295" i="7"/>
  <c r="BJ295" i="7"/>
  <c r="BI295" i="7"/>
  <c r="BH295" i="7"/>
  <c r="BL294" i="7"/>
  <c r="BK294" i="7"/>
  <c r="BJ294" i="7"/>
  <c r="BI294" i="7"/>
  <c r="BH294" i="7"/>
  <c r="BL293" i="7"/>
  <c r="BK293" i="7"/>
  <c r="BJ293" i="7"/>
  <c r="BI293" i="7"/>
  <c r="BH293" i="7"/>
  <c r="BL292" i="7"/>
  <c r="BK292" i="7"/>
  <c r="BJ292" i="7"/>
  <c r="BI292" i="7"/>
  <c r="BH292" i="7"/>
  <c r="BL291" i="7"/>
  <c r="BK291" i="7"/>
  <c r="BJ291" i="7"/>
  <c r="BI291" i="7"/>
  <c r="BH291" i="7"/>
  <c r="BL290" i="7"/>
  <c r="BK290" i="7"/>
  <c r="BJ290" i="7"/>
  <c r="BI290" i="7"/>
  <c r="BH290" i="7"/>
  <c r="BL289" i="7"/>
  <c r="BK289" i="7"/>
  <c r="BJ289" i="7"/>
  <c r="BI289" i="7"/>
  <c r="BH289" i="7"/>
  <c r="BL288" i="7"/>
  <c r="BK288" i="7"/>
  <c r="BJ288" i="7"/>
  <c r="BI288" i="7"/>
  <c r="BH288" i="7"/>
  <c r="BL287" i="7"/>
  <c r="BK287" i="7"/>
  <c r="BJ287" i="7"/>
  <c r="BI287" i="7"/>
  <c r="BH287" i="7"/>
  <c r="BL286" i="7"/>
  <c r="BK286" i="7"/>
  <c r="BJ286" i="7"/>
  <c r="BI286" i="7"/>
  <c r="BH286" i="7"/>
  <c r="BL285" i="7"/>
  <c r="BK285" i="7"/>
  <c r="BJ285" i="7"/>
  <c r="BI285" i="7"/>
  <c r="BH285" i="7"/>
  <c r="BL284" i="7"/>
  <c r="BK284" i="7"/>
  <c r="BJ284" i="7"/>
  <c r="BI284" i="7"/>
  <c r="BH284" i="7"/>
  <c r="BL283" i="7"/>
  <c r="BK283" i="7"/>
  <c r="BJ283" i="7"/>
  <c r="BI283" i="7"/>
  <c r="BH283" i="7"/>
  <c r="BL282" i="7"/>
  <c r="BK282" i="7"/>
  <c r="BJ282" i="7"/>
  <c r="BI282" i="7"/>
  <c r="BH282" i="7"/>
  <c r="BL281" i="7"/>
  <c r="BK281" i="7"/>
  <c r="BJ281" i="7"/>
  <c r="BI281" i="7"/>
  <c r="BH281" i="7"/>
  <c r="BL280" i="7"/>
  <c r="BK280" i="7"/>
  <c r="BJ280" i="7"/>
  <c r="BI280" i="7"/>
  <c r="BH280" i="7"/>
  <c r="BL279" i="7"/>
  <c r="BK279" i="7"/>
  <c r="BJ279" i="7"/>
  <c r="BI279" i="7"/>
  <c r="BH279" i="7"/>
  <c r="BL278" i="7"/>
  <c r="BK278" i="7"/>
  <c r="BJ278" i="7"/>
  <c r="BI278" i="7"/>
  <c r="BH278" i="7"/>
  <c r="BL277" i="7"/>
  <c r="BK277" i="7"/>
  <c r="BJ277" i="7"/>
  <c r="BI277" i="7"/>
  <c r="BH277" i="7"/>
  <c r="BL276" i="7"/>
  <c r="BK276" i="7"/>
  <c r="BJ276" i="7"/>
  <c r="BI276" i="7"/>
  <c r="BH276" i="7"/>
  <c r="BL275" i="7"/>
  <c r="BK275" i="7"/>
  <c r="BJ275" i="7"/>
  <c r="BI275" i="7"/>
  <c r="BH275" i="7"/>
  <c r="BL274" i="7"/>
  <c r="BK274" i="7"/>
  <c r="BJ274" i="7"/>
  <c r="BI274" i="7"/>
  <c r="BH274" i="7"/>
  <c r="BL273" i="7"/>
  <c r="BK273" i="7"/>
  <c r="BJ273" i="7"/>
  <c r="BI273" i="7"/>
  <c r="BH273" i="7"/>
  <c r="BL272" i="7"/>
  <c r="BK272" i="7"/>
  <c r="BJ272" i="7"/>
  <c r="BI272" i="7"/>
  <c r="BH272" i="7"/>
  <c r="BL271" i="7"/>
  <c r="BK271" i="7"/>
  <c r="BJ271" i="7"/>
  <c r="BI271" i="7"/>
  <c r="BH271" i="7"/>
  <c r="BL270" i="7"/>
  <c r="BK270" i="7"/>
  <c r="BJ270" i="7"/>
  <c r="BI270" i="7"/>
  <c r="BH270" i="7"/>
  <c r="BL269" i="7"/>
  <c r="BK269" i="7"/>
  <c r="BJ269" i="7"/>
  <c r="BI269" i="7"/>
  <c r="BH269" i="7"/>
  <c r="BL268" i="7"/>
  <c r="BK268" i="7"/>
  <c r="BJ268" i="7"/>
  <c r="BI268" i="7"/>
  <c r="BH268" i="7"/>
  <c r="BL267" i="7"/>
  <c r="BK267" i="7"/>
  <c r="BJ267" i="7"/>
  <c r="BI267" i="7"/>
  <c r="BH267" i="7"/>
  <c r="BL266" i="7"/>
  <c r="BK266" i="7"/>
  <c r="BJ266" i="7"/>
  <c r="BI266" i="7"/>
  <c r="BH266" i="7"/>
  <c r="BL265" i="7"/>
  <c r="BK265" i="7"/>
  <c r="BJ265" i="7"/>
  <c r="BI265" i="7"/>
  <c r="BH265" i="7"/>
  <c r="BL264" i="7"/>
  <c r="BK264" i="7"/>
  <c r="BJ264" i="7"/>
  <c r="BI264" i="7"/>
  <c r="BH264" i="7"/>
  <c r="BL263" i="7"/>
  <c r="BK263" i="7"/>
  <c r="BJ263" i="7"/>
  <c r="BI263" i="7"/>
  <c r="BH263" i="7"/>
  <c r="BL262" i="7"/>
  <c r="BK262" i="7"/>
  <c r="BJ262" i="7"/>
  <c r="BI262" i="7"/>
  <c r="BH262" i="7"/>
  <c r="BL261" i="7"/>
  <c r="BK261" i="7"/>
  <c r="BJ261" i="7"/>
  <c r="BI261" i="7"/>
  <c r="BH261" i="7"/>
  <c r="BL260" i="7"/>
  <c r="BK260" i="7"/>
  <c r="BJ260" i="7"/>
  <c r="BI260" i="7"/>
  <c r="BH260" i="7"/>
  <c r="BL259" i="7"/>
  <c r="BK259" i="7"/>
  <c r="BJ259" i="7"/>
  <c r="BI259" i="7"/>
  <c r="BH259" i="7"/>
  <c r="BL258" i="7"/>
  <c r="BK258" i="7"/>
  <c r="BJ258" i="7"/>
  <c r="BI258" i="7"/>
  <c r="BH258" i="7"/>
  <c r="BL257" i="7"/>
  <c r="BK257" i="7"/>
  <c r="BJ257" i="7"/>
  <c r="BI257" i="7"/>
  <c r="BH257" i="7"/>
  <c r="BL256" i="7"/>
  <c r="BK256" i="7"/>
  <c r="BJ256" i="7"/>
  <c r="BI256" i="7"/>
  <c r="BH256" i="7"/>
  <c r="BL255" i="7"/>
  <c r="BK255" i="7"/>
  <c r="BJ255" i="7"/>
  <c r="BI255" i="7"/>
  <c r="BH255" i="7"/>
  <c r="BL254" i="7"/>
  <c r="BK254" i="7"/>
  <c r="BJ254" i="7"/>
  <c r="BI254" i="7"/>
  <c r="BH254" i="7"/>
  <c r="BL253" i="7"/>
  <c r="BK253" i="7"/>
  <c r="BJ253" i="7"/>
  <c r="BI253" i="7"/>
  <c r="BH253" i="7"/>
  <c r="BL252" i="7"/>
  <c r="BK252" i="7"/>
  <c r="BJ252" i="7"/>
  <c r="BI252" i="7"/>
  <c r="BH252" i="7"/>
  <c r="BL251" i="7"/>
  <c r="BK251" i="7"/>
  <c r="BJ251" i="7"/>
  <c r="BI251" i="7"/>
  <c r="BH251" i="7"/>
  <c r="BL250" i="7"/>
  <c r="BK250" i="7"/>
  <c r="BJ250" i="7"/>
  <c r="BI250" i="7"/>
  <c r="BH250" i="7"/>
  <c r="BL249" i="7"/>
  <c r="BK249" i="7"/>
  <c r="BJ249" i="7"/>
  <c r="BI249" i="7"/>
  <c r="BH249" i="7"/>
  <c r="BL248" i="7"/>
  <c r="BK248" i="7"/>
  <c r="BJ248" i="7"/>
  <c r="BI248" i="7"/>
  <c r="BH248" i="7"/>
  <c r="BL247" i="7"/>
  <c r="BK247" i="7"/>
  <c r="BJ247" i="7"/>
  <c r="BI247" i="7"/>
  <c r="BH247" i="7"/>
  <c r="BL246" i="7"/>
  <c r="BK246" i="7"/>
  <c r="BJ246" i="7"/>
  <c r="BI246" i="7"/>
  <c r="BH246" i="7"/>
  <c r="BL245" i="7"/>
  <c r="BK245" i="7"/>
  <c r="BJ245" i="7"/>
  <c r="BI245" i="7"/>
  <c r="BH245" i="7"/>
  <c r="BL244" i="7"/>
  <c r="BK244" i="7"/>
  <c r="BJ244" i="7"/>
  <c r="BI244" i="7"/>
  <c r="BH244" i="7"/>
  <c r="BL243" i="7"/>
  <c r="BK243" i="7"/>
  <c r="BJ243" i="7"/>
  <c r="BI243" i="7"/>
  <c r="BH243" i="7"/>
  <c r="BL242" i="7"/>
  <c r="BK242" i="7"/>
  <c r="BJ242" i="7"/>
  <c r="BI242" i="7"/>
  <c r="BH242" i="7"/>
  <c r="BL241" i="7"/>
  <c r="BK241" i="7"/>
  <c r="BJ241" i="7"/>
  <c r="BI241" i="7"/>
  <c r="BH241" i="7"/>
  <c r="BL240" i="7"/>
  <c r="BK240" i="7"/>
  <c r="BJ240" i="7"/>
  <c r="BI240" i="7"/>
  <c r="BH240" i="7"/>
  <c r="BL239" i="7"/>
  <c r="BK239" i="7"/>
  <c r="BJ239" i="7"/>
  <c r="BI239" i="7"/>
  <c r="BH239" i="7"/>
  <c r="BL238" i="7"/>
  <c r="BK238" i="7"/>
  <c r="BJ238" i="7"/>
  <c r="BI238" i="7"/>
  <c r="BH238" i="7"/>
  <c r="BL237" i="7"/>
  <c r="BK237" i="7"/>
  <c r="BJ237" i="7"/>
  <c r="BI237" i="7"/>
  <c r="BH237" i="7"/>
  <c r="BL236" i="7"/>
  <c r="BK236" i="7"/>
  <c r="BJ236" i="7"/>
  <c r="BI236" i="7"/>
  <c r="BH236" i="7"/>
  <c r="BL235" i="7"/>
  <c r="BK235" i="7"/>
  <c r="BJ235" i="7"/>
  <c r="BI235" i="7"/>
  <c r="BH235" i="7"/>
  <c r="BL234" i="7"/>
  <c r="BK234" i="7"/>
  <c r="BJ234" i="7"/>
  <c r="BI234" i="7"/>
  <c r="BH234" i="7"/>
  <c r="BL233" i="7"/>
  <c r="BK233" i="7"/>
  <c r="BJ233" i="7"/>
  <c r="BI233" i="7"/>
  <c r="BH233" i="7"/>
  <c r="BL232" i="7"/>
  <c r="BK232" i="7"/>
  <c r="BJ232" i="7"/>
  <c r="BI232" i="7"/>
  <c r="BH232" i="7"/>
  <c r="BL231" i="7"/>
  <c r="BK231" i="7"/>
  <c r="BJ231" i="7"/>
  <c r="BI231" i="7"/>
  <c r="BH231" i="7"/>
  <c r="BL230" i="7"/>
  <c r="BK230" i="7"/>
  <c r="BJ230" i="7"/>
  <c r="BI230" i="7"/>
  <c r="BH230" i="7"/>
  <c r="BL229" i="7"/>
  <c r="BK229" i="7"/>
  <c r="BJ229" i="7"/>
  <c r="BI229" i="7"/>
  <c r="BH229" i="7"/>
  <c r="BL228" i="7"/>
  <c r="BK228" i="7"/>
  <c r="BJ228" i="7"/>
  <c r="BI228" i="7"/>
  <c r="BH228" i="7"/>
  <c r="BL227" i="7"/>
  <c r="BK227" i="7"/>
  <c r="BJ227" i="7"/>
  <c r="BI227" i="7"/>
  <c r="BH227" i="7"/>
  <c r="BL226" i="7"/>
  <c r="BK226" i="7"/>
  <c r="BJ226" i="7"/>
  <c r="BI226" i="7"/>
  <c r="BH226" i="7"/>
  <c r="BL225" i="7"/>
  <c r="BK225" i="7"/>
  <c r="BJ225" i="7"/>
  <c r="BI225" i="7"/>
  <c r="BH225" i="7"/>
  <c r="BL224" i="7"/>
  <c r="BK224" i="7"/>
  <c r="BJ224" i="7"/>
  <c r="BI224" i="7"/>
  <c r="BH224" i="7"/>
  <c r="BL223" i="7"/>
  <c r="BK223" i="7"/>
  <c r="BJ223" i="7"/>
  <c r="BI223" i="7"/>
  <c r="BH223" i="7"/>
  <c r="BL222" i="7"/>
  <c r="BK222" i="7"/>
  <c r="BJ222" i="7"/>
  <c r="BI222" i="7"/>
  <c r="BH222" i="7"/>
  <c r="BL221" i="7"/>
  <c r="BK221" i="7"/>
  <c r="BJ221" i="7"/>
  <c r="BI221" i="7"/>
  <c r="BH221" i="7"/>
  <c r="BL220" i="7"/>
  <c r="BK220" i="7"/>
  <c r="BJ220" i="7"/>
  <c r="BI220" i="7"/>
  <c r="BH220" i="7"/>
  <c r="BL219" i="7"/>
  <c r="BK219" i="7"/>
  <c r="BJ219" i="7"/>
  <c r="BI219" i="7"/>
  <c r="BH219" i="7"/>
  <c r="BL218" i="7"/>
  <c r="BK218" i="7"/>
  <c r="BJ218" i="7"/>
  <c r="BI218" i="7"/>
  <c r="BH218" i="7"/>
  <c r="BL217" i="7"/>
  <c r="BK217" i="7"/>
  <c r="BJ217" i="7"/>
  <c r="BI217" i="7"/>
  <c r="BH217" i="7"/>
  <c r="BL216" i="7"/>
  <c r="BK216" i="7"/>
  <c r="BJ216" i="7"/>
  <c r="BI216" i="7"/>
  <c r="BH216" i="7"/>
  <c r="BL215" i="7"/>
  <c r="BK215" i="7"/>
  <c r="BJ215" i="7"/>
  <c r="BI215" i="7"/>
  <c r="BH215" i="7"/>
  <c r="BL214" i="7"/>
  <c r="BK214" i="7"/>
  <c r="BJ214" i="7"/>
  <c r="BI214" i="7"/>
  <c r="BH214" i="7"/>
  <c r="BL213" i="7"/>
  <c r="BK213" i="7"/>
  <c r="BJ213" i="7"/>
  <c r="BI213" i="7"/>
  <c r="BH213" i="7"/>
  <c r="BL212" i="7"/>
  <c r="BK212" i="7"/>
  <c r="BJ212" i="7"/>
  <c r="BI212" i="7"/>
  <c r="BH212" i="7"/>
  <c r="BL211" i="7"/>
  <c r="BK211" i="7"/>
  <c r="BJ211" i="7"/>
  <c r="BI211" i="7"/>
  <c r="BH211" i="7"/>
  <c r="BL210" i="7"/>
  <c r="BK210" i="7"/>
  <c r="BJ210" i="7"/>
  <c r="BI210" i="7"/>
  <c r="BH210" i="7"/>
  <c r="BL209" i="7"/>
  <c r="BK209" i="7"/>
  <c r="BJ209" i="7"/>
  <c r="BI209" i="7"/>
  <c r="BH209" i="7"/>
  <c r="BL208" i="7"/>
  <c r="BK208" i="7"/>
  <c r="BJ208" i="7"/>
  <c r="BI208" i="7"/>
  <c r="BH208" i="7"/>
  <c r="BL207" i="7"/>
  <c r="BK207" i="7"/>
  <c r="BJ207" i="7"/>
  <c r="BI207" i="7"/>
  <c r="BH207" i="7"/>
  <c r="BL206" i="7"/>
  <c r="BK206" i="7"/>
  <c r="BJ206" i="7"/>
  <c r="BI206" i="7"/>
  <c r="BH206" i="7"/>
  <c r="BL205" i="7"/>
  <c r="BK205" i="7"/>
  <c r="BJ205" i="7"/>
  <c r="BI205" i="7"/>
  <c r="BH205" i="7"/>
  <c r="BL204" i="7"/>
  <c r="BK204" i="7"/>
  <c r="BJ204" i="7"/>
  <c r="BI204" i="7"/>
  <c r="BH204" i="7"/>
  <c r="BL203" i="7"/>
  <c r="BK203" i="7"/>
  <c r="BJ203" i="7"/>
  <c r="BI203" i="7"/>
  <c r="BH203" i="7"/>
  <c r="BL202" i="7"/>
  <c r="BK202" i="7"/>
  <c r="BJ202" i="7"/>
  <c r="BI202" i="7"/>
  <c r="BH202" i="7"/>
  <c r="BL201" i="7"/>
  <c r="BK201" i="7"/>
  <c r="BJ201" i="7"/>
  <c r="BI201" i="7"/>
  <c r="BH201" i="7"/>
  <c r="BL200" i="7"/>
  <c r="BK200" i="7"/>
  <c r="BJ200" i="7"/>
  <c r="BI200" i="7"/>
  <c r="BH200" i="7"/>
  <c r="BL199" i="7"/>
  <c r="BK199" i="7"/>
  <c r="BJ199" i="7"/>
  <c r="BI199" i="7"/>
  <c r="BH199" i="7"/>
  <c r="BL198" i="7"/>
  <c r="BK198" i="7"/>
  <c r="BJ198" i="7"/>
  <c r="BI198" i="7"/>
  <c r="BH198" i="7"/>
  <c r="BL197" i="7"/>
  <c r="BK197" i="7"/>
  <c r="BJ197" i="7"/>
  <c r="BI197" i="7"/>
  <c r="BH197" i="7"/>
  <c r="BL196" i="7"/>
  <c r="BK196" i="7"/>
  <c r="BJ196" i="7"/>
  <c r="BI196" i="7"/>
  <c r="BH196" i="7"/>
  <c r="BL195" i="7"/>
  <c r="BK195" i="7"/>
  <c r="BJ195" i="7"/>
  <c r="BI195" i="7"/>
  <c r="BH195" i="7"/>
  <c r="BL194" i="7"/>
  <c r="BK194" i="7"/>
  <c r="BJ194" i="7"/>
  <c r="BI194" i="7"/>
  <c r="BH194" i="7"/>
  <c r="BL193" i="7"/>
  <c r="BK193" i="7"/>
  <c r="BJ193" i="7"/>
  <c r="BI193" i="7"/>
  <c r="BH193" i="7"/>
  <c r="BL192" i="7"/>
  <c r="BK192" i="7"/>
  <c r="BJ192" i="7"/>
  <c r="BI192" i="7"/>
  <c r="BH192" i="7"/>
  <c r="BL191" i="7"/>
  <c r="BK191" i="7"/>
  <c r="BJ191" i="7"/>
  <c r="BI191" i="7"/>
  <c r="BH191" i="7"/>
  <c r="BL190" i="7"/>
  <c r="BK190" i="7"/>
  <c r="BJ190" i="7"/>
  <c r="BI190" i="7"/>
  <c r="BH190" i="7"/>
  <c r="BL189" i="7"/>
  <c r="BK189" i="7"/>
  <c r="BJ189" i="7"/>
  <c r="BI189" i="7"/>
  <c r="BH189" i="7"/>
  <c r="BL188" i="7"/>
  <c r="BK188" i="7"/>
  <c r="BJ188" i="7"/>
  <c r="BI188" i="7"/>
  <c r="BH188" i="7"/>
  <c r="BL187" i="7"/>
  <c r="BK187" i="7"/>
  <c r="BJ187" i="7"/>
  <c r="BI187" i="7"/>
  <c r="BH187" i="7"/>
  <c r="BL186" i="7"/>
  <c r="BK186" i="7"/>
  <c r="BJ186" i="7"/>
  <c r="BI186" i="7"/>
  <c r="BH186" i="7"/>
  <c r="BL185" i="7"/>
  <c r="BK185" i="7"/>
  <c r="BJ185" i="7"/>
  <c r="BI185" i="7"/>
  <c r="BH185" i="7"/>
  <c r="BL184" i="7"/>
  <c r="BK184" i="7"/>
  <c r="BJ184" i="7"/>
  <c r="BI184" i="7"/>
  <c r="BH184" i="7"/>
  <c r="BL183" i="7"/>
  <c r="BK183" i="7"/>
  <c r="BJ183" i="7"/>
  <c r="BI183" i="7"/>
  <c r="BH183" i="7"/>
  <c r="BL182" i="7"/>
  <c r="BK182" i="7"/>
  <c r="BJ182" i="7"/>
  <c r="BI182" i="7"/>
  <c r="BH182" i="7"/>
  <c r="BL181" i="7"/>
  <c r="BK181" i="7"/>
  <c r="BJ181" i="7"/>
  <c r="BI181" i="7"/>
  <c r="BH181" i="7"/>
  <c r="BL180" i="7"/>
  <c r="BK180" i="7"/>
  <c r="BJ180" i="7"/>
  <c r="BI180" i="7"/>
  <c r="BH180" i="7"/>
  <c r="BL179" i="7"/>
  <c r="BK179" i="7"/>
  <c r="BJ179" i="7"/>
  <c r="BI179" i="7"/>
  <c r="BH179" i="7"/>
  <c r="BL178" i="7"/>
  <c r="BK178" i="7"/>
  <c r="BJ178" i="7"/>
  <c r="BI178" i="7"/>
  <c r="BH178" i="7"/>
  <c r="BL177" i="7"/>
  <c r="BK177" i="7"/>
  <c r="BJ177" i="7"/>
  <c r="BI177" i="7"/>
  <c r="BH177" i="7"/>
  <c r="BL176" i="7"/>
  <c r="BK176" i="7"/>
  <c r="BJ176" i="7"/>
  <c r="BI176" i="7"/>
  <c r="BH176" i="7"/>
  <c r="BL175" i="7"/>
  <c r="BK175" i="7"/>
  <c r="BJ175" i="7"/>
  <c r="BI175" i="7"/>
  <c r="BH175" i="7"/>
  <c r="BL174" i="7"/>
  <c r="BK174" i="7"/>
  <c r="BJ174" i="7"/>
  <c r="BI174" i="7"/>
  <c r="BH174" i="7"/>
  <c r="BL173" i="7"/>
  <c r="BK173" i="7"/>
  <c r="BJ173" i="7"/>
  <c r="BI173" i="7"/>
  <c r="BH173" i="7"/>
  <c r="BL172" i="7"/>
  <c r="BK172" i="7"/>
  <c r="BJ172" i="7"/>
  <c r="BI172" i="7"/>
  <c r="BH172" i="7"/>
  <c r="BL171" i="7"/>
  <c r="BK171" i="7"/>
  <c r="BJ171" i="7"/>
  <c r="BI171" i="7"/>
  <c r="BH171" i="7"/>
  <c r="BL170" i="7"/>
  <c r="BK170" i="7"/>
  <c r="BJ170" i="7"/>
  <c r="BI170" i="7"/>
  <c r="BH170" i="7"/>
  <c r="BL169" i="7"/>
  <c r="BK169" i="7"/>
  <c r="BJ169" i="7"/>
  <c r="BI169" i="7"/>
  <c r="BH169" i="7"/>
  <c r="BL168" i="7"/>
  <c r="BK168" i="7"/>
  <c r="BJ168" i="7"/>
  <c r="BI168" i="7"/>
  <c r="BH168" i="7"/>
  <c r="BL167" i="7"/>
  <c r="BK167" i="7"/>
  <c r="BJ167" i="7"/>
  <c r="BI167" i="7"/>
  <c r="BH167" i="7"/>
  <c r="BL166" i="7"/>
  <c r="BK166" i="7"/>
  <c r="BJ166" i="7"/>
  <c r="BI166" i="7"/>
  <c r="BH166" i="7"/>
  <c r="BL165" i="7"/>
  <c r="BK165" i="7"/>
  <c r="BJ165" i="7"/>
  <c r="BI165" i="7"/>
  <c r="BH165" i="7"/>
  <c r="BL164" i="7"/>
  <c r="BK164" i="7"/>
  <c r="BJ164" i="7"/>
  <c r="BI164" i="7"/>
  <c r="BH164" i="7"/>
  <c r="BL163" i="7"/>
  <c r="BK163" i="7"/>
  <c r="BJ163" i="7"/>
  <c r="BI163" i="7"/>
  <c r="BH163" i="7"/>
  <c r="BL162" i="7"/>
  <c r="BK162" i="7"/>
  <c r="BJ162" i="7"/>
  <c r="BI162" i="7"/>
  <c r="BH162" i="7"/>
  <c r="BL161" i="7"/>
  <c r="BK161" i="7"/>
  <c r="BJ161" i="7"/>
  <c r="BI161" i="7"/>
  <c r="BH161" i="7"/>
  <c r="BL160" i="7"/>
  <c r="BK160" i="7"/>
  <c r="BJ160" i="7"/>
  <c r="BI160" i="7"/>
  <c r="BH160" i="7"/>
  <c r="BL159" i="7"/>
  <c r="BK159" i="7"/>
  <c r="BJ159" i="7"/>
  <c r="BI159" i="7"/>
  <c r="BH159" i="7"/>
  <c r="BL158" i="7"/>
  <c r="BK158" i="7"/>
  <c r="BJ158" i="7"/>
  <c r="BI158" i="7"/>
  <c r="BH158" i="7"/>
  <c r="BL157" i="7"/>
  <c r="BK157" i="7"/>
  <c r="BJ157" i="7"/>
  <c r="BI157" i="7"/>
  <c r="BH157" i="7"/>
  <c r="BL156" i="7"/>
  <c r="BK156" i="7"/>
  <c r="BJ156" i="7"/>
  <c r="BI156" i="7"/>
  <c r="BH156" i="7"/>
  <c r="BL155" i="7"/>
  <c r="BK155" i="7"/>
  <c r="BJ155" i="7"/>
  <c r="BI155" i="7"/>
  <c r="BH155" i="7"/>
  <c r="BL154" i="7"/>
  <c r="BK154" i="7"/>
  <c r="BJ154" i="7"/>
  <c r="BI154" i="7"/>
  <c r="BH154" i="7"/>
  <c r="BL153" i="7"/>
  <c r="BK153" i="7"/>
  <c r="BJ153" i="7"/>
  <c r="BI153" i="7"/>
  <c r="BH153" i="7"/>
  <c r="BL152" i="7"/>
  <c r="BK152" i="7"/>
  <c r="BJ152" i="7"/>
  <c r="BI152" i="7"/>
  <c r="BH152" i="7"/>
  <c r="BL151" i="7"/>
  <c r="BK151" i="7"/>
  <c r="BJ151" i="7"/>
  <c r="BI151" i="7"/>
  <c r="BH151" i="7"/>
  <c r="BL150" i="7"/>
  <c r="BK150" i="7"/>
  <c r="BJ150" i="7"/>
  <c r="BI150" i="7"/>
  <c r="BH150" i="7"/>
  <c r="BL149" i="7"/>
  <c r="BK149" i="7"/>
  <c r="BJ149" i="7"/>
  <c r="BI149" i="7"/>
  <c r="BH149" i="7"/>
  <c r="BL148" i="7"/>
  <c r="BK148" i="7"/>
  <c r="BJ148" i="7"/>
  <c r="BI148" i="7"/>
  <c r="BH148" i="7"/>
  <c r="BL147" i="7"/>
  <c r="BK147" i="7"/>
  <c r="BJ147" i="7"/>
  <c r="BI147" i="7"/>
  <c r="BH147" i="7"/>
  <c r="BL146" i="7"/>
  <c r="BK146" i="7"/>
  <c r="BJ146" i="7"/>
  <c r="BI146" i="7"/>
  <c r="BH146" i="7"/>
  <c r="BL145" i="7"/>
  <c r="BK145" i="7"/>
  <c r="BJ145" i="7"/>
  <c r="BI145" i="7"/>
  <c r="BH145" i="7"/>
  <c r="BL144" i="7"/>
  <c r="BK144" i="7"/>
  <c r="BJ144" i="7"/>
  <c r="BI144" i="7"/>
  <c r="BH144" i="7"/>
  <c r="BL143" i="7"/>
  <c r="BK143" i="7"/>
  <c r="BJ143" i="7"/>
  <c r="BI143" i="7"/>
  <c r="BH143" i="7"/>
  <c r="BL142" i="7"/>
  <c r="BK142" i="7"/>
  <c r="BJ142" i="7"/>
  <c r="BI142" i="7"/>
  <c r="BH142" i="7"/>
  <c r="BL141" i="7"/>
  <c r="BK141" i="7"/>
  <c r="BJ141" i="7"/>
  <c r="BI141" i="7"/>
  <c r="BH141" i="7"/>
  <c r="BL140" i="7"/>
  <c r="BK140" i="7"/>
  <c r="BJ140" i="7"/>
  <c r="BI140" i="7"/>
  <c r="BH140" i="7"/>
  <c r="BL139" i="7"/>
  <c r="BK139" i="7"/>
  <c r="BJ139" i="7"/>
  <c r="BI139" i="7"/>
  <c r="BH139" i="7"/>
  <c r="BL138" i="7"/>
  <c r="BK138" i="7"/>
  <c r="BJ138" i="7"/>
  <c r="BI138" i="7"/>
  <c r="BH138" i="7"/>
  <c r="BL137" i="7"/>
  <c r="BK137" i="7"/>
  <c r="BJ137" i="7"/>
  <c r="BI137" i="7"/>
  <c r="BH137" i="7"/>
  <c r="BL136" i="7"/>
  <c r="BK136" i="7"/>
  <c r="BJ136" i="7"/>
  <c r="BI136" i="7"/>
  <c r="BH136" i="7"/>
  <c r="BL135" i="7"/>
  <c r="BK135" i="7"/>
  <c r="BJ135" i="7"/>
  <c r="BI135" i="7"/>
  <c r="BH135" i="7"/>
  <c r="BL134" i="7"/>
  <c r="BK134" i="7"/>
  <c r="BJ134" i="7"/>
  <c r="BI134" i="7"/>
  <c r="BH134" i="7"/>
  <c r="BL133" i="7"/>
  <c r="BK133" i="7"/>
  <c r="BJ133" i="7"/>
  <c r="BI133" i="7"/>
  <c r="BH133" i="7"/>
  <c r="BL132" i="7"/>
  <c r="BK132" i="7"/>
  <c r="BJ132" i="7"/>
  <c r="BI132" i="7"/>
  <c r="BH132" i="7"/>
  <c r="BL131" i="7"/>
  <c r="BK131" i="7"/>
  <c r="BJ131" i="7"/>
  <c r="BI131" i="7"/>
  <c r="BH131" i="7"/>
  <c r="BL130" i="7"/>
  <c r="BK130" i="7"/>
  <c r="BJ130" i="7"/>
  <c r="BI130" i="7"/>
  <c r="BH130" i="7"/>
  <c r="BL129" i="7"/>
  <c r="BK129" i="7"/>
  <c r="BJ129" i="7"/>
  <c r="BI129" i="7"/>
  <c r="BH129" i="7"/>
  <c r="BL128" i="7"/>
  <c r="BK128" i="7"/>
  <c r="BJ128" i="7"/>
  <c r="BI128" i="7"/>
  <c r="BH128" i="7"/>
  <c r="BL127" i="7"/>
  <c r="BK127" i="7"/>
  <c r="BJ127" i="7"/>
  <c r="BI127" i="7"/>
  <c r="BH127" i="7"/>
  <c r="BL126" i="7"/>
  <c r="BK126" i="7"/>
  <c r="BJ126" i="7"/>
  <c r="BI126" i="7"/>
  <c r="BH126" i="7"/>
  <c r="BL125" i="7"/>
  <c r="BK125" i="7"/>
  <c r="BJ125" i="7"/>
  <c r="BI125" i="7"/>
  <c r="BH125" i="7"/>
  <c r="BL124" i="7"/>
  <c r="BK124" i="7"/>
  <c r="BJ124" i="7"/>
  <c r="BI124" i="7"/>
  <c r="BH124" i="7"/>
  <c r="BL123" i="7"/>
  <c r="BK123" i="7"/>
  <c r="BJ123" i="7"/>
  <c r="BI123" i="7"/>
  <c r="BH123" i="7"/>
  <c r="BL122" i="7"/>
  <c r="BK122" i="7"/>
  <c r="BJ122" i="7"/>
  <c r="BI122" i="7"/>
  <c r="BH122" i="7"/>
  <c r="BL121" i="7"/>
  <c r="BK121" i="7"/>
  <c r="BJ121" i="7"/>
  <c r="BI121" i="7"/>
  <c r="BH121" i="7"/>
  <c r="BL120" i="7"/>
  <c r="BK120" i="7"/>
  <c r="BJ120" i="7"/>
  <c r="BI120" i="7"/>
  <c r="BH120" i="7"/>
  <c r="BL119" i="7"/>
  <c r="BK119" i="7"/>
  <c r="BJ119" i="7"/>
  <c r="BI119" i="7"/>
  <c r="BH119" i="7"/>
  <c r="BL118" i="7"/>
  <c r="BK118" i="7"/>
  <c r="BJ118" i="7"/>
  <c r="BI118" i="7"/>
  <c r="BH118" i="7"/>
  <c r="BL117" i="7"/>
  <c r="BK117" i="7"/>
  <c r="BJ117" i="7"/>
  <c r="BI117" i="7"/>
  <c r="BH117" i="7"/>
  <c r="BL116" i="7"/>
  <c r="BK116" i="7"/>
  <c r="BJ116" i="7"/>
  <c r="BI116" i="7"/>
  <c r="BH116" i="7"/>
  <c r="BL115" i="7"/>
  <c r="BK115" i="7"/>
  <c r="BJ115" i="7"/>
  <c r="BI115" i="7"/>
  <c r="BH115" i="7"/>
  <c r="BL114" i="7"/>
  <c r="BK114" i="7"/>
  <c r="BJ114" i="7"/>
  <c r="BI114" i="7"/>
  <c r="BH114" i="7"/>
  <c r="BL113" i="7"/>
  <c r="BK113" i="7"/>
  <c r="BJ113" i="7"/>
  <c r="BI113" i="7"/>
  <c r="BH113" i="7"/>
  <c r="BL112" i="7"/>
  <c r="BK112" i="7"/>
  <c r="BJ112" i="7"/>
  <c r="BI112" i="7"/>
  <c r="BH112" i="7"/>
  <c r="BL111" i="7"/>
  <c r="BK111" i="7"/>
  <c r="BJ111" i="7"/>
  <c r="BI111" i="7"/>
  <c r="BH111" i="7"/>
  <c r="BL110" i="7"/>
  <c r="BK110" i="7"/>
  <c r="BJ110" i="7"/>
  <c r="BI110" i="7"/>
  <c r="BH110" i="7"/>
  <c r="BL109" i="7"/>
  <c r="BK109" i="7"/>
  <c r="BJ109" i="7"/>
  <c r="BI109" i="7"/>
  <c r="BH109" i="7"/>
  <c r="BL108" i="7"/>
  <c r="BK108" i="7"/>
  <c r="BJ108" i="7"/>
  <c r="BI108" i="7"/>
  <c r="BH108" i="7"/>
  <c r="BL107" i="7"/>
  <c r="BK107" i="7"/>
  <c r="BJ107" i="7"/>
  <c r="BI107" i="7"/>
  <c r="BH107" i="7"/>
  <c r="BL106" i="7"/>
  <c r="BK106" i="7"/>
  <c r="BJ106" i="7"/>
  <c r="BI106" i="7"/>
  <c r="BH106" i="7"/>
  <c r="BL105" i="7"/>
  <c r="BK105" i="7"/>
  <c r="BJ105" i="7"/>
  <c r="BI105" i="7"/>
  <c r="BH105" i="7"/>
  <c r="BL104" i="7"/>
  <c r="BK104" i="7"/>
  <c r="BJ104" i="7"/>
  <c r="BI104" i="7"/>
  <c r="BH104" i="7"/>
  <c r="BL103" i="7"/>
  <c r="BK103" i="7"/>
  <c r="BJ103" i="7"/>
  <c r="BI103" i="7"/>
  <c r="BH103" i="7"/>
  <c r="BL102" i="7"/>
  <c r="BK102" i="7"/>
  <c r="BJ102" i="7"/>
  <c r="BI102" i="7"/>
  <c r="BH102" i="7"/>
  <c r="BL101" i="7"/>
  <c r="BK101" i="7"/>
  <c r="BJ101" i="7"/>
  <c r="BI101" i="7"/>
  <c r="BH101" i="7"/>
  <c r="BL100" i="7"/>
  <c r="BK100" i="7"/>
  <c r="BJ100" i="7"/>
  <c r="BI100" i="7"/>
  <c r="BH100" i="7"/>
  <c r="BL99" i="7"/>
  <c r="BK99" i="7"/>
  <c r="BJ99" i="7"/>
  <c r="BI99" i="7"/>
  <c r="BH99" i="7"/>
  <c r="BL98" i="7"/>
  <c r="BK98" i="7"/>
  <c r="BJ98" i="7"/>
  <c r="BI98" i="7"/>
  <c r="BH98" i="7"/>
  <c r="BL97" i="7"/>
  <c r="BK97" i="7"/>
  <c r="BJ97" i="7"/>
  <c r="BI97" i="7"/>
  <c r="BH97" i="7"/>
  <c r="BL96" i="7"/>
  <c r="BK96" i="7"/>
  <c r="BJ96" i="7"/>
  <c r="BI96" i="7"/>
  <c r="BH96" i="7"/>
  <c r="BL95" i="7"/>
  <c r="BK95" i="7"/>
  <c r="BJ95" i="7"/>
  <c r="BI95" i="7"/>
  <c r="BH95" i="7"/>
  <c r="BL94" i="7"/>
  <c r="BK94" i="7"/>
  <c r="BJ94" i="7"/>
  <c r="BI94" i="7"/>
  <c r="BH94" i="7"/>
  <c r="BL93" i="7"/>
  <c r="BK93" i="7"/>
  <c r="BJ93" i="7"/>
  <c r="BI93" i="7"/>
  <c r="BH93" i="7"/>
  <c r="BL92" i="7"/>
  <c r="BK92" i="7"/>
  <c r="BJ92" i="7"/>
  <c r="BI92" i="7"/>
  <c r="BH92" i="7"/>
  <c r="BL91" i="7"/>
  <c r="BK91" i="7"/>
  <c r="BJ91" i="7"/>
  <c r="BI91" i="7"/>
  <c r="BH91" i="7"/>
  <c r="BL90" i="7"/>
  <c r="BK90" i="7"/>
  <c r="BJ90" i="7"/>
  <c r="BI90" i="7"/>
  <c r="BH90" i="7"/>
  <c r="BL89" i="7"/>
  <c r="BK89" i="7"/>
  <c r="BJ89" i="7"/>
  <c r="BI89" i="7"/>
  <c r="BH89" i="7"/>
  <c r="BL88" i="7"/>
  <c r="BK88" i="7"/>
  <c r="BJ88" i="7"/>
  <c r="BI88" i="7"/>
  <c r="BH88" i="7"/>
  <c r="BL87" i="7"/>
  <c r="BK87" i="7"/>
  <c r="BJ87" i="7"/>
  <c r="BI87" i="7"/>
  <c r="BH87" i="7"/>
  <c r="BL86" i="7"/>
  <c r="BK86" i="7"/>
  <c r="BJ86" i="7"/>
  <c r="BI86" i="7"/>
  <c r="BH86" i="7"/>
  <c r="BL85" i="7"/>
  <c r="BK85" i="7"/>
  <c r="BJ85" i="7"/>
  <c r="BI85" i="7"/>
  <c r="BH85" i="7"/>
  <c r="BL84" i="7"/>
  <c r="BK84" i="7"/>
  <c r="BJ84" i="7"/>
  <c r="BI84" i="7"/>
  <c r="BH84" i="7"/>
  <c r="BL83" i="7"/>
  <c r="BK83" i="7"/>
  <c r="BJ83" i="7"/>
  <c r="BI83" i="7"/>
  <c r="BH83" i="7"/>
  <c r="BL82" i="7"/>
  <c r="BK82" i="7"/>
  <c r="BJ82" i="7"/>
  <c r="BI82" i="7"/>
  <c r="BH82" i="7"/>
  <c r="BL81" i="7"/>
  <c r="BK81" i="7"/>
  <c r="BJ81" i="7"/>
  <c r="BI81" i="7"/>
  <c r="BH81" i="7"/>
  <c r="BL80" i="7"/>
  <c r="BK80" i="7"/>
  <c r="BJ80" i="7"/>
  <c r="BI80" i="7"/>
  <c r="BH80" i="7"/>
  <c r="BL79" i="7"/>
  <c r="BK79" i="7"/>
  <c r="BJ79" i="7"/>
  <c r="BI79" i="7"/>
  <c r="BH79" i="7"/>
  <c r="BL78" i="7"/>
  <c r="BK78" i="7"/>
  <c r="BJ78" i="7"/>
  <c r="BI78" i="7"/>
  <c r="BH78" i="7"/>
  <c r="BL77" i="7"/>
  <c r="BK77" i="7"/>
  <c r="BJ77" i="7"/>
  <c r="BI77" i="7"/>
  <c r="BH77" i="7"/>
  <c r="BL76" i="7"/>
  <c r="BK76" i="7"/>
  <c r="BJ76" i="7"/>
  <c r="BI76" i="7"/>
  <c r="BH76" i="7"/>
  <c r="BL75" i="7"/>
  <c r="BK75" i="7"/>
  <c r="BJ75" i="7"/>
  <c r="BI75" i="7"/>
  <c r="BH75" i="7"/>
  <c r="BL74" i="7"/>
  <c r="BK74" i="7"/>
  <c r="BJ74" i="7"/>
  <c r="BI74" i="7"/>
  <c r="BH74" i="7"/>
  <c r="BL73" i="7"/>
  <c r="BK73" i="7"/>
  <c r="BJ73" i="7"/>
  <c r="BI73" i="7"/>
  <c r="BH73" i="7"/>
  <c r="BL72" i="7"/>
  <c r="BK72" i="7"/>
  <c r="BJ72" i="7"/>
  <c r="BI72" i="7"/>
  <c r="BH72" i="7"/>
  <c r="BL71" i="7"/>
  <c r="BK71" i="7"/>
  <c r="BJ71" i="7"/>
  <c r="BI71" i="7"/>
  <c r="BH71" i="7"/>
  <c r="BL70" i="7"/>
  <c r="BK70" i="7"/>
  <c r="BJ70" i="7"/>
  <c r="BI70" i="7"/>
  <c r="BH70" i="7"/>
  <c r="BL69" i="7"/>
  <c r="BK69" i="7"/>
  <c r="BJ69" i="7"/>
  <c r="BI69" i="7"/>
  <c r="BH69" i="7"/>
  <c r="BL68" i="7"/>
  <c r="BK68" i="7"/>
  <c r="BJ68" i="7"/>
  <c r="BI68" i="7"/>
  <c r="BH68" i="7"/>
  <c r="BL67" i="7"/>
  <c r="BK67" i="7"/>
  <c r="BJ67" i="7"/>
  <c r="BI67" i="7"/>
  <c r="BH67" i="7"/>
  <c r="BL66" i="7"/>
  <c r="BK66" i="7"/>
  <c r="BJ66" i="7"/>
  <c r="BI66" i="7"/>
  <c r="BH66" i="7"/>
  <c r="BL65" i="7"/>
  <c r="BK65" i="7"/>
  <c r="BJ65" i="7"/>
  <c r="BI65" i="7"/>
  <c r="BH65" i="7"/>
  <c r="BL64" i="7"/>
  <c r="BK64" i="7"/>
  <c r="BJ64" i="7"/>
  <c r="BI64" i="7"/>
  <c r="BH64" i="7"/>
  <c r="BL63" i="7"/>
  <c r="BK63" i="7"/>
  <c r="BJ63" i="7"/>
  <c r="BI63" i="7"/>
  <c r="BH63" i="7"/>
  <c r="BL62" i="7"/>
  <c r="BK62" i="7"/>
  <c r="BJ62" i="7"/>
  <c r="BI62" i="7"/>
  <c r="BH62" i="7"/>
  <c r="BL61" i="7"/>
  <c r="BK61" i="7"/>
  <c r="BJ61" i="7"/>
  <c r="BI61" i="7"/>
  <c r="BH61" i="7"/>
  <c r="BL60" i="7"/>
  <c r="BK60" i="7"/>
  <c r="BJ60" i="7"/>
  <c r="BI60" i="7"/>
  <c r="BH60" i="7"/>
  <c r="BL59" i="7"/>
  <c r="BK59" i="7"/>
  <c r="BJ59" i="7"/>
  <c r="BI59" i="7"/>
  <c r="BH59" i="7"/>
  <c r="BL58" i="7"/>
  <c r="BK58" i="7"/>
  <c r="BJ58" i="7"/>
  <c r="BI58" i="7"/>
  <c r="BH58" i="7"/>
  <c r="BL57" i="7"/>
  <c r="BK57" i="7"/>
  <c r="BJ57" i="7"/>
  <c r="BI57" i="7"/>
  <c r="BH57" i="7"/>
  <c r="BL56" i="7"/>
  <c r="BK56" i="7"/>
  <c r="BJ56" i="7"/>
  <c r="BI56" i="7"/>
  <c r="BH56" i="7"/>
  <c r="BL55" i="7"/>
  <c r="BK55" i="7"/>
  <c r="BJ55" i="7"/>
  <c r="BI55" i="7"/>
  <c r="BH55" i="7"/>
  <c r="BL54" i="7"/>
  <c r="BK54" i="7"/>
  <c r="BJ54" i="7"/>
  <c r="BI54" i="7"/>
  <c r="BH54" i="7"/>
  <c r="BL53" i="7"/>
  <c r="BK53" i="7"/>
  <c r="BJ53" i="7"/>
  <c r="BI53" i="7"/>
  <c r="BH53" i="7"/>
  <c r="BL52" i="7"/>
  <c r="BK52" i="7"/>
  <c r="BJ52" i="7"/>
  <c r="BI52" i="7"/>
  <c r="BH52" i="7"/>
  <c r="BL51" i="7"/>
  <c r="BK51" i="7"/>
  <c r="BJ51" i="7"/>
  <c r="BI51" i="7"/>
  <c r="BH51" i="7"/>
  <c r="BL50" i="7"/>
  <c r="BK50" i="7"/>
  <c r="BJ50" i="7"/>
  <c r="BI50" i="7"/>
  <c r="BH50" i="7"/>
  <c r="BL49" i="7"/>
  <c r="BK49" i="7"/>
  <c r="BJ49" i="7"/>
  <c r="BI49" i="7"/>
  <c r="BH49" i="7"/>
  <c r="BL48" i="7"/>
  <c r="BK48" i="7"/>
  <c r="BJ48" i="7"/>
  <c r="BI48" i="7"/>
  <c r="BH48" i="7"/>
  <c r="BL47" i="7"/>
  <c r="BK47" i="7"/>
  <c r="BJ47" i="7"/>
  <c r="BI47" i="7"/>
  <c r="BH47" i="7"/>
  <c r="BL46" i="7"/>
  <c r="BK46" i="7"/>
  <c r="BJ46" i="7"/>
  <c r="BI46" i="7"/>
  <c r="BH46" i="7"/>
  <c r="BL45" i="7"/>
  <c r="BK45" i="7"/>
  <c r="BJ45" i="7"/>
  <c r="BI45" i="7"/>
  <c r="BH45" i="7"/>
  <c r="BL44" i="7"/>
  <c r="BK44" i="7"/>
  <c r="BJ44" i="7"/>
  <c r="BI44" i="7"/>
  <c r="BH44" i="7"/>
  <c r="BL43" i="7"/>
  <c r="BK43" i="7"/>
  <c r="BJ43" i="7"/>
  <c r="BI43" i="7"/>
  <c r="BH43" i="7"/>
  <c r="BL42" i="7"/>
  <c r="BK42" i="7"/>
  <c r="BJ42" i="7"/>
  <c r="BI42" i="7"/>
  <c r="BH42" i="7"/>
  <c r="BL41" i="7"/>
  <c r="BK41" i="7"/>
  <c r="BJ41" i="7"/>
  <c r="BI41" i="7"/>
  <c r="BH41" i="7"/>
  <c r="BL40" i="7"/>
  <c r="BK40" i="7"/>
  <c r="BJ40" i="7"/>
  <c r="BI40" i="7"/>
  <c r="BH40" i="7"/>
  <c r="BL39" i="7"/>
  <c r="BK39" i="7"/>
  <c r="BJ39" i="7"/>
  <c r="BI39" i="7"/>
  <c r="BH39" i="7"/>
  <c r="BL38" i="7"/>
  <c r="BK38" i="7"/>
  <c r="BJ38" i="7"/>
  <c r="BI38" i="7"/>
  <c r="BH38" i="7"/>
  <c r="BL37" i="7"/>
  <c r="BK37" i="7"/>
  <c r="BJ37" i="7"/>
  <c r="BI37" i="7"/>
  <c r="BH37" i="7"/>
  <c r="BL36" i="7"/>
  <c r="BK36" i="7"/>
  <c r="BJ36" i="7"/>
  <c r="BI36" i="7"/>
  <c r="BH36" i="7"/>
  <c r="BL35" i="7"/>
  <c r="BK35" i="7"/>
  <c r="BJ35" i="7"/>
  <c r="BI35" i="7"/>
  <c r="BH35" i="7"/>
  <c r="BL34" i="7"/>
  <c r="BK34" i="7"/>
  <c r="BJ34" i="7"/>
  <c r="BI34" i="7"/>
  <c r="BH34" i="7"/>
  <c r="BL33" i="7"/>
  <c r="BK33" i="7"/>
  <c r="BJ33" i="7"/>
  <c r="BI33" i="7"/>
  <c r="BH33" i="7"/>
  <c r="BL32" i="7"/>
  <c r="BK32" i="7"/>
  <c r="BJ32" i="7"/>
  <c r="BI32" i="7"/>
  <c r="BH32" i="7"/>
  <c r="BL31" i="7"/>
  <c r="BK31" i="7"/>
  <c r="BJ31" i="7"/>
  <c r="BI31" i="7"/>
  <c r="BH31" i="7"/>
  <c r="BL30" i="7"/>
  <c r="BK30" i="7"/>
  <c r="BJ30" i="7"/>
  <c r="BI30" i="7"/>
  <c r="BH30" i="7"/>
  <c r="BL29" i="7"/>
  <c r="BK29" i="7"/>
  <c r="BJ29" i="7"/>
  <c r="BI29" i="7"/>
  <c r="BH29" i="7"/>
  <c r="BL28" i="7"/>
  <c r="BK28" i="7"/>
  <c r="BJ28" i="7"/>
  <c r="BI28" i="7"/>
  <c r="BH28" i="7"/>
  <c r="BL27" i="7"/>
  <c r="BK27" i="7"/>
  <c r="BJ27" i="7"/>
  <c r="BI27" i="7"/>
  <c r="BH27" i="7"/>
  <c r="BL26" i="7"/>
  <c r="BK26" i="7"/>
  <c r="BJ26" i="7"/>
  <c r="BI26" i="7"/>
  <c r="BH26" i="7"/>
  <c r="BL25" i="7"/>
  <c r="BK25" i="7"/>
  <c r="BJ25" i="7"/>
  <c r="BI25" i="7"/>
  <c r="BH25" i="7"/>
  <c r="BL24" i="7"/>
  <c r="BK24" i="7"/>
  <c r="BJ24" i="7"/>
  <c r="BI24" i="7"/>
  <c r="BH24" i="7"/>
  <c r="BL23" i="7"/>
  <c r="BK23" i="7"/>
  <c r="BJ23" i="7"/>
  <c r="BI23" i="7"/>
  <c r="BH23" i="7"/>
  <c r="BL22" i="7"/>
  <c r="BK22" i="7"/>
  <c r="BJ22" i="7"/>
  <c r="BI22" i="7"/>
  <c r="BH22" i="7"/>
  <c r="BL21" i="7"/>
  <c r="BK21" i="7"/>
  <c r="BJ21" i="7"/>
  <c r="BI21" i="7"/>
  <c r="BH21" i="7"/>
  <c r="BL20" i="7"/>
  <c r="BK20" i="7"/>
  <c r="BJ20" i="7"/>
  <c r="BI20" i="7"/>
  <c r="BH20" i="7"/>
  <c r="BL19" i="7"/>
  <c r="BK19" i="7"/>
  <c r="BJ19" i="7"/>
  <c r="BI19" i="7"/>
  <c r="BH19" i="7"/>
  <c r="BL18" i="7"/>
  <c r="BK18" i="7"/>
  <c r="BJ18" i="7"/>
  <c r="BI18" i="7"/>
  <c r="BH18" i="7"/>
  <c r="BL17" i="7"/>
  <c r="BK17" i="7"/>
  <c r="BJ17" i="7"/>
  <c r="BI17" i="7"/>
  <c r="BH17" i="7"/>
  <c r="BL16" i="7"/>
  <c r="BK16" i="7"/>
  <c r="BJ16" i="7"/>
  <c r="BI16" i="7"/>
  <c r="BH16" i="7"/>
  <c r="BL15" i="7"/>
  <c r="BK15" i="7"/>
  <c r="BJ15" i="7"/>
  <c r="BI15" i="7"/>
  <c r="BH15" i="7"/>
  <c r="BL14" i="7"/>
  <c r="BK14" i="7"/>
  <c r="BJ14" i="7"/>
  <c r="BI14" i="7"/>
  <c r="BH14" i="7"/>
  <c r="BL13" i="7"/>
  <c r="BK13" i="7"/>
  <c r="BJ13" i="7"/>
  <c r="BI13" i="7"/>
  <c r="BH13" i="7"/>
  <c r="BL12" i="7"/>
  <c r="BK12" i="7"/>
  <c r="BJ12" i="7"/>
  <c r="BI12" i="7"/>
  <c r="BH12" i="7"/>
  <c r="BL8" i="7"/>
  <c r="BK8" i="7"/>
  <c r="BJ8" i="7"/>
  <c r="BI8" i="7"/>
  <c r="BH8" i="7"/>
  <c r="BL9" i="7"/>
  <c r="BK9" i="7"/>
  <c r="BJ9" i="7"/>
  <c r="BI9" i="7"/>
  <c r="AX20" i="7" s="1"/>
  <c r="BH9" i="7"/>
  <c r="BL10" i="7"/>
  <c r="BK10" i="7"/>
  <c r="BJ10" i="7"/>
  <c r="BI10" i="7"/>
  <c r="BH10" i="7"/>
  <c r="BL11" i="7"/>
  <c r="BK11" i="7"/>
  <c r="BJ11" i="7"/>
  <c r="BI11" i="7"/>
  <c r="BH11" i="7"/>
  <c r="BL7" i="7"/>
  <c r="BA10" i="7" s="1"/>
  <c r="BK7" i="7"/>
  <c r="AZ10" i="7" s="1"/>
  <c r="BJ7" i="7"/>
  <c r="AY17" i="7" s="1"/>
  <c r="BI7" i="7"/>
  <c r="AX17" i="7" s="1"/>
  <c r="BH7" i="7"/>
  <c r="AW10" i="7" s="1"/>
  <c r="BL6" i="7"/>
  <c r="BA6" i="7" s="1"/>
  <c r="BK6" i="7"/>
  <c r="AZ6" i="7" s="1"/>
  <c r="BJ6" i="7"/>
  <c r="AY6" i="7" s="1"/>
  <c r="BI6" i="7"/>
  <c r="AX6" i="7" s="1"/>
  <c r="BH6" i="7"/>
  <c r="AW6" i="7" s="1"/>
  <c r="BL5" i="7"/>
  <c r="BA13" i="7" s="1"/>
  <c r="BK5" i="7"/>
  <c r="AZ5" i="7" s="1"/>
  <c r="BJ5" i="7"/>
  <c r="AY5" i="7" s="1"/>
  <c r="BI5" i="7"/>
  <c r="AX5" i="7" s="1"/>
  <c r="BH5" i="7"/>
  <c r="AW5" i="7" s="1"/>
  <c r="BL4" i="7"/>
  <c r="BA4" i="7" s="1"/>
  <c r="AP4" i="7" s="1"/>
  <c r="BK4" i="7"/>
  <c r="AZ4" i="7" s="1"/>
  <c r="AO4" i="7" s="1"/>
  <c r="BJ4" i="7"/>
  <c r="AY4" i="7" s="1"/>
  <c r="AN4" i="7" s="1"/>
  <c r="BI4" i="7"/>
  <c r="AX4" i="7" s="1"/>
  <c r="AM4" i="7" s="1"/>
  <c r="BH4" i="7"/>
  <c r="AW4" i="7" s="1"/>
  <c r="AL4" i="7" s="1"/>
  <c r="BH3" i="7"/>
  <c r="AW3" i="7" s="1"/>
  <c r="BL3" i="7"/>
  <c r="BA3" i="7" s="1"/>
  <c r="BK3" i="7"/>
  <c r="AZ3" i="7" s="1"/>
  <c r="BJ3" i="7"/>
  <c r="AY3" i="7" s="1"/>
  <c r="BI3" i="7"/>
  <c r="AX3" i="7" s="1"/>
  <c r="AE301" i="7"/>
  <c r="AD301" i="7"/>
  <c r="AC301" i="7"/>
  <c r="AB301" i="7"/>
  <c r="AA301" i="7"/>
  <c r="AE300" i="7"/>
  <c r="AD300" i="7"/>
  <c r="AC300" i="7"/>
  <c r="AB300" i="7"/>
  <c r="AA300" i="7"/>
  <c r="AE299" i="7"/>
  <c r="AD299" i="7"/>
  <c r="AC299" i="7"/>
  <c r="AB299" i="7"/>
  <c r="AA299" i="7"/>
  <c r="AE298" i="7"/>
  <c r="AD298" i="7"/>
  <c r="AC298" i="7"/>
  <c r="AB298" i="7"/>
  <c r="AA298" i="7"/>
  <c r="AE297" i="7"/>
  <c r="AD297" i="7"/>
  <c r="AC297" i="7"/>
  <c r="AB297" i="7"/>
  <c r="AA297" i="7"/>
  <c r="AE296" i="7"/>
  <c r="AD296" i="7"/>
  <c r="AC296" i="7"/>
  <c r="AB296" i="7"/>
  <c r="AA296" i="7"/>
  <c r="AE295" i="7"/>
  <c r="AD295" i="7"/>
  <c r="AC295" i="7"/>
  <c r="AB295" i="7"/>
  <c r="AA295" i="7"/>
  <c r="AE294" i="7"/>
  <c r="AD294" i="7"/>
  <c r="AC294" i="7"/>
  <c r="AB294" i="7"/>
  <c r="AA294" i="7"/>
  <c r="AE293" i="7"/>
  <c r="AD293" i="7"/>
  <c r="AC293" i="7"/>
  <c r="AB293" i="7"/>
  <c r="AA293" i="7"/>
  <c r="AE292" i="7"/>
  <c r="AD292" i="7"/>
  <c r="AC292" i="7"/>
  <c r="AB292" i="7"/>
  <c r="AA292" i="7"/>
  <c r="AE291" i="7"/>
  <c r="AD291" i="7"/>
  <c r="AC291" i="7"/>
  <c r="AB291" i="7"/>
  <c r="AA291" i="7"/>
  <c r="AE290" i="7"/>
  <c r="AD290" i="7"/>
  <c r="AC290" i="7"/>
  <c r="AB290" i="7"/>
  <c r="AA290" i="7"/>
  <c r="AE289" i="7"/>
  <c r="AD289" i="7"/>
  <c r="AC289" i="7"/>
  <c r="AB289" i="7"/>
  <c r="AA289" i="7"/>
  <c r="AE288" i="7"/>
  <c r="AD288" i="7"/>
  <c r="AC288" i="7"/>
  <c r="AB288" i="7"/>
  <c r="AA288" i="7"/>
  <c r="AE287" i="7"/>
  <c r="AD287" i="7"/>
  <c r="AC287" i="7"/>
  <c r="AB287" i="7"/>
  <c r="AA287" i="7"/>
  <c r="AE286" i="7"/>
  <c r="AD286" i="7"/>
  <c r="AC286" i="7"/>
  <c r="AB286" i="7"/>
  <c r="AA286" i="7"/>
  <c r="AE285" i="7"/>
  <c r="AD285" i="7"/>
  <c r="AC285" i="7"/>
  <c r="AB285" i="7"/>
  <c r="AA285" i="7"/>
  <c r="AE284" i="7"/>
  <c r="AD284" i="7"/>
  <c r="AC284" i="7"/>
  <c r="AB284" i="7"/>
  <c r="AA284" i="7"/>
  <c r="AE283" i="7"/>
  <c r="AD283" i="7"/>
  <c r="AC283" i="7"/>
  <c r="AB283" i="7"/>
  <c r="AA283" i="7"/>
  <c r="AE282" i="7"/>
  <c r="AD282" i="7"/>
  <c r="AC282" i="7"/>
  <c r="AB282" i="7"/>
  <c r="AA282" i="7"/>
  <c r="AE281" i="7"/>
  <c r="AD281" i="7"/>
  <c r="AC281" i="7"/>
  <c r="AB281" i="7"/>
  <c r="AA281" i="7"/>
  <c r="AE280" i="7"/>
  <c r="AD280" i="7"/>
  <c r="AC280" i="7"/>
  <c r="AB280" i="7"/>
  <c r="AA280" i="7"/>
  <c r="AE279" i="7"/>
  <c r="AD279" i="7"/>
  <c r="AC279" i="7"/>
  <c r="AB279" i="7"/>
  <c r="AA279" i="7"/>
  <c r="AE278" i="7"/>
  <c r="AD278" i="7"/>
  <c r="AC278" i="7"/>
  <c r="AB278" i="7"/>
  <c r="AA278" i="7"/>
  <c r="AE277" i="7"/>
  <c r="AD277" i="7"/>
  <c r="AC277" i="7"/>
  <c r="AB277" i="7"/>
  <c r="AA277" i="7"/>
  <c r="AE276" i="7"/>
  <c r="AD276" i="7"/>
  <c r="AC276" i="7"/>
  <c r="AB276" i="7"/>
  <c r="AA276" i="7"/>
  <c r="AE275" i="7"/>
  <c r="AD275" i="7"/>
  <c r="AC275" i="7"/>
  <c r="AB275" i="7"/>
  <c r="AA275" i="7"/>
  <c r="AE274" i="7"/>
  <c r="AD274" i="7"/>
  <c r="AC274" i="7"/>
  <c r="AB274" i="7"/>
  <c r="AA274" i="7"/>
  <c r="AE273" i="7"/>
  <c r="AD273" i="7"/>
  <c r="AC273" i="7"/>
  <c r="AB273" i="7"/>
  <c r="AA273" i="7"/>
  <c r="AE272" i="7"/>
  <c r="AD272" i="7"/>
  <c r="AC272" i="7"/>
  <c r="AB272" i="7"/>
  <c r="AA272" i="7"/>
  <c r="AE271" i="7"/>
  <c r="AD271" i="7"/>
  <c r="AC271" i="7"/>
  <c r="AB271" i="7"/>
  <c r="AA271" i="7"/>
  <c r="AE270" i="7"/>
  <c r="AD270" i="7"/>
  <c r="AC270" i="7"/>
  <c r="AB270" i="7"/>
  <c r="AA270" i="7"/>
  <c r="AE269" i="7"/>
  <c r="AD269" i="7"/>
  <c r="AC269" i="7"/>
  <c r="AB269" i="7"/>
  <c r="AA269" i="7"/>
  <c r="AE268" i="7"/>
  <c r="AD268" i="7"/>
  <c r="AC268" i="7"/>
  <c r="AB268" i="7"/>
  <c r="AA268" i="7"/>
  <c r="AE267" i="7"/>
  <c r="AD267" i="7"/>
  <c r="AC267" i="7"/>
  <c r="AB267" i="7"/>
  <c r="AA267" i="7"/>
  <c r="AE266" i="7"/>
  <c r="AD266" i="7"/>
  <c r="AC266" i="7"/>
  <c r="AB266" i="7"/>
  <c r="AA266" i="7"/>
  <c r="AE265" i="7"/>
  <c r="AD265" i="7"/>
  <c r="AC265" i="7"/>
  <c r="AB265" i="7"/>
  <c r="AA265" i="7"/>
  <c r="AE264" i="7"/>
  <c r="AD264" i="7"/>
  <c r="AC264" i="7"/>
  <c r="AB264" i="7"/>
  <c r="AA264" i="7"/>
  <c r="AE263" i="7"/>
  <c r="AD263" i="7"/>
  <c r="AC263" i="7"/>
  <c r="AB263" i="7"/>
  <c r="AA263" i="7"/>
  <c r="AE262" i="7"/>
  <c r="AD262" i="7"/>
  <c r="AC262" i="7"/>
  <c r="AB262" i="7"/>
  <c r="AA262" i="7"/>
  <c r="AE261" i="7"/>
  <c r="AD261" i="7"/>
  <c r="AC261" i="7"/>
  <c r="AB261" i="7"/>
  <c r="AA261" i="7"/>
  <c r="AE260" i="7"/>
  <c r="AD260" i="7"/>
  <c r="AC260" i="7"/>
  <c r="AB260" i="7"/>
  <c r="AA260" i="7"/>
  <c r="AE259" i="7"/>
  <c r="AD259" i="7"/>
  <c r="AC259" i="7"/>
  <c r="AB259" i="7"/>
  <c r="AA259" i="7"/>
  <c r="AE258" i="7"/>
  <c r="AD258" i="7"/>
  <c r="AC258" i="7"/>
  <c r="AB258" i="7"/>
  <c r="AA258" i="7"/>
  <c r="AE257" i="7"/>
  <c r="AD257" i="7"/>
  <c r="AC257" i="7"/>
  <c r="AB257" i="7"/>
  <c r="AA257" i="7"/>
  <c r="AE256" i="7"/>
  <c r="AD256" i="7"/>
  <c r="AC256" i="7"/>
  <c r="AB256" i="7"/>
  <c r="AA256" i="7"/>
  <c r="AE255" i="7"/>
  <c r="AD255" i="7"/>
  <c r="AC255" i="7"/>
  <c r="AB255" i="7"/>
  <c r="AA255" i="7"/>
  <c r="AE254" i="7"/>
  <c r="AD254" i="7"/>
  <c r="AC254" i="7"/>
  <c r="AB254" i="7"/>
  <c r="AA254" i="7"/>
  <c r="AE253" i="7"/>
  <c r="AD253" i="7"/>
  <c r="AC253" i="7"/>
  <c r="AB253" i="7"/>
  <c r="AA253" i="7"/>
  <c r="AE252" i="7"/>
  <c r="AD252" i="7"/>
  <c r="AC252" i="7"/>
  <c r="AB252" i="7"/>
  <c r="AA252" i="7"/>
  <c r="AE251" i="7"/>
  <c r="AD251" i="7"/>
  <c r="AC251" i="7"/>
  <c r="AB251" i="7"/>
  <c r="AA251" i="7"/>
  <c r="AE250" i="7"/>
  <c r="AD250" i="7"/>
  <c r="AC250" i="7"/>
  <c r="AB250" i="7"/>
  <c r="AA250" i="7"/>
  <c r="AE249" i="7"/>
  <c r="AD249" i="7"/>
  <c r="AC249" i="7"/>
  <c r="AB249" i="7"/>
  <c r="AA249" i="7"/>
  <c r="AE248" i="7"/>
  <c r="AD248" i="7"/>
  <c r="AC248" i="7"/>
  <c r="AB248" i="7"/>
  <c r="AA248" i="7"/>
  <c r="AE247" i="7"/>
  <c r="AD247" i="7"/>
  <c r="AC247" i="7"/>
  <c r="AB247" i="7"/>
  <c r="AA247" i="7"/>
  <c r="AE246" i="7"/>
  <c r="AD246" i="7"/>
  <c r="AC246" i="7"/>
  <c r="AB246" i="7"/>
  <c r="AA246" i="7"/>
  <c r="AE245" i="7"/>
  <c r="AD245" i="7"/>
  <c r="AC245" i="7"/>
  <c r="AB245" i="7"/>
  <c r="AA245" i="7"/>
  <c r="AE244" i="7"/>
  <c r="AD244" i="7"/>
  <c r="AC244" i="7"/>
  <c r="AB244" i="7"/>
  <c r="AA244" i="7"/>
  <c r="AE243" i="7"/>
  <c r="AD243" i="7"/>
  <c r="AC243" i="7"/>
  <c r="AB243" i="7"/>
  <c r="AA243" i="7"/>
  <c r="AE242" i="7"/>
  <c r="AD242" i="7"/>
  <c r="AC242" i="7"/>
  <c r="AB242" i="7"/>
  <c r="AA242" i="7"/>
  <c r="AE241" i="7"/>
  <c r="AD241" i="7"/>
  <c r="AC241" i="7"/>
  <c r="AB241" i="7"/>
  <c r="AA241" i="7"/>
  <c r="AE240" i="7"/>
  <c r="AD240" i="7"/>
  <c r="AC240" i="7"/>
  <c r="AB240" i="7"/>
  <c r="AA240" i="7"/>
  <c r="AE239" i="7"/>
  <c r="AD239" i="7"/>
  <c r="AC239" i="7"/>
  <c r="AB239" i="7"/>
  <c r="AA239" i="7"/>
  <c r="AE238" i="7"/>
  <c r="AD238" i="7"/>
  <c r="AC238" i="7"/>
  <c r="AB238" i="7"/>
  <c r="AA238" i="7"/>
  <c r="AE237" i="7"/>
  <c r="AD237" i="7"/>
  <c r="AC237" i="7"/>
  <c r="AB237" i="7"/>
  <c r="AA237" i="7"/>
  <c r="AE236" i="7"/>
  <c r="AD236" i="7"/>
  <c r="AC236" i="7"/>
  <c r="AB236" i="7"/>
  <c r="AA236" i="7"/>
  <c r="AE235" i="7"/>
  <c r="AD235" i="7"/>
  <c r="AC235" i="7"/>
  <c r="AB235" i="7"/>
  <c r="AA235" i="7"/>
  <c r="AE234" i="7"/>
  <c r="AD234" i="7"/>
  <c r="AC234" i="7"/>
  <c r="AB234" i="7"/>
  <c r="AA234" i="7"/>
  <c r="AE233" i="7"/>
  <c r="AD233" i="7"/>
  <c r="AC233" i="7"/>
  <c r="AB233" i="7"/>
  <c r="AA233" i="7"/>
  <c r="AE232" i="7"/>
  <c r="AD232" i="7"/>
  <c r="AC232" i="7"/>
  <c r="AB232" i="7"/>
  <c r="AA232" i="7"/>
  <c r="AE231" i="7"/>
  <c r="AD231" i="7"/>
  <c r="AC231" i="7"/>
  <c r="AB231" i="7"/>
  <c r="AA231" i="7"/>
  <c r="AE230" i="7"/>
  <c r="AD230" i="7"/>
  <c r="AC230" i="7"/>
  <c r="AB230" i="7"/>
  <c r="AA230" i="7"/>
  <c r="AE229" i="7"/>
  <c r="AD229" i="7"/>
  <c r="AC229" i="7"/>
  <c r="AB229" i="7"/>
  <c r="AA229" i="7"/>
  <c r="AE228" i="7"/>
  <c r="AD228" i="7"/>
  <c r="AC228" i="7"/>
  <c r="AB228" i="7"/>
  <c r="AA228" i="7"/>
  <c r="AE227" i="7"/>
  <c r="AD227" i="7"/>
  <c r="AC227" i="7"/>
  <c r="AB227" i="7"/>
  <c r="AA227" i="7"/>
  <c r="AE226" i="7"/>
  <c r="AD226" i="7"/>
  <c r="AC226" i="7"/>
  <c r="AB226" i="7"/>
  <c r="AA226" i="7"/>
  <c r="AE225" i="7"/>
  <c r="AD225" i="7"/>
  <c r="AC225" i="7"/>
  <c r="AB225" i="7"/>
  <c r="AA225" i="7"/>
  <c r="AE224" i="7"/>
  <c r="AD224" i="7"/>
  <c r="AC224" i="7"/>
  <c r="AB224" i="7"/>
  <c r="AA224" i="7"/>
  <c r="AE223" i="7"/>
  <c r="AD223" i="7"/>
  <c r="AC223" i="7"/>
  <c r="AB223" i="7"/>
  <c r="AA223" i="7"/>
  <c r="AE222" i="7"/>
  <c r="AD222" i="7"/>
  <c r="AC222" i="7"/>
  <c r="AB222" i="7"/>
  <c r="AA222" i="7"/>
  <c r="AE221" i="7"/>
  <c r="AD221" i="7"/>
  <c r="AC221" i="7"/>
  <c r="AB221" i="7"/>
  <c r="AA221" i="7"/>
  <c r="AE220" i="7"/>
  <c r="AD220" i="7"/>
  <c r="AC220" i="7"/>
  <c r="AB220" i="7"/>
  <c r="AA220" i="7"/>
  <c r="AE219" i="7"/>
  <c r="AD219" i="7"/>
  <c r="AC219" i="7"/>
  <c r="AB219" i="7"/>
  <c r="AA219" i="7"/>
  <c r="AE218" i="7"/>
  <c r="AD218" i="7"/>
  <c r="AC218" i="7"/>
  <c r="AB218" i="7"/>
  <c r="AA218" i="7"/>
  <c r="AE217" i="7"/>
  <c r="AD217" i="7"/>
  <c r="AC217" i="7"/>
  <c r="AB217" i="7"/>
  <c r="AA217" i="7"/>
  <c r="AE216" i="7"/>
  <c r="AD216" i="7"/>
  <c r="AC216" i="7"/>
  <c r="AB216" i="7"/>
  <c r="AA216" i="7"/>
  <c r="AE215" i="7"/>
  <c r="AD215" i="7"/>
  <c r="AC215" i="7"/>
  <c r="AB215" i="7"/>
  <c r="AA215" i="7"/>
  <c r="AE214" i="7"/>
  <c r="AD214" i="7"/>
  <c r="AC214" i="7"/>
  <c r="AB214" i="7"/>
  <c r="AA214" i="7"/>
  <c r="AE213" i="7"/>
  <c r="AD213" i="7"/>
  <c r="AC213" i="7"/>
  <c r="AB213" i="7"/>
  <c r="AA213" i="7"/>
  <c r="AE212" i="7"/>
  <c r="AD212" i="7"/>
  <c r="AC212" i="7"/>
  <c r="AB212" i="7"/>
  <c r="AA212" i="7"/>
  <c r="AE211" i="7"/>
  <c r="AD211" i="7"/>
  <c r="AC211" i="7"/>
  <c r="AB211" i="7"/>
  <c r="AA211" i="7"/>
  <c r="AE210" i="7"/>
  <c r="AD210" i="7"/>
  <c r="AC210" i="7"/>
  <c r="AB210" i="7"/>
  <c r="AA210" i="7"/>
  <c r="AE209" i="7"/>
  <c r="AD209" i="7"/>
  <c r="AC209" i="7"/>
  <c r="AB209" i="7"/>
  <c r="AA209" i="7"/>
  <c r="AE208" i="7"/>
  <c r="AD208" i="7"/>
  <c r="AC208" i="7"/>
  <c r="AB208" i="7"/>
  <c r="AA208" i="7"/>
  <c r="AE207" i="7"/>
  <c r="AD207" i="7"/>
  <c r="AC207" i="7"/>
  <c r="AB207" i="7"/>
  <c r="AA207" i="7"/>
  <c r="AE206" i="7"/>
  <c r="AD206" i="7"/>
  <c r="AC206" i="7"/>
  <c r="AB206" i="7"/>
  <c r="AA206" i="7"/>
  <c r="AE205" i="7"/>
  <c r="AD205" i="7"/>
  <c r="AC205" i="7"/>
  <c r="AB205" i="7"/>
  <c r="AA205" i="7"/>
  <c r="AE204" i="7"/>
  <c r="AD204" i="7"/>
  <c r="AC204" i="7"/>
  <c r="AB204" i="7"/>
  <c r="AA204" i="7"/>
  <c r="AE203" i="7"/>
  <c r="AD203" i="7"/>
  <c r="AC203" i="7"/>
  <c r="AB203" i="7"/>
  <c r="AA203" i="7"/>
  <c r="AE202" i="7"/>
  <c r="AD202" i="7"/>
  <c r="AC202" i="7"/>
  <c r="AB202" i="7"/>
  <c r="AA202" i="7"/>
  <c r="AE201" i="7"/>
  <c r="AD201" i="7"/>
  <c r="AC201" i="7"/>
  <c r="AB201" i="7"/>
  <c r="AA201" i="7"/>
  <c r="AE200" i="7"/>
  <c r="AD200" i="7"/>
  <c r="AC200" i="7"/>
  <c r="AB200" i="7"/>
  <c r="AA200" i="7"/>
  <c r="AE199" i="7"/>
  <c r="AD199" i="7"/>
  <c r="AC199" i="7"/>
  <c r="AB199" i="7"/>
  <c r="AA199" i="7"/>
  <c r="AE198" i="7"/>
  <c r="AD198" i="7"/>
  <c r="AC198" i="7"/>
  <c r="AB198" i="7"/>
  <c r="AA198" i="7"/>
  <c r="AE197" i="7"/>
  <c r="AD197" i="7"/>
  <c r="AC197" i="7"/>
  <c r="AB197" i="7"/>
  <c r="AA197" i="7"/>
  <c r="AE196" i="7"/>
  <c r="AD196" i="7"/>
  <c r="AC196" i="7"/>
  <c r="AB196" i="7"/>
  <c r="AA196" i="7"/>
  <c r="AE195" i="7"/>
  <c r="AD195" i="7"/>
  <c r="AC195" i="7"/>
  <c r="AB195" i="7"/>
  <c r="AA195" i="7"/>
  <c r="AE194" i="7"/>
  <c r="AD194" i="7"/>
  <c r="AC194" i="7"/>
  <c r="AB194" i="7"/>
  <c r="AA194" i="7"/>
  <c r="AE193" i="7"/>
  <c r="AD193" i="7"/>
  <c r="AC193" i="7"/>
  <c r="AB193" i="7"/>
  <c r="AA193" i="7"/>
  <c r="AE192" i="7"/>
  <c r="AD192" i="7"/>
  <c r="AC192" i="7"/>
  <c r="AB192" i="7"/>
  <c r="AA192" i="7"/>
  <c r="AE191" i="7"/>
  <c r="AD191" i="7"/>
  <c r="AC191" i="7"/>
  <c r="AB191" i="7"/>
  <c r="AA191" i="7"/>
  <c r="AE190" i="7"/>
  <c r="AD190" i="7"/>
  <c r="AC190" i="7"/>
  <c r="AB190" i="7"/>
  <c r="AA190" i="7"/>
  <c r="AE189" i="7"/>
  <c r="AD189" i="7"/>
  <c r="AC189" i="7"/>
  <c r="AB189" i="7"/>
  <c r="AA189" i="7"/>
  <c r="AE188" i="7"/>
  <c r="AD188" i="7"/>
  <c r="AC188" i="7"/>
  <c r="AB188" i="7"/>
  <c r="AA188" i="7"/>
  <c r="AE187" i="7"/>
  <c r="AD187" i="7"/>
  <c r="AC187" i="7"/>
  <c r="AB187" i="7"/>
  <c r="AA187" i="7"/>
  <c r="AE186" i="7"/>
  <c r="AD186" i="7"/>
  <c r="AC186" i="7"/>
  <c r="AB186" i="7"/>
  <c r="AA186" i="7"/>
  <c r="AE185" i="7"/>
  <c r="AD185" i="7"/>
  <c r="AC185" i="7"/>
  <c r="AB185" i="7"/>
  <c r="AA185" i="7"/>
  <c r="AE184" i="7"/>
  <c r="AD184" i="7"/>
  <c r="AC184" i="7"/>
  <c r="AB184" i="7"/>
  <c r="AA184" i="7"/>
  <c r="AE183" i="7"/>
  <c r="AD183" i="7"/>
  <c r="AC183" i="7"/>
  <c r="AB183" i="7"/>
  <c r="AA183" i="7"/>
  <c r="AE182" i="7"/>
  <c r="AD182" i="7"/>
  <c r="AC182" i="7"/>
  <c r="AB182" i="7"/>
  <c r="AA182" i="7"/>
  <c r="AE181" i="7"/>
  <c r="AD181" i="7"/>
  <c r="AC181" i="7"/>
  <c r="AB181" i="7"/>
  <c r="AA181" i="7"/>
  <c r="AE180" i="7"/>
  <c r="AD180" i="7"/>
  <c r="AC180" i="7"/>
  <c r="AB180" i="7"/>
  <c r="AA180" i="7"/>
  <c r="AE179" i="7"/>
  <c r="AD179" i="7"/>
  <c r="AC179" i="7"/>
  <c r="AB179" i="7"/>
  <c r="AA179" i="7"/>
  <c r="AE178" i="7"/>
  <c r="AD178" i="7"/>
  <c r="AC178" i="7"/>
  <c r="AB178" i="7"/>
  <c r="AA178" i="7"/>
  <c r="AE177" i="7"/>
  <c r="AD177" i="7"/>
  <c r="AC177" i="7"/>
  <c r="AB177" i="7"/>
  <c r="AA177" i="7"/>
  <c r="AE176" i="7"/>
  <c r="AD176" i="7"/>
  <c r="AC176" i="7"/>
  <c r="AB176" i="7"/>
  <c r="AA176" i="7"/>
  <c r="AE175" i="7"/>
  <c r="AD175" i="7"/>
  <c r="AC175" i="7"/>
  <c r="AB175" i="7"/>
  <c r="AA175" i="7"/>
  <c r="AE174" i="7"/>
  <c r="AD174" i="7"/>
  <c r="AC174" i="7"/>
  <c r="AB174" i="7"/>
  <c r="AA174" i="7"/>
  <c r="AE173" i="7"/>
  <c r="AD173" i="7"/>
  <c r="AC173" i="7"/>
  <c r="AB173" i="7"/>
  <c r="AA173" i="7"/>
  <c r="AE172" i="7"/>
  <c r="AD172" i="7"/>
  <c r="AC172" i="7"/>
  <c r="AB172" i="7"/>
  <c r="AA172" i="7"/>
  <c r="AE171" i="7"/>
  <c r="AD171" i="7"/>
  <c r="AC171" i="7"/>
  <c r="AB171" i="7"/>
  <c r="AA171" i="7"/>
  <c r="AE170" i="7"/>
  <c r="AD170" i="7"/>
  <c r="AC170" i="7"/>
  <c r="AB170" i="7"/>
  <c r="AA170" i="7"/>
  <c r="AE169" i="7"/>
  <c r="AD169" i="7"/>
  <c r="AC169" i="7"/>
  <c r="AB169" i="7"/>
  <c r="AA169" i="7"/>
  <c r="AE168" i="7"/>
  <c r="AD168" i="7"/>
  <c r="AC168" i="7"/>
  <c r="AB168" i="7"/>
  <c r="AA168" i="7"/>
  <c r="AE167" i="7"/>
  <c r="AD167" i="7"/>
  <c r="AC167" i="7"/>
  <c r="AB167" i="7"/>
  <c r="AA167" i="7"/>
  <c r="AE166" i="7"/>
  <c r="AD166" i="7"/>
  <c r="AC166" i="7"/>
  <c r="AB166" i="7"/>
  <c r="AA166" i="7"/>
  <c r="AE165" i="7"/>
  <c r="AD165" i="7"/>
  <c r="AC165" i="7"/>
  <c r="AB165" i="7"/>
  <c r="AA165" i="7"/>
  <c r="AE164" i="7"/>
  <c r="AD164" i="7"/>
  <c r="AC164" i="7"/>
  <c r="AB164" i="7"/>
  <c r="AA164" i="7"/>
  <c r="AE163" i="7"/>
  <c r="AD163" i="7"/>
  <c r="AC163" i="7"/>
  <c r="AB163" i="7"/>
  <c r="AA163" i="7"/>
  <c r="AE162" i="7"/>
  <c r="AD162" i="7"/>
  <c r="AC162" i="7"/>
  <c r="AB162" i="7"/>
  <c r="AA162" i="7"/>
  <c r="AE161" i="7"/>
  <c r="AD161" i="7"/>
  <c r="AC161" i="7"/>
  <c r="AB161" i="7"/>
  <c r="AA161" i="7"/>
  <c r="AE160" i="7"/>
  <c r="AD160" i="7"/>
  <c r="AC160" i="7"/>
  <c r="AB160" i="7"/>
  <c r="AA160" i="7"/>
  <c r="AE159" i="7"/>
  <c r="AD159" i="7"/>
  <c r="AC159" i="7"/>
  <c r="AB159" i="7"/>
  <c r="AA159" i="7"/>
  <c r="AE158" i="7"/>
  <c r="AD158" i="7"/>
  <c r="AC158" i="7"/>
  <c r="AB158" i="7"/>
  <c r="AA158" i="7"/>
  <c r="AE157" i="7"/>
  <c r="AD157" i="7"/>
  <c r="AC157" i="7"/>
  <c r="AB157" i="7"/>
  <c r="AA157" i="7"/>
  <c r="AE156" i="7"/>
  <c r="AD156" i="7"/>
  <c r="AC156" i="7"/>
  <c r="AB156" i="7"/>
  <c r="AA156" i="7"/>
  <c r="AE155" i="7"/>
  <c r="AD155" i="7"/>
  <c r="AC155" i="7"/>
  <c r="AB155" i="7"/>
  <c r="AA155" i="7"/>
  <c r="AE154" i="7"/>
  <c r="AD154" i="7"/>
  <c r="AC154" i="7"/>
  <c r="AB154" i="7"/>
  <c r="AA154" i="7"/>
  <c r="AE153" i="7"/>
  <c r="AD153" i="7"/>
  <c r="AC153" i="7"/>
  <c r="AB153" i="7"/>
  <c r="AA153" i="7"/>
  <c r="AE152" i="7"/>
  <c r="AD152" i="7"/>
  <c r="AC152" i="7"/>
  <c r="AB152" i="7"/>
  <c r="AA152" i="7"/>
  <c r="AE151" i="7"/>
  <c r="AD151" i="7"/>
  <c r="AC151" i="7"/>
  <c r="AB151" i="7"/>
  <c r="AA151" i="7"/>
  <c r="AE150" i="7"/>
  <c r="AD150" i="7"/>
  <c r="AC150" i="7"/>
  <c r="AB150" i="7"/>
  <c r="AA150" i="7"/>
  <c r="AE149" i="7"/>
  <c r="AD149" i="7"/>
  <c r="AC149" i="7"/>
  <c r="AB149" i="7"/>
  <c r="AA149" i="7"/>
  <c r="AE148" i="7"/>
  <c r="AD148" i="7"/>
  <c r="AC148" i="7"/>
  <c r="AB148" i="7"/>
  <c r="AA148" i="7"/>
  <c r="AE147" i="7"/>
  <c r="AD147" i="7"/>
  <c r="AC147" i="7"/>
  <c r="AB147" i="7"/>
  <c r="AA147" i="7"/>
  <c r="AE146" i="7"/>
  <c r="AD146" i="7"/>
  <c r="AC146" i="7"/>
  <c r="AB146" i="7"/>
  <c r="AA146" i="7"/>
  <c r="AE145" i="7"/>
  <c r="AD145" i="7"/>
  <c r="AC145" i="7"/>
  <c r="AB145" i="7"/>
  <c r="AA145" i="7"/>
  <c r="AE144" i="7"/>
  <c r="AD144" i="7"/>
  <c r="AC144" i="7"/>
  <c r="AB144" i="7"/>
  <c r="AA144" i="7"/>
  <c r="AE143" i="7"/>
  <c r="AD143" i="7"/>
  <c r="AC143" i="7"/>
  <c r="AB143" i="7"/>
  <c r="AA143" i="7"/>
  <c r="AE142" i="7"/>
  <c r="AD142" i="7"/>
  <c r="AC142" i="7"/>
  <c r="AB142" i="7"/>
  <c r="AA142" i="7"/>
  <c r="AE141" i="7"/>
  <c r="AD141" i="7"/>
  <c r="AC141" i="7"/>
  <c r="AB141" i="7"/>
  <c r="AA141" i="7"/>
  <c r="AE140" i="7"/>
  <c r="AD140" i="7"/>
  <c r="AC140" i="7"/>
  <c r="AB140" i="7"/>
  <c r="AA140" i="7"/>
  <c r="AE139" i="7"/>
  <c r="AD139" i="7"/>
  <c r="AC139" i="7"/>
  <c r="AB139" i="7"/>
  <c r="AA139" i="7"/>
  <c r="AE138" i="7"/>
  <c r="AD138" i="7"/>
  <c r="AC138" i="7"/>
  <c r="AB138" i="7"/>
  <c r="AA138" i="7"/>
  <c r="AE137" i="7"/>
  <c r="AD137" i="7"/>
  <c r="AC137" i="7"/>
  <c r="AB137" i="7"/>
  <c r="AA137" i="7"/>
  <c r="AE136" i="7"/>
  <c r="AD136" i="7"/>
  <c r="AC136" i="7"/>
  <c r="AB136" i="7"/>
  <c r="AA136" i="7"/>
  <c r="AE135" i="7"/>
  <c r="AD135" i="7"/>
  <c r="AC135" i="7"/>
  <c r="AB135" i="7"/>
  <c r="AA135" i="7"/>
  <c r="AE134" i="7"/>
  <c r="AD134" i="7"/>
  <c r="AC134" i="7"/>
  <c r="AB134" i="7"/>
  <c r="AA134" i="7"/>
  <c r="AE133" i="7"/>
  <c r="AD133" i="7"/>
  <c r="AC133" i="7"/>
  <c r="AB133" i="7"/>
  <c r="AA133" i="7"/>
  <c r="AE132" i="7"/>
  <c r="AD132" i="7"/>
  <c r="AC132" i="7"/>
  <c r="AB132" i="7"/>
  <c r="AA132" i="7"/>
  <c r="AE131" i="7"/>
  <c r="AD131" i="7"/>
  <c r="AC131" i="7"/>
  <c r="AB131" i="7"/>
  <c r="AA131" i="7"/>
  <c r="AE130" i="7"/>
  <c r="AD130" i="7"/>
  <c r="AC130" i="7"/>
  <c r="AB130" i="7"/>
  <c r="AA130" i="7"/>
  <c r="AE129" i="7"/>
  <c r="AD129" i="7"/>
  <c r="AC129" i="7"/>
  <c r="AB129" i="7"/>
  <c r="AA129" i="7"/>
  <c r="AE128" i="7"/>
  <c r="AD128" i="7"/>
  <c r="AC128" i="7"/>
  <c r="AB128" i="7"/>
  <c r="AA128" i="7"/>
  <c r="AE127" i="7"/>
  <c r="AD127" i="7"/>
  <c r="AC127" i="7"/>
  <c r="AB127" i="7"/>
  <c r="AA127" i="7"/>
  <c r="AE126" i="7"/>
  <c r="AD126" i="7"/>
  <c r="AC126" i="7"/>
  <c r="AB126" i="7"/>
  <c r="AA126" i="7"/>
  <c r="AE125" i="7"/>
  <c r="AD125" i="7"/>
  <c r="AC125" i="7"/>
  <c r="AB125" i="7"/>
  <c r="AA125" i="7"/>
  <c r="AE124" i="7"/>
  <c r="AD124" i="7"/>
  <c r="AC124" i="7"/>
  <c r="AB124" i="7"/>
  <c r="AA124" i="7"/>
  <c r="AE123" i="7"/>
  <c r="AD123" i="7"/>
  <c r="AC123" i="7"/>
  <c r="AB123" i="7"/>
  <c r="AA123" i="7"/>
  <c r="AE122" i="7"/>
  <c r="AD122" i="7"/>
  <c r="AC122" i="7"/>
  <c r="AB122" i="7"/>
  <c r="AA122" i="7"/>
  <c r="AE121" i="7"/>
  <c r="AD121" i="7"/>
  <c r="AC121" i="7"/>
  <c r="AB121" i="7"/>
  <c r="AA121" i="7"/>
  <c r="AE120" i="7"/>
  <c r="AD120" i="7"/>
  <c r="AC120" i="7"/>
  <c r="AB120" i="7"/>
  <c r="AA120" i="7"/>
  <c r="AE119" i="7"/>
  <c r="AD119" i="7"/>
  <c r="AC119" i="7"/>
  <c r="AB119" i="7"/>
  <c r="AA119" i="7"/>
  <c r="AE118" i="7"/>
  <c r="AD118" i="7"/>
  <c r="AC118" i="7"/>
  <c r="AB118" i="7"/>
  <c r="AA118" i="7"/>
  <c r="AE117" i="7"/>
  <c r="AD117" i="7"/>
  <c r="AC117" i="7"/>
  <c r="AB117" i="7"/>
  <c r="AA117" i="7"/>
  <c r="AE116" i="7"/>
  <c r="AD116" i="7"/>
  <c r="AC116" i="7"/>
  <c r="AB116" i="7"/>
  <c r="AA116" i="7"/>
  <c r="AE115" i="7"/>
  <c r="AD115" i="7"/>
  <c r="AC115" i="7"/>
  <c r="AB115" i="7"/>
  <c r="AA115" i="7"/>
  <c r="AE114" i="7"/>
  <c r="AD114" i="7"/>
  <c r="AC114" i="7"/>
  <c r="AB114" i="7"/>
  <c r="AA114" i="7"/>
  <c r="AE113" i="7"/>
  <c r="AD113" i="7"/>
  <c r="AC113" i="7"/>
  <c r="AB113" i="7"/>
  <c r="AA113" i="7"/>
  <c r="AE112" i="7"/>
  <c r="AD112" i="7"/>
  <c r="AC112" i="7"/>
  <c r="AB112" i="7"/>
  <c r="AA112" i="7"/>
  <c r="AE111" i="7"/>
  <c r="AD111" i="7"/>
  <c r="AC111" i="7"/>
  <c r="AB111" i="7"/>
  <c r="AA111" i="7"/>
  <c r="AE110" i="7"/>
  <c r="AD110" i="7"/>
  <c r="AC110" i="7"/>
  <c r="AB110" i="7"/>
  <c r="AA110" i="7"/>
  <c r="AE109" i="7"/>
  <c r="AD109" i="7"/>
  <c r="AC109" i="7"/>
  <c r="AB109" i="7"/>
  <c r="AA109" i="7"/>
  <c r="AE108" i="7"/>
  <c r="AD108" i="7"/>
  <c r="AC108" i="7"/>
  <c r="AB108" i="7"/>
  <c r="AA108" i="7"/>
  <c r="AE107" i="7"/>
  <c r="AD107" i="7"/>
  <c r="AC107" i="7"/>
  <c r="AB107" i="7"/>
  <c r="AA107" i="7"/>
  <c r="AE106" i="7"/>
  <c r="AD106" i="7"/>
  <c r="AC106" i="7"/>
  <c r="AB106" i="7"/>
  <c r="AA106" i="7"/>
  <c r="AE105" i="7"/>
  <c r="AD105" i="7"/>
  <c r="AC105" i="7"/>
  <c r="AB105" i="7"/>
  <c r="AA105" i="7"/>
  <c r="AE104" i="7"/>
  <c r="AD104" i="7"/>
  <c r="AC104" i="7"/>
  <c r="AB104" i="7"/>
  <c r="AA104" i="7"/>
  <c r="AE103" i="7"/>
  <c r="AD103" i="7"/>
  <c r="AC103" i="7"/>
  <c r="AB103" i="7"/>
  <c r="AA103" i="7"/>
  <c r="AE102" i="7"/>
  <c r="AD102" i="7"/>
  <c r="AC102" i="7"/>
  <c r="AB102" i="7"/>
  <c r="AA102" i="7"/>
  <c r="AE101" i="7"/>
  <c r="AD101" i="7"/>
  <c r="AC101" i="7"/>
  <c r="AB101" i="7"/>
  <c r="AA101" i="7"/>
  <c r="AE100" i="7"/>
  <c r="AD100" i="7"/>
  <c r="AC100" i="7"/>
  <c r="AB100" i="7"/>
  <c r="AA100" i="7"/>
  <c r="AE99" i="7"/>
  <c r="AD99" i="7"/>
  <c r="AC99" i="7"/>
  <c r="AB99" i="7"/>
  <c r="AA99" i="7"/>
  <c r="AE98" i="7"/>
  <c r="AD98" i="7"/>
  <c r="AC98" i="7"/>
  <c r="AB98" i="7"/>
  <c r="AA98" i="7"/>
  <c r="AE97" i="7"/>
  <c r="AD97" i="7"/>
  <c r="AC97" i="7"/>
  <c r="AB97" i="7"/>
  <c r="AA97" i="7"/>
  <c r="AE96" i="7"/>
  <c r="AD96" i="7"/>
  <c r="AC96" i="7"/>
  <c r="AB96" i="7"/>
  <c r="AA96" i="7"/>
  <c r="AE95" i="7"/>
  <c r="AD95" i="7"/>
  <c r="AC95" i="7"/>
  <c r="AB95" i="7"/>
  <c r="AA95" i="7"/>
  <c r="AE94" i="7"/>
  <c r="AD94" i="7"/>
  <c r="AC94" i="7"/>
  <c r="AB94" i="7"/>
  <c r="AA94" i="7"/>
  <c r="AE93" i="7"/>
  <c r="AD93" i="7"/>
  <c r="AC93" i="7"/>
  <c r="AB93" i="7"/>
  <c r="AA93" i="7"/>
  <c r="AE92" i="7"/>
  <c r="AD92" i="7"/>
  <c r="AC92" i="7"/>
  <c r="AB92" i="7"/>
  <c r="AA92" i="7"/>
  <c r="AE91" i="7"/>
  <c r="AD91" i="7"/>
  <c r="AC91" i="7"/>
  <c r="AB91" i="7"/>
  <c r="AA91" i="7"/>
  <c r="AE90" i="7"/>
  <c r="AD90" i="7"/>
  <c r="AC90" i="7"/>
  <c r="AB90" i="7"/>
  <c r="AA90" i="7"/>
  <c r="AE89" i="7"/>
  <c r="AD89" i="7"/>
  <c r="AC89" i="7"/>
  <c r="AB89" i="7"/>
  <c r="AA89" i="7"/>
  <c r="AE88" i="7"/>
  <c r="AD88" i="7"/>
  <c r="AC88" i="7"/>
  <c r="AB88" i="7"/>
  <c r="AA88" i="7"/>
  <c r="AE87" i="7"/>
  <c r="AD87" i="7"/>
  <c r="AC87" i="7"/>
  <c r="AB87" i="7"/>
  <c r="AA87" i="7"/>
  <c r="AE86" i="7"/>
  <c r="AD86" i="7"/>
  <c r="AC86" i="7"/>
  <c r="AB86" i="7"/>
  <c r="AA86" i="7"/>
  <c r="AE85" i="7"/>
  <c r="AD85" i="7"/>
  <c r="AC85" i="7"/>
  <c r="AB85" i="7"/>
  <c r="AA85" i="7"/>
  <c r="AE84" i="7"/>
  <c r="AD84" i="7"/>
  <c r="AC84" i="7"/>
  <c r="AB84" i="7"/>
  <c r="AA84" i="7"/>
  <c r="AE83" i="7"/>
  <c r="AD83" i="7"/>
  <c r="AC83" i="7"/>
  <c r="AB83" i="7"/>
  <c r="AA83" i="7"/>
  <c r="AE82" i="7"/>
  <c r="AD82" i="7"/>
  <c r="AC82" i="7"/>
  <c r="AB82" i="7"/>
  <c r="AA82" i="7"/>
  <c r="AE81" i="7"/>
  <c r="AD81" i="7"/>
  <c r="AC81" i="7"/>
  <c r="AB81" i="7"/>
  <c r="AA81" i="7"/>
  <c r="AE80" i="7"/>
  <c r="AD80" i="7"/>
  <c r="AC80" i="7"/>
  <c r="AB80" i="7"/>
  <c r="AA80" i="7"/>
  <c r="AE79" i="7"/>
  <c r="AD79" i="7"/>
  <c r="AC79" i="7"/>
  <c r="AB79" i="7"/>
  <c r="AA79" i="7"/>
  <c r="AE78" i="7"/>
  <c r="AD78" i="7"/>
  <c r="AC78" i="7"/>
  <c r="AB78" i="7"/>
  <c r="AA78" i="7"/>
  <c r="AE77" i="7"/>
  <c r="AD77" i="7"/>
  <c r="AC77" i="7"/>
  <c r="AB77" i="7"/>
  <c r="AA77" i="7"/>
  <c r="AE76" i="7"/>
  <c r="AD76" i="7"/>
  <c r="AC76" i="7"/>
  <c r="AB76" i="7"/>
  <c r="AA76" i="7"/>
  <c r="AE75" i="7"/>
  <c r="AD75" i="7"/>
  <c r="AC75" i="7"/>
  <c r="AB75" i="7"/>
  <c r="AA75" i="7"/>
  <c r="AE74" i="7"/>
  <c r="AD74" i="7"/>
  <c r="AC74" i="7"/>
  <c r="AB74" i="7"/>
  <c r="AA74" i="7"/>
  <c r="AE73" i="7"/>
  <c r="AD73" i="7"/>
  <c r="AC73" i="7"/>
  <c r="AB73" i="7"/>
  <c r="AA73" i="7"/>
  <c r="AE72" i="7"/>
  <c r="AD72" i="7"/>
  <c r="AC72" i="7"/>
  <c r="AB72" i="7"/>
  <c r="AA72" i="7"/>
  <c r="AE71" i="7"/>
  <c r="AD71" i="7"/>
  <c r="AC71" i="7"/>
  <c r="AB71" i="7"/>
  <c r="AA71" i="7"/>
  <c r="AE70" i="7"/>
  <c r="AD70" i="7"/>
  <c r="AC70" i="7"/>
  <c r="AB70" i="7"/>
  <c r="AA70" i="7"/>
  <c r="AE69" i="7"/>
  <c r="AD69" i="7"/>
  <c r="AC69" i="7"/>
  <c r="AB69" i="7"/>
  <c r="AA69" i="7"/>
  <c r="AE68" i="7"/>
  <c r="AD68" i="7"/>
  <c r="AC68" i="7"/>
  <c r="AB68" i="7"/>
  <c r="AA68" i="7"/>
  <c r="AE67" i="7"/>
  <c r="AD67" i="7"/>
  <c r="AC67" i="7"/>
  <c r="AB67" i="7"/>
  <c r="AA67" i="7"/>
  <c r="AE66" i="7"/>
  <c r="AD66" i="7"/>
  <c r="AC66" i="7"/>
  <c r="AB66" i="7"/>
  <c r="AA66" i="7"/>
  <c r="AE65" i="7"/>
  <c r="AD65" i="7"/>
  <c r="AC65" i="7"/>
  <c r="AB65" i="7"/>
  <c r="AA65" i="7"/>
  <c r="AE64" i="7"/>
  <c r="AD64" i="7"/>
  <c r="AC64" i="7"/>
  <c r="AB64" i="7"/>
  <c r="AA64" i="7"/>
  <c r="AE63" i="7"/>
  <c r="AD63" i="7"/>
  <c r="AC63" i="7"/>
  <c r="AB63" i="7"/>
  <c r="AA63" i="7"/>
  <c r="AE62" i="7"/>
  <c r="AD62" i="7"/>
  <c r="AC62" i="7"/>
  <c r="AB62" i="7"/>
  <c r="AA62" i="7"/>
  <c r="AE61" i="7"/>
  <c r="AD61" i="7"/>
  <c r="AC61" i="7"/>
  <c r="AB61" i="7"/>
  <c r="AA61" i="7"/>
  <c r="AE60" i="7"/>
  <c r="AD60" i="7"/>
  <c r="AC60" i="7"/>
  <c r="AB60" i="7"/>
  <c r="AA60" i="7"/>
  <c r="AE59" i="7"/>
  <c r="AD59" i="7"/>
  <c r="AC59" i="7"/>
  <c r="AB59" i="7"/>
  <c r="AA59" i="7"/>
  <c r="AE58" i="7"/>
  <c r="AD58" i="7"/>
  <c r="AC58" i="7"/>
  <c r="AB58" i="7"/>
  <c r="AA58" i="7"/>
  <c r="AE57" i="7"/>
  <c r="AD57" i="7"/>
  <c r="AC57" i="7"/>
  <c r="AB57" i="7"/>
  <c r="AA57" i="7"/>
  <c r="AE56" i="7"/>
  <c r="AD56" i="7"/>
  <c r="AC56" i="7"/>
  <c r="AB56" i="7"/>
  <c r="AA56" i="7"/>
  <c r="AE55" i="7"/>
  <c r="AD55" i="7"/>
  <c r="AC55" i="7"/>
  <c r="AB55" i="7"/>
  <c r="AA55" i="7"/>
  <c r="AE54" i="7"/>
  <c r="AD54" i="7"/>
  <c r="AC54" i="7"/>
  <c r="AB54" i="7"/>
  <c r="AA54" i="7"/>
  <c r="AE53" i="7"/>
  <c r="AD53" i="7"/>
  <c r="AC53" i="7"/>
  <c r="AB53" i="7"/>
  <c r="AA53" i="7"/>
  <c r="AE52" i="7"/>
  <c r="AD52" i="7"/>
  <c r="AC52" i="7"/>
  <c r="AB52" i="7"/>
  <c r="AA52" i="7"/>
  <c r="AE51" i="7"/>
  <c r="AD51" i="7"/>
  <c r="AC51" i="7"/>
  <c r="AB51" i="7"/>
  <c r="AA51" i="7"/>
  <c r="AE50" i="7"/>
  <c r="AD50" i="7"/>
  <c r="AC50" i="7"/>
  <c r="AB50" i="7"/>
  <c r="AA50" i="7"/>
  <c r="AE49" i="7"/>
  <c r="AD49" i="7"/>
  <c r="AC49" i="7"/>
  <c r="AB49" i="7"/>
  <c r="AA49" i="7"/>
  <c r="AE48" i="7"/>
  <c r="AD48" i="7"/>
  <c r="AC48" i="7"/>
  <c r="AB48" i="7"/>
  <c r="AA48" i="7"/>
  <c r="AE47" i="7"/>
  <c r="AD47" i="7"/>
  <c r="AC47" i="7"/>
  <c r="AB47" i="7"/>
  <c r="AA47" i="7"/>
  <c r="AE46" i="7"/>
  <c r="AD46" i="7"/>
  <c r="AC46" i="7"/>
  <c r="AB46" i="7"/>
  <c r="AA46" i="7"/>
  <c r="AE45" i="7"/>
  <c r="AD45" i="7"/>
  <c r="AC45" i="7"/>
  <c r="AB45" i="7"/>
  <c r="AA45" i="7"/>
  <c r="AE44" i="7"/>
  <c r="AD44" i="7"/>
  <c r="AC44" i="7"/>
  <c r="AB44" i="7"/>
  <c r="AA44" i="7"/>
  <c r="AE43" i="7"/>
  <c r="AD43" i="7"/>
  <c r="AC43" i="7"/>
  <c r="AB43" i="7"/>
  <c r="AA43" i="7"/>
  <c r="AE42" i="7"/>
  <c r="AD42" i="7"/>
  <c r="AC42" i="7"/>
  <c r="AB42" i="7"/>
  <c r="AA42" i="7"/>
  <c r="AE41" i="7"/>
  <c r="AD41" i="7"/>
  <c r="AC41" i="7"/>
  <c r="AB41" i="7"/>
  <c r="AA41" i="7"/>
  <c r="AE40" i="7"/>
  <c r="AD40" i="7"/>
  <c r="AC40" i="7"/>
  <c r="AB40" i="7"/>
  <c r="AA40" i="7"/>
  <c r="AE39" i="7"/>
  <c r="AD39" i="7"/>
  <c r="AC39" i="7"/>
  <c r="AB39" i="7"/>
  <c r="AA39" i="7"/>
  <c r="AE38" i="7"/>
  <c r="AD38" i="7"/>
  <c r="AC38" i="7"/>
  <c r="AB38" i="7"/>
  <c r="AA38" i="7"/>
  <c r="AE37" i="7"/>
  <c r="AD37" i="7"/>
  <c r="AC37" i="7"/>
  <c r="AB37" i="7"/>
  <c r="AA37" i="7"/>
  <c r="AE36" i="7"/>
  <c r="AD36" i="7"/>
  <c r="AC36" i="7"/>
  <c r="AB36" i="7"/>
  <c r="AA36" i="7"/>
  <c r="AE35" i="7"/>
  <c r="AD35" i="7"/>
  <c r="AC35" i="7"/>
  <c r="AB35" i="7"/>
  <c r="AA35" i="7"/>
  <c r="AE34" i="7"/>
  <c r="AD34" i="7"/>
  <c r="AC34" i="7"/>
  <c r="AB34" i="7"/>
  <c r="AA34" i="7"/>
  <c r="AE33" i="7"/>
  <c r="AD33" i="7"/>
  <c r="AC33" i="7"/>
  <c r="AB33" i="7"/>
  <c r="AA33" i="7"/>
  <c r="AE32" i="7"/>
  <c r="AD32" i="7"/>
  <c r="AC32" i="7"/>
  <c r="AB32" i="7"/>
  <c r="AA32" i="7"/>
  <c r="AE31" i="7"/>
  <c r="AD31" i="7"/>
  <c r="AC31" i="7"/>
  <c r="AB31" i="7"/>
  <c r="AA31" i="7"/>
  <c r="AE30" i="7"/>
  <c r="AD30" i="7"/>
  <c r="AC30" i="7"/>
  <c r="AB30" i="7"/>
  <c r="AA30" i="7"/>
  <c r="AE29" i="7"/>
  <c r="AD29" i="7"/>
  <c r="AC29" i="7"/>
  <c r="AB29" i="7"/>
  <c r="AA29" i="7"/>
  <c r="AE28" i="7"/>
  <c r="AD28" i="7"/>
  <c r="AC28" i="7"/>
  <c r="AB28" i="7"/>
  <c r="AA28" i="7"/>
  <c r="AE27" i="7"/>
  <c r="AD27" i="7"/>
  <c r="AC27" i="7"/>
  <c r="AB27" i="7"/>
  <c r="AA27" i="7"/>
  <c r="AE26" i="7"/>
  <c r="AD26" i="7"/>
  <c r="AC26" i="7"/>
  <c r="AB26" i="7"/>
  <c r="AA26" i="7"/>
  <c r="AE25" i="7"/>
  <c r="AD25" i="7"/>
  <c r="AC25" i="7"/>
  <c r="AB25" i="7"/>
  <c r="AA25" i="7"/>
  <c r="AE24" i="7"/>
  <c r="AD24" i="7"/>
  <c r="AC24" i="7"/>
  <c r="AB24" i="7"/>
  <c r="AA24" i="7"/>
  <c r="AE23" i="7"/>
  <c r="AD23" i="7"/>
  <c r="AC23" i="7"/>
  <c r="AB23" i="7"/>
  <c r="AA23" i="7"/>
  <c r="AE22" i="7"/>
  <c r="AD22" i="7"/>
  <c r="AC22" i="7"/>
  <c r="AB22" i="7"/>
  <c r="AA22" i="7"/>
  <c r="R205" i="7"/>
  <c r="AS36" i="8" l="1"/>
  <c r="AS38" i="8"/>
  <c r="AS16" i="8"/>
  <c r="AS19" i="8"/>
  <c r="AS24" i="8"/>
  <c r="AS26" i="8"/>
  <c r="AS37" i="8"/>
  <c r="AS32" i="8"/>
  <c r="AS21" i="8"/>
  <c r="AS14" i="8"/>
  <c r="AS13" i="8"/>
  <c r="AS45" i="8"/>
  <c r="AS3" i="8"/>
  <c r="AS41" i="8"/>
  <c r="AS43" i="8"/>
  <c r="AS18" i="8"/>
  <c r="AS49" i="8"/>
  <c r="AS48" i="8"/>
  <c r="AS39" i="8"/>
  <c r="AS47" i="8"/>
  <c r="AS28" i="8"/>
  <c r="AS51" i="8"/>
  <c r="AS34" i="8"/>
  <c r="AS40" i="8"/>
  <c r="AS30" i="8"/>
  <c r="AS25" i="8"/>
  <c r="AS17" i="8"/>
  <c r="AS23" i="8"/>
  <c r="AS27" i="8"/>
  <c r="AS15" i="8"/>
  <c r="AS20" i="8"/>
  <c r="AS22" i="8"/>
  <c r="AT41" i="8"/>
  <c r="AT51" i="8"/>
  <c r="AT19" i="8"/>
  <c r="AT40" i="8"/>
  <c r="AT26" i="8"/>
  <c r="AT38" i="8"/>
  <c r="AT16" i="8"/>
  <c r="AT39" i="8"/>
  <c r="AT34" i="8"/>
  <c r="AT37" i="8"/>
  <c r="AT45" i="8"/>
  <c r="AT32" i="8"/>
  <c r="AT3" i="8"/>
  <c r="AT13" i="8"/>
  <c r="AT36" i="8"/>
  <c r="AT49" i="8"/>
  <c r="AT18" i="8"/>
  <c r="AT21" i="8"/>
  <c r="AT48" i="8"/>
  <c r="AT47" i="8"/>
  <c r="AT28" i="8"/>
  <c r="AT24" i="8"/>
  <c r="AT14" i="8"/>
  <c r="AT43" i="8"/>
  <c r="AT30" i="8"/>
  <c r="AU17" i="8"/>
  <c r="AU27" i="8"/>
  <c r="AU23" i="8"/>
  <c r="AU25" i="8"/>
  <c r="AU15" i="8"/>
  <c r="AV17" i="8"/>
  <c r="AV25" i="8"/>
  <c r="AV23" i="8"/>
  <c r="AV15" i="8"/>
  <c r="AV27" i="8"/>
  <c r="AT20" i="8"/>
  <c r="AT22" i="8"/>
  <c r="AU51" i="8"/>
  <c r="AU47" i="8"/>
  <c r="AU49" i="8"/>
  <c r="AU14" i="8"/>
  <c r="AU39" i="8"/>
  <c r="AU18" i="8"/>
  <c r="AU24" i="8"/>
  <c r="AU37" i="8"/>
  <c r="AU34" i="8"/>
  <c r="AU28" i="8"/>
  <c r="AU26" i="8"/>
  <c r="AU43" i="8"/>
  <c r="AU40" i="8"/>
  <c r="AU48" i="8"/>
  <c r="AU21" i="8"/>
  <c r="AU38" i="8"/>
  <c r="AU3" i="8"/>
  <c r="AU13" i="8"/>
  <c r="AU36" i="8"/>
  <c r="AU45" i="8"/>
  <c r="AU19" i="8"/>
  <c r="AU16" i="8"/>
  <c r="AU41" i="8"/>
  <c r="AU30" i="8"/>
  <c r="AU32" i="8"/>
  <c r="AU20" i="8"/>
  <c r="AU22" i="8"/>
  <c r="AV16" i="8"/>
  <c r="AV30" i="8"/>
  <c r="AV48" i="8"/>
  <c r="AV40" i="8"/>
  <c r="AV36" i="8"/>
  <c r="AV19" i="8"/>
  <c r="AV47" i="8"/>
  <c r="AV3" i="8"/>
  <c r="AV28" i="8"/>
  <c r="AV39" i="8"/>
  <c r="AV21" i="8"/>
  <c r="AV18" i="8"/>
  <c r="AV51" i="8"/>
  <c r="AV26" i="8"/>
  <c r="AV43" i="8"/>
  <c r="AV37" i="8"/>
  <c r="AV32" i="8"/>
  <c r="AV38" i="8"/>
  <c r="AV24" i="8"/>
  <c r="AV49" i="8"/>
  <c r="AV41" i="8"/>
  <c r="AV14" i="8"/>
  <c r="AV45" i="8"/>
  <c r="AV13" i="8"/>
  <c r="AV34" i="8"/>
  <c r="AV20" i="8"/>
  <c r="AV22" i="8"/>
  <c r="AT15" i="8"/>
  <c r="AT27" i="8"/>
  <c r="AT25" i="8"/>
  <c r="AT23" i="8"/>
  <c r="AT17" i="8"/>
  <c r="BC37" i="7"/>
  <c r="BC79" i="7"/>
  <c r="BC120" i="7"/>
  <c r="BC161" i="7"/>
  <c r="BC202" i="7"/>
  <c r="BC242" i="7"/>
  <c r="BC283" i="7"/>
  <c r="BC38" i="7"/>
  <c r="BC80" i="7"/>
  <c r="BC121" i="7"/>
  <c r="BC162" i="7"/>
  <c r="BC213" i="7"/>
  <c r="BC253" i="7"/>
  <c r="BC293" i="7"/>
  <c r="BC39" i="7"/>
  <c r="BC81" i="7"/>
  <c r="BC133" i="7"/>
  <c r="BC173" i="7"/>
  <c r="BC214" i="7"/>
  <c r="BC254" i="7"/>
  <c r="BC294" i="7"/>
  <c r="BC40" i="7"/>
  <c r="BC93" i="7"/>
  <c r="BC134" i="7"/>
  <c r="BC174" i="7"/>
  <c r="BC215" i="7"/>
  <c r="BC255" i="7"/>
  <c r="BC295" i="7"/>
  <c r="BC41" i="7"/>
  <c r="BC94" i="7"/>
  <c r="BC135" i="7"/>
  <c r="BC175" i="7"/>
  <c r="BC216" i="7"/>
  <c r="BC256" i="7"/>
  <c r="BC296" i="7"/>
  <c r="BC53" i="7"/>
  <c r="BC95" i="7"/>
  <c r="BC136" i="7"/>
  <c r="BC176" i="7"/>
  <c r="BC217" i="7"/>
  <c r="BC257" i="7"/>
  <c r="BC297" i="7"/>
  <c r="BC54" i="7"/>
  <c r="BC96" i="7"/>
  <c r="BC137" i="7"/>
  <c r="BC177" i="7"/>
  <c r="BC218" i="7"/>
  <c r="BC258" i="7"/>
  <c r="BC300" i="7"/>
  <c r="BC55" i="7"/>
  <c r="BC97" i="7"/>
  <c r="BC138" i="7"/>
  <c r="BC178" i="7"/>
  <c r="BC219" i="7"/>
  <c r="BC260" i="7"/>
  <c r="BC301" i="7"/>
  <c r="BC298" i="7"/>
  <c r="BC259" i="7"/>
  <c r="BC279" i="7"/>
  <c r="BC299" i="7"/>
  <c r="BC22" i="7"/>
  <c r="BC42" i="7"/>
  <c r="BC62" i="7"/>
  <c r="BC82" i="7"/>
  <c r="BC122" i="7"/>
  <c r="BC182" i="7"/>
  <c r="BC3" i="7"/>
  <c r="BC23" i="7"/>
  <c r="BC43" i="7"/>
  <c r="BC63" i="7"/>
  <c r="BC83" i="7"/>
  <c r="BC103" i="7"/>
  <c r="BC123" i="7"/>
  <c r="BC143" i="7"/>
  <c r="BC163" i="7"/>
  <c r="BC183" i="7"/>
  <c r="BC203" i="7"/>
  <c r="BC223" i="7"/>
  <c r="BC243" i="7"/>
  <c r="BC4" i="7"/>
  <c r="BC24" i="7"/>
  <c r="BC44" i="7"/>
  <c r="BC64" i="7"/>
  <c r="BC84" i="7"/>
  <c r="BC104" i="7"/>
  <c r="BC124" i="7"/>
  <c r="BC144" i="7"/>
  <c r="BC164" i="7"/>
  <c r="BC184" i="7"/>
  <c r="BC204" i="7"/>
  <c r="BC224" i="7"/>
  <c r="BC244" i="7"/>
  <c r="BC264" i="7"/>
  <c r="BC284" i="7"/>
  <c r="BC5" i="7"/>
  <c r="BC25" i="7"/>
  <c r="BC45" i="7"/>
  <c r="BC65" i="7"/>
  <c r="BC85" i="7"/>
  <c r="BC105" i="7"/>
  <c r="BC125" i="7"/>
  <c r="BC145" i="7"/>
  <c r="BC165" i="7"/>
  <c r="BC185" i="7"/>
  <c r="BC205" i="7"/>
  <c r="BC225" i="7"/>
  <c r="BC245" i="7"/>
  <c r="BC265" i="7"/>
  <c r="BC285" i="7"/>
  <c r="BC6" i="7"/>
  <c r="BC26" i="7"/>
  <c r="BC46" i="7"/>
  <c r="BC66" i="7"/>
  <c r="BC86" i="7"/>
  <c r="BC106" i="7"/>
  <c r="BC126" i="7"/>
  <c r="BC146" i="7"/>
  <c r="BC166" i="7"/>
  <c r="BC186" i="7"/>
  <c r="BC206" i="7"/>
  <c r="BC226" i="7"/>
  <c r="BC246" i="7"/>
  <c r="BC266" i="7"/>
  <c r="BC286" i="7"/>
  <c r="BC7" i="7"/>
  <c r="BC27" i="7"/>
  <c r="BC47" i="7"/>
  <c r="BC67" i="7"/>
  <c r="BC87" i="7"/>
  <c r="BC107" i="7"/>
  <c r="BC127" i="7"/>
  <c r="BC147" i="7"/>
  <c r="BC167" i="7"/>
  <c r="BC187" i="7"/>
  <c r="BC207" i="7"/>
  <c r="BC227" i="7"/>
  <c r="BC247" i="7"/>
  <c r="BC267" i="7"/>
  <c r="BC287" i="7"/>
  <c r="BC8" i="7"/>
  <c r="BC28" i="7"/>
  <c r="BC48" i="7"/>
  <c r="BC68" i="7"/>
  <c r="BC88" i="7"/>
  <c r="BC108" i="7"/>
  <c r="BC128" i="7"/>
  <c r="BC148" i="7"/>
  <c r="BC168" i="7"/>
  <c r="BC188" i="7"/>
  <c r="BC208" i="7"/>
  <c r="BC228" i="7"/>
  <c r="BC248" i="7"/>
  <c r="BC268" i="7"/>
  <c r="BC288" i="7"/>
  <c r="BC9" i="7"/>
  <c r="BC29" i="7"/>
  <c r="BC49" i="7"/>
  <c r="BC69" i="7"/>
  <c r="BC89" i="7"/>
  <c r="BC109" i="7"/>
  <c r="BC129" i="7"/>
  <c r="BC149" i="7"/>
  <c r="BC169" i="7"/>
  <c r="BC189" i="7"/>
  <c r="BC209" i="7"/>
  <c r="BC229" i="7"/>
  <c r="BC249" i="7"/>
  <c r="BC269" i="7"/>
  <c r="BC289" i="7"/>
  <c r="BC10" i="7"/>
  <c r="BC30" i="7"/>
  <c r="BC50" i="7"/>
  <c r="BC70" i="7"/>
  <c r="BC90" i="7"/>
  <c r="BC110" i="7"/>
  <c r="BC130" i="7"/>
  <c r="BC150" i="7"/>
  <c r="BC170" i="7"/>
  <c r="BC190" i="7"/>
  <c r="BC210" i="7"/>
  <c r="BC230" i="7"/>
  <c r="BC250" i="7"/>
  <c r="BC270" i="7"/>
  <c r="BC290" i="7"/>
  <c r="AR2" i="7"/>
  <c r="BC11" i="7"/>
  <c r="BC31" i="7"/>
  <c r="BC51" i="7"/>
  <c r="BC71" i="7"/>
  <c r="BC91" i="7"/>
  <c r="BC111" i="7"/>
  <c r="BC131" i="7"/>
  <c r="BC151" i="7"/>
  <c r="BC171" i="7"/>
  <c r="BC191" i="7"/>
  <c r="BC211" i="7"/>
  <c r="BC231" i="7"/>
  <c r="BC251" i="7"/>
  <c r="BC271" i="7"/>
  <c r="BC291" i="7"/>
  <c r="BC12" i="7"/>
  <c r="BC32" i="7"/>
  <c r="BC52" i="7"/>
  <c r="BC72" i="7"/>
  <c r="BC92" i="7"/>
  <c r="BC112" i="7"/>
  <c r="BC132" i="7"/>
  <c r="BC152" i="7"/>
  <c r="BC172" i="7"/>
  <c r="BC192" i="7"/>
  <c r="BC212" i="7"/>
  <c r="BC232" i="7"/>
  <c r="BC252" i="7"/>
  <c r="BC272" i="7"/>
  <c r="AS35" i="8"/>
  <c r="AS33" i="8"/>
  <c r="AS29" i="8"/>
  <c r="AS12" i="8"/>
  <c r="AS31" i="8"/>
  <c r="AS11" i="8"/>
  <c r="AT12" i="8"/>
  <c r="AT35" i="8"/>
  <c r="AT29" i="8"/>
  <c r="AT31" i="8"/>
  <c r="AT33" i="8"/>
  <c r="AT11" i="8"/>
  <c r="AU33" i="8"/>
  <c r="AU29" i="8"/>
  <c r="AU11" i="8"/>
  <c r="AU31" i="8"/>
  <c r="AU12" i="8"/>
  <c r="AU35" i="8"/>
  <c r="AT44" i="8"/>
  <c r="AT50" i="8"/>
  <c r="AT42" i="8"/>
  <c r="AT46" i="8"/>
  <c r="AU42" i="8"/>
  <c r="AU50" i="8"/>
  <c r="AU46" i="8"/>
  <c r="AU44" i="8"/>
  <c r="AV11" i="8"/>
  <c r="AV35" i="8"/>
  <c r="AV33" i="8"/>
  <c r="AV29" i="8"/>
  <c r="AV12" i="8"/>
  <c r="AV31" i="8"/>
  <c r="AS50" i="8"/>
  <c r="AS44" i="8"/>
  <c r="AS46" i="8"/>
  <c r="AS42" i="8"/>
  <c r="AV46" i="8"/>
  <c r="AV42" i="8"/>
  <c r="AV50" i="8"/>
  <c r="AV44" i="8"/>
  <c r="N4" i="13"/>
  <c r="L4" i="13"/>
  <c r="K4" i="13"/>
  <c r="Q4" i="13"/>
  <c r="R4" i="13"/>
  <c r="M4" i="13"/>
  <c r="F7" i="11"/>
  <c r="W9" i="9"/>
  <c r="X9" i="9" s="1"/>
  <c r="W8" i="9"/>
  <c r="X8" i="9" s="1"/>
  <c r="W6" i="9"/>
  <c r="X6" i="9" s="1"/>
  <c r="W7" i="9"/>
  <c r="X7" i="9" s="1"/>
  <c r="W10" i="9"/>
  <c r="X10" i="9" s="1"/>
  <c r="W4" i="9"/>
  <c r="X4" i="9" s="1"/>
  <c r="W3" i="9"/>
  <c r="X3" i="9" s="1"/>
  <c r="W5" i="9"/>
  <c r="X5" i="9" s="1"/>
  <c r="AR202" i="7"/>
  <c r="AR203" i="7"/>
  <c r="AR301" i="7"/>
  <c r="AR281" i="7"/>
  <c r="AR261" i="7"/>
  <c r="AR241" i="7"/>
  <c r="AR221" i="7"/>
  <c r="AR201" i="7"/>
  <c r="AR181" i="7"/>
  <c r="AR161" i="7"/>
  <c r="AR141" i="7"/>
  <c r="AR121" i="7"/>
  <c r="AR101" i="7"/>
  <c r="AR81" i="7"/>
  <c r="AR61" i="7"/>
  <c r="AR41" i="7"/>
  <c r="AR21" i="7"/>
  <c r="AR153" i="7"/>
  <c r="AR91" i="7"/>
  <c r="AR31" i="7"/>
  <c r="AR290" i="7"/>
  <c r="AR210" i="7"/>
  <c r="AR150" i="7"/>
  <c r="AR110" i="7"/>
  <c r="AR70" i="7"/>
  <c r="AR30" i="7"/>
  <c r="AR269" i="7"/>
  <c r="AR189" i="7"/>
  <c r="AR149" i="7"/>
  <c r="AR109" i="7"/>
  <c r="AR69" i="7"/>
  <c r="AR29" i="7"/>
  <c r="AR125" i="7"/>
  <c r="AR264" i="7"/>
  <c r="AR300" i="7"/>
  <c r="AR280" i="7"/>
  <c r="AR260" i="7"/>
  <c r="AR240" i="7"/>
  <c r="AR220" i="7"/>
  <c r="AR200" i="7"/>
  <c r="AR180" i="7"/>
  <c r="AR160" i="7"/>
  <c r="AR140" i="7"/>
  <c r="AR120" i="7"/>
  <c r="AR100" i="7"/>
  <c r="AR80" i="7"/>
  <c r="AR60" i="7"/>
  <c r="AR40" i="7"/>
  <c r="AR20" i="7"/>
  <c r="AR193" i="7"/>
  <c r="AR190" i="7"/>
  <c r="AR209" i="7"/>
  <c r="AR184" i="7"/>
  <c r="AR299" i="7"/>
  <c r="AR279" i="7"/>
  <c r="AR259" i="7"/>
  <c r="AR239" i="7"/>
  <c r="AR219" i="7"/>
  <c r="AR199" i="7"/>
  <c r="AR179" i="7"/>
  <c r="AR159" i="7"/>
  <c r="AR139" i="7"/>
  <c r="AR119" i="7"/>
  <c r="AR99" i="7"/>
  <c r="AR79" i="7"/>
  <c r="AR59" i="7"/>
  <c r="AR39" i="7"/>
  <c r="AR19" i="7"/>
  <c r="AR173" i="7"/>
  <c r="AR71" i="7"/>
  <c r="AR51" i="7"/>
  <c r="AR11" i="7"/>
  <c r="AR270" i="7"/>
  <c r="AR230" i="7"/>
  <c r="AR170" i="7"/>
  <c r="AR130" i="7"/>
  <c r="AR90" i="7"/>
  <c r="AR50" i="7"/>
  <c r="AR10" i="7"/>
  <c r="AR289" i="7"/>
  <c r="AR169" i="7"/>
  <c r="AR129" i="7"/>
  <c r="AR89" i="7"/>
  <c r="AR49" i="7"/>
  <c r="AR9" i="7"/>
  <c r="AR145" i="7"/>
  <c r="AR244" i="7"/>
  <c r="AR298" i="7"/>
  <c r="AR278" i="7"/>
  <c r="AR258" i="7"/>
  <c r="AR238" i="7"/>
  <c r="AR218" i="7"/>
  <c r="AR198" i="7"/>
  <c r="AR178" i="7"/>
  <c r="AR158" i="7"/>
  <c r="AR138" i="7"/>
  <c r="AR118" i="7"/>
  <c r="AR98" i="7"/>
  <c r="AR78" i="7"/>
  <c r="AR58" i="7"/>
  <c r="AR38" i="7"/>
  <c r="AR18" i="7"/>
  <c r="AR233" i="7"/>
  <c r="AR297" i="7"/>
  <c r="AR277" i="7"/>
  <c r="AR257" i="7"/>
  <c r="AR237" i="7"/>
  <c r="AR217" i="7"/>
  <c r="AR197" i="7"/>
  <c r="AR177" i="7"/>
  <c r="AR157" i="7"/>
  <c r="AR137" i="7"/>
  <c r="AR117" i="7"/>
  <c r="AR97" i="7"/>
  <c r="AR77" i="7"/>
  <c r="AR57" i="7"/>
  <c r="AR37" i="7"/>
  <c r="AR17" i="7"/>
  <c r="AR213" i="7"/>
  <c r="AR296" i="7"/>
  <c r="AR276" i="7"/>
  <c r="AR256" i="7"/>
  <c r="AR236" i="7"/>
  <c r="AR216" i="7"/>
  <c r="AR196" i="7"/>
  <c r="AR176" i="7"/>
  <c r="AR156" i="7"/>
  <c r="AR136" i="7"/>
  <c r="AR116" i="7"/>
  <c r="AR96" i="7"/>
  <c r="AR76" i="7"/>
  <c r="AR56" i="7"/>
  <c r="AR36" i="7"/>
  <c r="AR16" i="7"/>
  <c r="AR253" i="7"/>
  <c r="AR295" i="7"/>
  <c r="AR275" i="7"/>
  <c r="AR255" i="7"/>
  <c r="AR235" i="7"/>
  <c r="AR215" i="7"/>
  <c r="AR195" i="7"/>
  <c r="AR175" i="7"/>
  <c r="AR155" i="7"/>
  <c r="AR135" i="7"/>
  <c r="AR115" i="7"/>
  <c r="AR95" i="7"/>
  <c r="AR75" i="7"/>
  <c r="AR55" i="7"/>
  <c r="AR35" i="7"/>
  <c r="AR15" i="7"/>
  <c r="AR293" i="7"/>
  <c r="AR294" i="7"/>
  <c r="AR274" i="7"/>
  <c r="AR254" i="7"/>
  <c r="AR234" i="7"/>
  <c r="AR214" i="7"/>
  <c r="AR194" i="7"/>
  <c r="AR174" i="7"/>
  <c r="AR154" i="7"/>
  <c r="AR134" i="7"/>
  <c r="AR114" i="7"/>
  <c r="AR94" i="7"/>
  <c r="AR74" i="7"/>
  <c r="AR54" i="7"/>
  <c r="AR34" i="7"/>
  <c r="AR14" i="7"/>
  <c r="AR273" i="7"/>
  <c r="AR133" i="7"/>
  <c r="AR113" i="7"/>
  <c r="AR93" i="7"/>
  <c r="AR73" i="7"/>
  <c r="AR53" i="7"/>
  <c r="AR33" i="7"/>
  <c r="AR13" i="7"/>
  <c r="AR271" i="7"/>
  <c r="AR251" i="7"/>
  <c r="AR231" i="7"/>
  <c r="AR211" i="7"/>
  <c r="AR191" i="7"/>
  <c r="AR171" i="7"/>
  <c r="AR151" i="7"/>
  <c r="AR131" i="7"/>
  <c r="AR111" i="7"/>
  <c r="AR229" i="7"/>
  <c r="AR45" i="7"/>
  <c r="AR204" i="7"/>
  <c r="AR292" i="7"/>
  <c r="AR272" i="7"/>
  <c r="AR252" i="7"/>
  <c r="AR232" i="7"/>
  <c r="AR212" i="7"/>
  <c r="AR192" i="7"/>
  <c r="AR172" i="7"/>
  <c r="AR152" i="7"/>
  <c r="AR132" i="7"/>
  <c r="AR112" i="7"/>
  <c r="AR92" i="7"/>
  <c r="AR72" i="7"/>
  <c r="AR52" i="7"/>
  <c r="AR32" i="7"/>
  <c r="AR12" i="7"/>
  <c r="AR291" i="7"/>
  <c r="AR250" i="7"/>
  <c r="AR249" i="7"/>
  <c r="AR165" i="7"/>
  <c r="AR224" i="7"/>
  <c r="AR288" i="7"/>
  <c r="AR268" i="7"/>
  <c r="AR248" i="7"/>
  <c r="AR228" i="7"/>
  <c r="AR208" i="7"/>
  <c r="AR188" i="7"/>
  <c r="AR168" i="7"/>
  <c r="AR148" i="7"/>
  <c r="AR128" i="7"/>
  <c r="AR108" i="7"/>
  <c r="AR88" i="7"/>
  <c r="AR68" i="7"/>
  <c r="AR48" i="7"/>
  <c r="AR28" i="7"/>
  <c r="AR8" i="7"/>
  <c r="AR287" i="7"/>
  <c r="AR267" i="7"/>
  <c r="AR247" i="7"/>
  <c r="AR227" i="7"/>
  <c r="AR207" i="7"/>
  <c r="AR187" i="7"/>
  <c r="AR167" i="7"/>
  <c r="AR147" i="7"/>
  <c r="AR127" i="7"/>
  <c r="AR107" i="7"/>
  <c r="AR87" i="7"/>
  <c r="AR67" i="7"/>
  <c r="AR47" i="7"/>
  <c r="AR27" i="7"/>
  <c r="AR7" i="7"/>
  <c r="AR286" i="7"/>
  <c r="AR266" i="7"/>
  <c r="AR246" i="7"/>
  <c r="AR226" i="7"/>
  <c r="AR206" i="7"/>
  <c r="AR186" i="7"/>
  <c r="AR166" i="7"/>
  <c r="AR146" i="7"/>
  <c r="AR126" i="7"/>
  <c r="AR106" i="7"/>
  <c r="AR86" i="7"/>
  <c r="AR66" i="7"/>
  <c r="AR46" i="7"/>
  <c r="AR26" i="7"/>
  <c r="AR6" i="7"/>
  <c r="AR285" i="7"/>
  <c r="AR265" i="7"/>
  <c r="AR245" i="7"/>
  <c r="AR225" i="7"/>
  <c r="AR205" i="7"/>
  <c r="AR185" i="7"/>
  <c r="AR105" i="7"/>
  <c r="AR85" i="7"/>
  <c r="AR65" i="7"/>
  <c r="AR25" i="7"/>
  <c r="AR5" i="7"/>
  <c r="AR284" i="7"/>
  <c r="AR164" i="7"/>
  <c r="AR144" i="7"/>
  <c r="AR124" i="7"/>
  <c r="AR104" i="7"/>
  <c r="AR84" i="7"/>
  <c r="AR64" i="7"/>
  <c r="AR44" i="7"/>
  <c r="AR24" i="7"/>
  <c r="AR4" i="7"/>
  <c r="AR283" i="7"/>
  <c r="AR163" i="7"/>
  <c r="AR143" i="7"/>
  <c r="AR123" i="7"/>
  <c r="AR223" i="7"/>
  <c r="AR22" i="7"/>
  <c r="AR243" i="7"/>
  <c r="AR42" i="7"/>
  <c r="AR263" i="7"/>
  <c r="AR43" i="7"/>
  <c r="AR282" i="7"/>
  <c r="AW20" i="7"/>
  <c r="AA3" i="7"/>
  <c r="AC3" i="7"/>
  <c r="AD3" i="7"/>
  <c r="AE3" i="7"/>
  <c r="AB3" i="7"/>
  <c r="BA20" i="7"/>
  <c r="BA5" i="7"/>
  <c r="AY14" i="7"/>
  <c r="AZ14" i="7"/>
  <c r="BA14" i="7"/>
  <c r="AY8" i="7"/>
  <c r="AX21" i="7"/>
  <c r="BA8" i="7"/>
  <c r="AZ8" i="7"/>
  <c r="AX12" i="7"/>
  <c r="AY20" i="7"/>
  <c r="AY12" i="7"/>
  <c r="AZ20" i="7"/>
  <c r="AZ12" i="7"/>
  <c r="BA12" i="7"/>
  <c r="AW8" i="7"/>
  <c r="AW15" i="7"/>
  <c r="AX8" i="7"/>
  <c r="AX15" i="7"/>
  <c r="AY15" i="7"/>
  <c r="AZ15" i="7"/>
  <c r="BA15" i="7"/>
  <c r="AW12" i="7"/>
  <c r="AW14" i="7"/>
  <c r="AY21" i="7"/>
  <c r="AW17" i="7"/>
  <c r="AW11" i="7"/>
  <c r="AW7" i="7"/>
  <c r="AW13" i="7"/>
  <c r="AX7" i="7"/>
  <c r="AX13" i="7"/>
  <c r="AX19" i="7"/>
  <c r="AX16" i="7"/>
  <c r="AZ17" i="7"/>
  <c r="AY18" i="7"/>
  <c r="AZ21" i="7"/>
  <c r="BA11" i="7"/>
  <c r="BA18" i="7"/>
  <c r="BA21" i="7"/>
  <c r="AW19" i="7"/>
  <c r="AW16" i="7"/>
  <c r="AY7" i="7"/>
  <c r="AY13" i="7"/>
  <c r="AY19" i="7"/>
  <c r="AY16" i="7"/>
  <c r="AZ7" i="7"/>
  <c r="AZ13" i="7"/>
  <c r="AZ19" i="7"/>
  <c r="AZ16" i="7"/>
  <c r="AW18" i="7"/>
  <c r="AX18" i="7"/>
  <c r="AZ11" i="7"/>
  <c r="BA7" i="7"/>
  <c r="BA19" i="7"/>
  <c r="BA16" i="7"/>
  <c r="AW21" i="7"/>
  <c r="AX11" i="7"/>
  <c r="AW9" i="7"/>
  <c r="AX9" i="7"/>
  <c r="AX14" i="7"/>
  <c r="AX10" i="7"/>
  <c r="BA17" i="7"/>
  <c r="AY9" i="7"/>
  <c r="AY10" i="7"/>
  <c r="AZ18" i="7"/>
  <c r="AZ9" i="7"/>
  <c r="AY11" i="7"/>
  <c r="BA9" i="7"/>
  <c r="AR222" i="7" l="1"/>
  <c r="AR142" i="7"/>
  <c r="AR122" i="7"/>
  <c r="AR103" i="7"/>
  <c r="AR102" i="7"/>
  <c r="AR83" i="7"/>
  <c r="AR82" i="7"/>
  <c r="AR63" i="7"/>
  <c r="AR62" i="7"/>
  <c r="AR23" i="7"/>
  <c r="AR3" i="7"/>
  <c r="AR162" i="7"/>
  <c r="AG2" i="7"/>
  <c r="AR183" i="7"/>
  <c r="AR262" i="7"/>
  <c r="AR242" i="7"/>
  <c r="AR182" i="7"/>
  <c r="A15" i="2"/>
  <c r="A14" i="2"/>
  <c r="A12" i="2"/>
  <c r="A11" i="2"/>
  <c r="A10" i="2"/>
  <c r="A9" i="2"/>
  <c r="A8" i="2"/>
  <c r="A7" i="2"/>
  <c r="A6" i="2"/>
  <c r="A5" i="2"/>
  <c r="A4" i="2"/>
  <c r="A3" i="2"/>
  <c r="A13" i="2"/>
  <c r="AA6" i="9"/>
  <c r="AB6" i="9" s="1"/>
  <c r="AA7" i="9"/>
  <c r="AB7" i="9" s="1"/>
  <c r="AA8" i="9"/>
  <c r="AB8" i="9" s="1"/>
  <c r="AA9" i="9"/>
  <c r="AB9" i="9" s="1"/>
  <c r="AA10" i="9"/>
  <c r="AB10" i="9" s="1"/>
  <c r="AA4" i="9"/>
  <c r="AB4" i="9" s="1"/>
  <c r="AA5" i="9"/>
  <c r="AB5" i="9" s="1"/>
  <c r="AA3" i="9"/>
  <c r="V1" i="8"/>
  <c r="Q1" i="8"/>
  <c r="AG242" i="7" l="1"/>
  <c r="AG84" i="7"/>
  <c r="V2" i="7"/>
  <c r="AG185" i="7"/>
  <c r="AG184" i="7"/>
  <c r="AG183" i="7"/>
  <c r="AG182" i="7"/>
  <c r="AG85" i="7"/>
  <c r="AG165" i="7"/>
  <c r="AG82" i="7"/>
  <c r="AG83" i="7"/>
  <c r="AG65" i="7"/>
  <c r="AG224" i="7"/>
  <c r="AG280" i="7"/>
  <c r="AG199" i="7"/>
  <c r="AG118" i="7"/>
  <c r="AG37" i="7"/>
  <c r="AG275" i="7"/>
  <c r="AG194" i="7"/>
  <c r="AG210" i="7"/>
  <c r="AG109" i="7"/>
  <c r="AG286" i="7"/>
  <c r="AG133" i="7"/>
  <c r="AG212" i="7"/>
  <c r="AG128" i="7"/>
  <c r="AG143" i="7"/>
  <c r="AG13" i="7"/>
  <c r="AG298" i="7"/>
  <c r="AG217" i="7"/>
  <c r="AG136" i="7"/>
  <c r="AG55" i="7"/>
  <c r="AG91" i="7"/>
  <c r="AG289" i="7"/>
  <c r="AG167" i="7"/>
  <c r="AG66" i="7"/>
  <c r="AG191" i="7"/>
  <c r="AG291" i="7"/>
  <c r="AG243" i="7"/>
  <c r="AG63" i="7"/>
  <c r="AG205" i="7"/>
  <c r="AG232" i="7"/>
  <c r="AG148" i="7"/>
  <c r="AG43" i="7"/>
  <c r="AG260" i="7"/>
  <c r="AG179" i="7"/>
  <c r="AG98" i="7"/>
  <c r="AG21" i="7"/>
  <c r="AG255" i="7"/>
  <c r="AG174" i="7"/>
  <c r="AG190" i="7"/>
  <c r="AG89" i="7"/>
  <c r="AG266" i="7"/>
  <c r="AG113" i="7"/>
  <c r="AG192" i="7"/>
  <c r="AG108" i="7"/>
  <c r="AG262" i="7"/>
  <c r="AG204" i="7"/>
  <c r="AG141" i="7"/>
  <c r="AG60" i="7"/>
  <c r="AG124" i="7"/>
  <c r="AG240" i="7"/>
  <c r="AG159" i="7"/>
  <c r="AG78" i="7"/>
  <c r="AG233" i="7"/>
  <c r="AG235" i="7"/>
  <c r="AG154" i="7"/>
  <c r="AG170" i="7"/>
  <c r="AG69" i="7"/>
  <c r="AG246" i="7"/>
  <c r="AG93" i="7"/>
  <c r="AG172" i="7"/>
  <c r="AG88" i="7"/>
  <c r="AG44" i="7"/>
  <c r="AG237" i="7"/>
  <c r="AG156" i="7"/>
  <c r="AG301" i="7"/>
  <c r="AG220" i="7"/>
  <c r="AG139" i="7"/>
  <c r="AG58" i="7"/>
  <c r="AG296" i="7"/>
  <c r="AG215" i="7"/>
  <c r="AG134" i="7"/>
  <c r="AG150" i="7"/>
  <c r="AG49" i="7"/>
  <c r="AG226" i="7"/>
  <c r="AG73" i="7"/>
  <c r="AG152" i="7"/>
  <c r="AG68" i="7"/>
  <c r="AG144" i="7"/>
  <c r="AG293" i="7"/>
  <c r="AG16" i="7"/>
  <c r="AG281" i="7"/>
  <c r="AG200" i="7"/>
  <c r="AG119" i="7"/>
  <c r="AG38" i="7"/>
  <c r="AG276" i="7"/>
  <c r="AG195" i="7"/>
  <c r="AG114" i="7"/>
  <c r="AG130" i="7"/>
  <c r="AG29" i="7"/>
  <c r="AG206" i="7"/>
  <c r="AG53" i="7"/>
  <c r="AG132" i="7"/>
  <c r="AG48" i="7"/>
  <c r="AG263" i="7"/>
  <c r="AG75" i="7"/>
  <c r="AG261" i="7"/>
  <c r="AG180" i="7"/>
  <c r="AG99" i="7"/>
  <c r="AG22" i="7"/>
  <c r="AG256" i="7"/>
  <c r="AG175" i="7"/>
  <c r="AG94" i="7"/>
  <c r="AG110" i="7"/>
  <c r="AG9" i="7"/>
  <c r="AG186" i="7"/>
  <c r="AG33" i="7"/>
  <c r="AG112" i="7"/>
  <c r="AG28" i="7"/>
  <c r="AG45" i="7"/>
  <c r="AG173" i="7"/>
  <c r="AG241" i="7"/>
  <c r="AG160" i="7"/>
  <c r="AG79" i="7"/>
  <c r="AG213" i="7"/>
  <c r="AG236" i="7"/>
  <c r="AG155" i="7"/>
  <c r="AG74" i="7"/>
  <c r="AG90" i="7"/>
  <c r="AG267" i="7"/>
  <c r="AG166" i="7"/>
  <c r="AG11" i="7"/>
  <c r="AG92" i="7"/>
  <c r="AG8" i="7"/>
  <c r="AG145" i="7"/>
  <c r="AG80" i="7"/>
  <c r="AG221" i="7"/>
  <c r="AG140" i="7"/>
  <c r="AG59" i="7"/>
  <c r="AG297" i="7"/>
  <c r="AG216" i="7"/>
  <c r="AG135" i="7"/>
  <c r="AG54" i="7"/>
  <c r="AG70" i="7"/>
  <c r="AG247" i="7"/>
  <c r="AG146" i="7"/>
  <c r="AG271" i="7"/>
  <c r="AG72" i="7"/>
  <c r="AG287" i="7"/>
  <c r="AG264" i="7"/>
  <c r="AG187" i="7"/>
  <c r="AG86" i="7"/>
  <c r="AG211" i="7"/>
  <c r="AG10" i="7"/>
  <c r="AG125" i="7"/>
  <c r="AG282" i="7"/>
  <c r="AG201" i="7"/>
  <c r="AG120" i="7"/>
  <c r="AG39" i="7"/>
  <c r="AG277" i="7"/>
  <c r="AG196" i="7"/>
  <c r="AG115" i="7"/>
  <c r="AG34" i="7"/>
  <c r="AG50" i="7"/>
  <c r="AG227" i="7"/>
  <c r="AG126" i="7"/>
  <c r="AG251" i="7"/>
  <c r="AG52" i="7"/>
  <c r="AG26" i="7"/>
  <c r="AG62" i="7"/>
  <c r="AG161" i="7"/>
  <c r="AG202" i="7"/>
  <c r="AG181" i="7"/>
  <c r="AG100" i="7"/>
  <c r="AG12" i="7"/>
  <c r="AG257" i="7"/>
  <c r="AG176" i="7"/>
  <c r="AG95" i="7"/>
  <c r="AG18" i="7"/>
  <c r="AG30" i="7"/>
  <c r="AG207" i="7"/>
  <c r="AG106" i="7"/>
  <c r="AG231" i="7"/>
  <c r="AG32" i="7"/>
  <c r="AG14" i="7"/>
  <c r="AG162" i="7"/>
  <c r="AG203" i="7"/>
  <c r="AG5" i="7"/>
  <c r="AG121" i="7"/>
  <c r="AG278" i="7"/>
  <c r="AG197" i="7"/>
  <c r="AG71" i="7"/>
  <c r="AG147" i="7"/>
  <c r="AG102" i="7"/>
  <c r="AG41" i="7"/>
  <c r="AG292" i="7"/>
  <c r="AG116" i="7"/>
  <c r="AG269" i="7"/>
  <c r="AG46" i="7"/>
  <c r="AG288" i="7"/>
  <c r="AG163" i="7"/>
  <c r="AG279" i="7"/>
  <c r="AG117" i="7"/>
  <c r="AG36" i="7"/>
  <c r="AG290" i="7"/>
  <c r="AG67" i="7"/>
  <c r="AG208" i="7"/>
  <c r="AG284" i="7"/>
  <c r="AG20" i="7"/>
  <c r="AG47" i="7"/>
  <c r="AG272" i="7"/>
  <c r="AG40" i="7"/>
  <c r="AG35" i="7"/>
  <c r="AG171" i="7"/>
  <c r="AG122" i="7"/>
  <c r="AG274" i="7"/>
  <c r="AG265" i="7"/>
  <c r="AG270" i="7"/>
  <c r="AG188" i="7"/>
  <c r="AG3" i="7"/>
  <c r="AG153" i="7"/>
  <c r="AG239" i="7"/>
  <c r="AG158" i="7"/>
  <c r="AG77" i="7"/>
  <c r="AG253" i="7"/>
  <c r="AG234" i="7"/>
  <c r="AG250" i="7"/>
  <c r="AG105" i="7"/>
  <c r="AG101" i="7"/>
  <c r="AG23" i="7"/>
  <c r="AG258" i="7"/>
  <c r="AG177" i="7"/>
  <c r="AG96" i="7"/>
  <c r="AG19" i="7"/>
  <c r="AG51" i="7"/>
  <c r="AG249" i="7"/>
  <c r="AG127" i="7"/>
  <c r="AG15" i="7"/>
  <c r="AG151" i="7"/>
  <c r="AG268" i="7"/>
  <c r="AG103" i="7"/>
  <c r="AG283" i="7"/>
  <c r="AG222" i="7"/>
  <c r="AG81" i="7"/>
  <c r="AG193" i="7"/>
  <c r="AG238" i="7"/>
  <c r="AG157" i="7"/>
  <c r="AG76" i="7"/>
  <c r="AG273" i="7"/>
  <c r="AG31" i="7"/>
  <c r="AG229" i="7"/>
  <c r="AG107" i="7"/>
  <c r="AG6" i="7"/>
  <c r="AG131" i="7"/>
  <c r="AG248" i="7"/>
  <c r="AG104" i="7"/>
  <c r="AG64" i="7"/>
  <c r="AG299" i="7"/>
  <c r="AG209" i="7"/>
  <c r="AG285" i="7"/>
  <c r="AG228" i="7"/>
  <c r="AG164" i="7"/>
  <c r="AG25" i="7"/>
  <c r="AG61" i="7"/>
  <c r="AG218" i="7"/>
  <c r="AG137" i="7"/>
  <c r="AG56" i="7"/>
  <c r="AG294" i="7"/>
  <c r="AG17" i="7"/>
  <c r="AG87" i="7"/>
  <c r="AG111" i="7"/>
  <c r="AG123" i="7"/>
  <c r="AG198" i="7"/>
  <c r="AG189" i="7"/>
  <c r="AG42" i="7"/>
  <c r="AG142" i="7"/>
  <c r="AG223" i="7"/>
  <c r="AG24" i="7"/>
  <c r="AG259" i="7"/>
  <c r="AG178" i="7"/>
  <c r="AG97" i="7"/>
  <c r="AG254" i="7"/>
  <c r="AG169" i="7"/>
  <c r="AG245" i="7"/>
  <c r="AG149" i="7"/>
  <c r="AG27" i="7"/>
  <c r="AG225" i="7"/>
  <c r="AG252" i="7"/>
  <c r="AG168" i="7"/>
  <c r="AG244" i="7"/>
  <c r="AG4" i="7"/>
  <c r="AG300" i="7"/>
  <c r="AG219" i="7"/>
  <c r="AG138" i="7"/>
  <c r="AG57" i="7"/>
  <c r="AG295" i="7"/>
  <c r="AG214" i="7"/>
  <c r="AG230" i="7"/>
  <c r="AG129" i="7"/>
  <c r="AG7" i="7"/>
  <c r="AI6" i="9"/>
  <c r="AJ6" i="9" s="1"/>
  <c r="AI9" i="9"/>
  <c r="AJ9" i="9" s="1"/>
  <c r="AI10" i="9"/>
  <c r="AJ10" i="9" s="1"/>
  <c r="AI7" i="9"/>
  <c r="AJ7" i="9" s="1"/>
  <c r="AI5" i="9"/>
  <c r="AJ5" i="9" s="1"/>
  <c r="H17" i="8"/>
  <c r="AI8" i="9"/>
  <c r="AJ8" i="9" s="1"/>
  <c r="AI4" i="9"/>
  <c r="AJ4" i="9" s="1"/>
  <c r="AI3" i="9"/>
  <c r="V301" i="7" l="1"/>
  <c r="V232" i="7"/>
  <c r="V172" i="7"/>
  <c r="V132" i="7"/>
  <c r="V5" i="7"/>
  <c r="V246" i="7"/>
  <c r="V48" i="7"/>
  <c r="V189" i="7"/>
  <c r="V91" i="7"/>
  <c r="V74" i="7"/>
  <c r="V169" i="7"/>
  <c r="V295" i="7"/>
  <c r="V24" i="7"/>
  <c r="V277" i="7"/>
  <c r="V290" i="7"/>
  <c r="V59" i="7"/>
  <c r="V49" i="7"/>
  <c r="V300" i="7"/>
  <c r="V121" i="7"/>
  <c r="V25" i="7"/>
  <c r="V266" i="7"/>
  <c r="V68" i="7"/>
  <c r="V111" i="7"/>
  <c r="V292" i="7"/>
  <c r="V94" i="7"/>
  <c r="V249" i="7"/>
  <c r="V15" i="7"/>
  <c r="V204" i="7"/>
  <c r="V297" i="7"/>
  <c r="V71" i="7"/>
  <c r="V79" i="7"/>
  <c r="V109" i="7"/>
  <c r="V122" i="7"/>
  <c r="V141" i="7"/>
  <c r="V167" i="7"/>
  <c r="V268" i="7"/>
  <c r="V12" i="7"/>
  <c r="V193" i="7"/>
  <c r="V294" i="7"/>
  <c r="V115" i="7"/>
  <c r="V216" i="7"/>
  <c r="V97" i="7"/>
  <c r="V289" i="7"/>
  <c r="V178" i="7"/>
  <c r="V279" i="7"/>
  <c r="V120" i="7"/>
  <c r="V269" i="7"/>
  <c r="V45" i="7"/>
  <c r="V286" i="7"/>
  <c r="V88" i="7"/>
  <c r="V131" i="7"/>
  <c r="V13" i="7"/>
  <c r="V114" i="7"/>
  <c r="V30" i="7"/>
  <c r="V36" i="7"/>
  <c r="V205" i="7"/>
  <c r="V42" i="7"/>
  <c r="V212" i="7"/>
  <c r="V99" i="7"/>
  <c r="V229" i="7"/>
  <c r="V262" i="7"/>
  <c r="V161" i="7"/>
  <c r="V65" i="7"/>
  <c r="V7" i="7"/>
  <c r="V108" i="7"/>
  <c r="V151" i="7"/>
  <c r="V33" i="7"/>
  <c r="V134" i="7"/>
  <c r="V270" i="7"/>
  <c r="V56" i="7"/>
  <c r="V89" i="7"/>
  <c r="V162" i="7"/>
  <c r="V18" i="7"/>
  <c r="V119" i="7"/>
  <c r="V250" i="7"/>
  <c r="V123" i="7"/>
  <c r="V181" i="7"/>
  <c r="V85" i="7"/>
  <c r="V27" i="7"/>
  <c r="V128" i="7"/>
  <c r="V171" i="7"/>
  <c r="V53" i="7"/>
  <c r="V154" i="7"/>
  <c r="V51" i="7"/>
  <c r="V76" i="7"/>
  <c r="V209" i="7"/>
  <c r="V63" i="7"/>
  <c r="V38" i="7"/>
  <c r="V139" i="7"/>
  <c r="V31" i="7"/>
  <c r="V223" i="7"/>
  <c r="V201" i="7"/>
  <c r="V105" i="7"/>
  <c r="V47" i="7"/>
  <c r="V148" i="7"/>
  <c r="V191" i="7"/>
  <c r="V73" i="7"/>
  <c r="V174" i="7"/>
  <c r="V152" i="7"/>
  <c r="V96" i="7"/>
  <c r="V210" i="7"/>
  <c r="V203" i="7"/>
  <c r="V58" i="7"/>
  <c r="V159" i="7"/>
  <c r="V252" i="7"/>
  <c r="V4" i="7"/>
  <c r="V221" i="7"/>
  <c r="V125" i="7"/>
  <c r="V67" i="7"/>
  <c r="V168" i="7"/>
  <c r="V211" i="7"/>
  <c r="V93" i="7"/>
  <c r="V194" i="7"/>
  <c r="V14" i="7"/>
  <c r="V116" i="7"/>
  <c r="V192" i="7"/>
  <c r="V124" i="7"/>
  <c r="V78" i="7"/>
  <c r="V179" i="7"/>
  <c r="V20" i="7"/>
  <c r="V144" i="7"/>
  <c r="V241" i="7"/>
  <c r="V285" i="7"/>
  <c r="V87" i="7"/>
  <c r="V188" i="7"/>
  <c r="V231" i="7"/>
  <c r="V113" i="7"/>
  <c r="V214" i="7"/>
  <c r="V35" i="7"/>
  <c r="V136" i="7"/>
  <c r="V16" i="7"/>
  <c r="V244" i="7"/>
  <c r="V98" i="7"/>
  <c r="V199" i="7"/>
  <c r="V40" i="7"/>
  <c r="V224" i="7"/>
  <c r="V261" i="7"/>
  <c r="V66" i="7"/>
  <c r="V6" i="7"/>
  <c r="V107" i="7"/>
  <c r="V208" i="7"/>
  <c r="V251" i="7"/>
  <c r="V133" i="7"/>
  <c r="V234" i="7"/>
  <c r="V55" i="7"/>
  <c r="V156" i="7"/>
  <c r="V37" i="7"/>
  <c r="V265" i="7"/>
  <c r="V118" i="7"/>
  <c r="V219" i="7"/>
  <c r="V60" i="7"/>
  <c r="V225" i="7"/>
  <c r="V281" i="7"/>
  <c r="V26" i="7"/>
  <c r="V127" i="7"/>
  <c r="V228" i="7"/>
  <c r="V271" i="7"/>
  <c r="V153" i="7"/>
  <c r="V254" i="7"/>
  <c r="V75" i="7"/>
  <c r="V176" i="7"/>
  <c r="V57" i="7"/>
  <c r="V29" i="7"/>
  <c r="V138" i="7"/>
  <c r="V239" i="7"/>
  <c r="V80" i="7"/>
  <c r="V9" i="7"/>
  <c r="V46" i="7"/>
  <c r="V147" i="7"/>
  <c r="V248" i="7"/>
  <c r="V291" i="7"/>
  <c r="V173" i="7"/>
  <c r="V274" i="7"/>
  <c r="V95" i="7"/>
  <c r="V196" i="7"/>
  <c r="V77" i="7"/>
  <c r="V149" i="7"/>
  <c r="V158" i="7"/>
  <c r="V259" i="7"/>
  <c r="V100" i="7"/>
  <c r="V129" i="7"/>
  <c r="V86" i="7"/>
  <c r="V187" i="7"/>
  <c r="V288" i="7"/>
  <c r="V32" i="7"/>
  <c r="V213" i="7"/>
  <c r="V135" i="7"/>
  <c r="V236" i="7"/>
  <c r="V117" i="7"/>
  <c r="V10" i="7"/>
  <c r="V198" i="7"/>
  <c r="V299" i="7"/>
  <c r="V140" i="7"/>
  <c r="V230" i="7"/>
  <c r="V220" i="7"/>
  <c r="V62" i="7"/>
  <c r="V8" i="7"/>
  <c r="V145" i="7"/>
  <c r="V185" i="7"/>
  <c r="V255" i="7"/>
  <c r="V103" i="7"/>
  <c r="V237" i="7"/>
  <c r="V150" i="7"/>
  <c r="V19" i="7"/>
  <c r="V284" i="7"/>
  <c r="V260" i="7"/>
  <c r="V81" i="7"/>
  <c r="V106" i="7"/>
  <c r="V207" i="7"/>
  <c r="V22" i="7"/>
  <c r="V52" i="7"/>
  <c r="V233" i="7"/>
  <c r="V222" i="7"/>
  <c r="V155" i="7"/>
  <c r="V256" i="7"/>
  <c r="V137" i="7"/>
  <c r="V50" i="7"/>
  <c r="V218" i="7"/>
  <c r="V102" i="7"/>
  <c r="V160" i="7"/>
  <c r="V11" i="7"/>
  <c r="V82" i="7"/>
  <c r="V126" i="7"/>
  <c r="V227" i="7"/>
  <c r="V182" i="7"/>
  <c r="V72" i="7"/>
  <c r="V253" i="7"/>
  <c r="V83" i="7"/>
  <c r="V175" i="7"/>
  <c r="V276" i="7"/>
  <c r="V157" i="7"/>
  <c r="V70" i="7"/>
  <c r="V238" i="7"/>
  <c r="V242" i="7"/>
  <c r="V180" i="7"/>
  <c r="V272" i="7"/>
  <c r="V202" i="7"/>
  <c r="V146" i="7"/>
  <c r="V247" i="7"/>
  <c r="V23" i="7"/>
  <c r="V92" i="7"/>
  <c r="V273" i="7"/>
  <c r="V243" i="7"/>
  <c r="V195" i="7"/>
  <c r="V296" i="7"/>
  <c r="V177" i="7"/>
  <c r="V90" i="7"/>
  <c r="V258" i="7"/>
  <c r="V3" i="7"/>
  <c r="V200" i="7"/>
  <c r="V21" i="7"/>
  <c r="V43" i="7"/>
  <c r="V166" i="7"/>
  <c r="V267" i="7"/>
  <c r="V283" i="7"/>
  <c r="V112" i="7"/>
  <c r="V293" i="7"/>
  <c r="V64" i="7"/>
  <c r="V215" i="7"/>
  <c r="V142" i="7"/>
  <c r="V197" i="7"/>
  <c r="V110" i="7"/>
  <c r="V278" i="7"/>
  <c r="V183" i="7"/>
  <c r="V41" i="7"/>
  <c r="V206" i="7"/>
  <c r="V184" i="7"/>
  <c r="V34" i="7"/>
  <c r="V163" i="7"/>
  <c r="V186" i="7"/>
  <c r="V287" i="7"/>
  <c r="V104" i="7"/>
  <c r="V143" i="7"/>
  <c r="V17" i="7"/>
  <c r="V164" i="7"/>
  <c r="V235" i="7"/>
  <c r="V282" i="7"/>
  <c r="V217" i="7"/>
  <c r="V130" i="7"/>
  <c r="V298" i="7"/>
  <c r="V84" i="7"/>
  <c r="V240" i="7"/>
  <c r="V61" i="7"/>
  <c r="V44" i="7"/>
  <c r="V264" i="7"/>
  <c r="V226" i="7"/>
  <c r="V28" i="7"/>
  <c r="V165" i="7"/>
  <c r="V190" i="7"/>
  <c r="V54" i="7"/>
  <c r="V69" i="7"/>
  <c r="V275" i="7"/>
  <c r="V263" i="7"/>
  <c r="V257" i="7"/>
  <c r="V170" i="7"/>
  <c r="V39" i="7"/>
  <c r="V245" i="7"/>
  <c r="V280" i="7"/>
  <c r="V101" i="7"/>
  <c r="O51" i="13"/>
  <c r="O43" i="13"/>
  <c r="O46" i="13"/>
  <c r="O25" i="13"/>
  <c r="O44" i="13"/>
  <c r="O53" i="13"/>
  <c r="O52" i="13"/>
  <c r="O34" i="13"/>
  <c r="O45" i="13"/>
  <c r="O36" i="13"/>
  <c r="O29" i="13"/>
  <c r="O27" i="13"/>
  <c r="O35" i="13"/>
  <c r="O18" i="13"/>
  <c r="O23" i="13"/>
  <c r="O33" i="13"/>
  <c r="O41" i="13"/>
  <c r="O22" i="13"/>
  <c r="O40" i="13"/>
  <c r="O20" i="13"/>
  <c r="O32" i="13"/>
  <c r="O30" i="13"/>
  <c r="O16" i="13"/>
  <c r="O28" i="13"/>
  <c r="O15" i="13"/>
  <c r="O54" i="13"/>
  <c r="O14" i="13"/>
  <c r="O21" i="13"/>
  <c r="O42" i="13"/>
  <c r="O49" i="13"/>
  <c r="O19" i="13"/>
  <c r="O38" i="13"/>
  <c r="O31" i="13"/>
  <c r="O26" i="13"/>
  <c r="O24" i="13"/>
  <c r="O17" i="13"/>
  <c r="O47" i="13"/>
  <c r="O48" i="13"/>
  <c r="O37" i="13"/>
  <c r="O39" i="13"/>
  <c r="O50" i="13"/>
  <c r="H100" i="8"/>
  <c r="G100" i="8"/>
  <c r="F100" i="8"/>
  <c r="C103" i="13" s="1"/>
  <c r="H99" i="8"/>
  <c r="G99" i="8"/>
  <c r="F99" i="8"/>
  <c r="C102" i="13" s="1"/>
  <c r="H98" i="8"/>
  <c r="G98" i="8"/>
  <c r="F98" i="8"/>
  <c r="C101" i="13" s="1"/>
  <c r="H97" i="8"/>
  <c r="G97" i="8"/>
  <c r="F97" i="8"/>
  <c r="C100" i="13" s="1"/>
  <c r="H96" i="8"/>
  <c r="G96" i="8"/>
  <c r="F96" i="8"/>
  <c r="C99" i="13" s="1"/>
  <c r="H95" i="8"/>
  <c r="G95" i="8"/>
  <c r="F95" i="8"/>
  <c r="C98" i="13" s="1"/>
  <c r="H94" i="8"/>
  <c r="G94" i="8"/>
  <c r="F94" i="8"/>
  <c r="C97" i="13" s="1"/>
  <c r="H93" i="8"/>
  <c r="G93" i="8"/>
  <c r="F93" i="8"/>
  <c r="C96" i="13" s="1"/>
  <c r="H92" i="8"/>
  <c r="G92" i="8"/>
  <c r="F92" i="8"/>
  <c r="C95" i="13" s="1"/>
  <c r="H91" i="8"/>
  <c r="G91" i="8"/>
  <c r="F91" i="8"/>
  <c r="C94" i="13" s="1"/>
  <c r="H90" i="8"/>
  <c r="G90" i="8"/>
  <c r="F90" i="8"/>
  <c r="C93" i="13" s="1"/>
  <c r="H89" i="8"/>
  <c r="G89" i="8"/>
  <c r="F89" i="8"/>
  <c r="C92" i="13" s="1"/>
  <c r="H88" i="8"/>
  <c r="G88" i="8"/>
  <c r="F88" i="8"/>
  <c r="C91" i="13" s="1"/>
  <c r="H87" i="8"/>
  <c r="G87" i="8"/>
  <c r="F87" i="8"/>
  <c r="C90" i="13" s="1"/>
  <c r="H86" i="8"/>
  <c r="G86" i="8"/>
  <c r="F86" i="8"/>
  <c r="C89" i="13" s="1"/>
  <c r="H85" i="8"/>
  <c r="G85" i="8"/>
  <c r="F85" i="8"/>
  <c r="C88" i="13" s="1"/>
  <c r="H84" i="8"/>
  <c r="G84" i="8"/>
  <c r="F84" i="8"/>
  <c r="C87" i="13" s="1"/>
  <c r="H83" i="8"/>
  <c r="G83" i="8"/>
  <c r="F83" i="8"/>
  <c r="C86" i="13" s="1"/>
  <c r="H82" i="8"/>
  <c r="G82" i="8"/>
  <c r="F82" i="8"/>
  <c r="C85" i="13" s="1"/>
  <c r="H81" i="8"/>
  <c r="G81" i="8"/>
  <c r="F81" i="8"/>
  <c r="C84" i="13" s="1"/>
  <c r="H80" i="8"/>
  <c r="G80" i="8"/>
  <c r="F80" i="8"/>
  <c r="C83" i="13" s="1"/>
  <c r="H79" i="8"/>
  <c r="G79" i="8"/>
  <c r="F79" i="8"/>
  <c r="C82" i="13" s="1"/>
  <c r="H78" i="8"/>
  <c r="G78" i="8"/>
  <c r="F78" i="8"/>
  <c r="C81" i="13" s="1"/>
  <c r="H77" i="8"/>
  <c r="G77" i="8"/>
  <c r="F77" i="8"/>
  <c r="C80" i="13" s="1"/>
  <c r="H76" i="8"/>
  <c r="G76" i="8"/>
  <c r="F76" i="8"/>
  <c r="C79" i="13" s="1"/>
  <c r="H75" i="8"/>
  <c r="G75" i="8"/>
  <c r="F75" i="8"/>
  <c r="C78" i="13" s="1"/>
  <c r="H74" i="8"/>
  <c r="G74" i="8"/>
  <c r="F74" i="8"/>
  <c r="C77" i="13" s="1"/>
  <c r="H73" i="8"/>
  <c r="G73" i="8"/>
  <c r="F73" i="8"/>
  <c r="C76" i="13" s="1"/>
  <c r="H72" i="8"/>
  <c r="G72" i="8"/>
  <c r="F72" i="8"/>
  <c r="C75" i="13" s="1"/>
  <c r="H71" i="8"/>
  <c r="G71" i="8"/>
  <c r="F71" i="8"/>
  <c r="C74" i="13" s="1"/>
  <c r="H70" i="8"/>
  <c r="G70" i="8"/>
  <c r="F70" i="8"/>
  <c r="C73" i="13" s="1"/>
  <c r="H69" i="8"/>
  <c r="G69" i="8"/>
  <c r="F69" i="8"/>
  <c r="C72" i="13" s="1"/>
  <c r="H68" i="8"/>
  <c r="G68" i="8"/>
  <c r="F68" i="8"/>
  <c r="C71" i="13" s="1"/>
  <c r="H67" i="8"/>
  <c r="G67" i="8"/>
  <c r="F67" i="8"/>
  <c r="C70" i="13" s="1"/>
  <c r="H66" i="8"/>
  <c r="G66" i="8"/>
  <c r="F66" i="8"/>
  <c r="C69" i="13" s="1"/>
  <c r="H65" i="8"/>
  <c r="G65" i="8"/>
  <c r="F65" i="8"/>
  <c r="C68" i="13" s="1"/>
  <c r="H64" i="8"/>
  <c r="G64" i="8"/>
  <c r="F64" i="8"/>
  <c r="C67" i="13" s="1"/>
  <c r="H63" i="8"/>
  <c r="G63" i="8"/>
  <c r="F63" i="8"/>
  <c r="C66" i="13" s="1"/>
  <c r="H62" i="8"/>
  <c r="G62" i="8"/>
  <c r="F62" i="8"/>
  <c r="C65" i="13" s="1"/>
  <c r="H61" i="8"/>
  <c r="G61" i="8"/>
  <c r="F61" i="8"/>
  <c r="C64" i="13" s="1"/>
  <c r="H60" i="8"/>
  <c r="G60" i="8"/>
  <c r="F60" i="8"/>
  <c r="C63" i="13" s="1"/>
  <c r="H59" i="8"/>
  <c r="G59" i="8"/>
  <c r="F59" i="8"/>
  <c r="C62" i="13" s="1"/>
  <c r="H58" i="8"/>
  <c r="G58" i="8"/>
  <c r="F58" i="8"/>
  <c r="C61" i="13" s="1"/>
  <c r="H57" i="8"/>
  <c r="G57" i="8"/>
  <c r="F57" i="8"/>
  <c r="C60" i="13" s="1"/>
  <c r="H56" i="8"/>
  <c r="G56" i="8"/>
  <c r="F56" i="8"/>
  <c r="C59" i="13" s="1"/>
  <c r="H55" i="8"/>
  <c r="G55" i="8"/>
  <c r="F55" i="8"/>
  <c r="C58" i="13" s="1"/>
  <c r="H54" i="8"/>
  <c r="G54" i="8"/>
  <c r="F54" i="8"/>
  <c r="C57" i="13" s="1"/>
  <c r="H53" i="8"/>
  <c r="G53" i="8"/>
  <c r="F53" i="8"/>
  <c r="C56" i="13" s="1"/>
  <c r="H52" i="8"/>
  <c r="G52" i="8"/>
  <c r="F52" i="8"/>
  <c r="C55" i="13" s="1"/>
  <c r="H51" i="8"/>
  <c r="G51" i="8"/>
  <c r="F51" i="8"/>
  <c r="C54" i="13" s="1"/>
  <c r="H50" i="8"/>
  <c r="G50" i="8"/>
  <c r="F50" i="8"/>
  <c r="C53" i="13" s="1"/>
  <c r="H49" i="8"/>
  <c r="G49" i="8"/>
  <c r="F49" i="8"/>
  <c r="C52" i="13" s="1"/>
  <c r="G7" i="8"/>
  <c r="F15" i="2"/>
  <c r="D15" i="2"/>
  <c r="F14" i="2"/>
  <c r="D14" i="2"/>
  <c r="F13" i="2"/>
  <c r="D13" i="2"/>
  <c r="F12" i="2"/>
  <c r="D12" i="2"/>
  <c r="F11" i="2"/>
  <c r="D11" i="2"/>
  <c r="F10" i="2"/>
  <c r="D10" i="2"/>
  <c r="F9" i="2"/>
  <c r="D9" i="2"/>
  <c r="F8" i="2"/>
  <c r="D8" i="2"/>
  <c r="F7" i="2"/>
  <c r="D7" i="2"/>
  <c r="F6" i="2"/>
  <c r="D6" i="2"/>
  <c r="F5" i="2"/>
  <c r="D5" i="2"/>
  <c r="F4" i="2"/>
  <c r="D4" i="2"/>
  <c r="F3" i="2"/>
  <c r="D3" i="2"/>
  <c r="AP23" i="7"/>
  <c r="AO23" i="7"/>
  <c r="AN23" i="7"/>
  <c r="AM23" i="7"/>
  <c r="AL23" i="7"/>
  <c r="AP12" i="7"/>
  <c r="AO12" i="7"/>
  <c r="AN12" i="7"/>
  <c r="AM12" i="7"/>
  <c r="AL12" i="7"/>
  <c r="AP19" i="7"/>
  <c r="AO19" i="7"/>
  <c r="AN19" i="7"/>
  <c r="AM19" i="7"/>
  <c r="AL19" i="7"/>
  <c r="AP35" i="7"/>
  <c r="AO35" i="7"/>
  <c r="AN35" i="7"/>
  <c r="AM35" i="7"/>
  <c r="AL35" i="7"/>
  <c r="AP34" i="7"/>
  <c r="AO34" i="7"/>
  <c r="AN34" i="7"/>
  <c r="AM34" i="7"/>
  <c r="AL34" i="7"/>
  <c r="AP33" i="7"/>
  <c r="AO33" i="7"/>
  <c r="AN33" i="7"/>
  <c r="AM33" i="7"/>
  <c r="AL33" i="7"/>
  <c r="AP32" i="7"/>
  <c r="AO32" i="7"/>
  <c r="AN32" i="7"/>
  <c r="AM32" i="7"/>
  <c r="AL32" i="7"/>
  <c r="AP3" i="7"/>
  <c r="AO3" i="7"/>
  <c r="AN3" i="7"/>
  <c r="AM3" i="7"/>
  <c r="AL3" i="7"/>
  <c r="AP21" i="7"/>
  <c r="AO21" i="7"/>
  <c r="AN21" i="7"/>
  <c r="AM21" i="7"/>
  <c r="AL21" i="7"/>
  <c r="AP36" i="7"/>
  <c r="AO36" i="7"/>
  <c r="AN36" i="7"/>
  <c r="AM36" i="7"/>
  <c r="AL36" i="7"/>
  <c r="AP22" i="7"/>
  <c r="AO22" i="7"/>
  <c r="AN22" i="7"/>
  <c r="AM22" i="7"/>
  <c r="AL22" i="7"/>
  <c r="AP20" i="7"/>
  <c r="AO20" i="7"/>
  <c r="AN20" i="7"/>
  <c r="AM20" i="7"/>
  <c r="AL20" i="7"/>
  <c r="AP48" i="7"/>
  <c r="AO48" i="7"/>
  <c r="AN48" i="7"/>
  <c r="AM48" i="7"/>
  <c r="AL48" i="7"/>
  <c r="AP47" i="7"/>
  <c r="AO47" i="7"/>
  <c r="AN47" i="7"/>
  <c r="AM47" i="7"/>
  <c r="AL47" i="7"/>
  <c r="AP46" i="7"/>
  <c r="AO46" i="7"/>
  <c r="AN46" i="7"/>
  <c r="AM46" i="7"/>
  <c r="AL46" i="7"/>
  <c r="AP45" i="7"/>
  <c r="AO45" i="7"/>
  <c r="AN45" i="7"/>
  <c r="AM45" i="7"/>
  <c r="AL45" i="7"/>
  <c r="AP44" i="7"/>
  <c r="AO44" i="7"/>
  <c r="AN44" i="7"/>
  <c r="AM44" i="7"/>
  <c r="AL44" i="7"/>
  <c r="AP43" i="7"/>
  <c r="AO43" i="7"/>
  <c r="AN43" i="7"/>
  <c r="AM43" i="7"/>
  <c r="AL43" i="7"/>
  <c r="AP42" i="7"/>
  <c r="AO42" i="7"/>
  <c r="AN42" i="7"/>
  <c r="AM42" i="7"/>
  <c r="AL42" i="7"/>
  <c r="AP41" i="7"/>
  <c r="AO41" i="7"/>
  <c r="AN41" i="7"/>
  <c r="AM41" i="7"/>
  <c r="AL41" i="7"/>
  <c r="AP40" i="7"/>
  <c r="AO40" i="7"/>
  <c r="AN40" i="7"/>
  <c r="AM40" i="7"/>
  <c r="AL40" i="7"/>
  <c r="AP39" i="7"/>
  <c r="AO39" i="7"/>
  <c r="AN39" i="7"/>
  <c r="AM39" i="7"/>
  <c r="AL39" i="7"/>
  <c r="AP38" i="7"/>
  <c r="AO38" i="7"/>
  <c r="AN38" i="7"/>
  <c r="AM38" i="7"/>
  <c r="AL38" i="7"/>
  <c r="AP37" i="7"/>
  <c r="AO37" i="7"/>
  <c r="AN37" i="7"/>
  <c r="AM37" i="7"/>
  <c r="AL37" i="7"/>
  <c r="AP26" i="7"/>
  <c r="AO26" i="7"/>
  <c r="AN26" i="7"/>
  <c r="AM26" i="7"/>
  <c r="AL26" i="7"/>
  <c r="AP25" i="7"/>
  <c r="AO25" i="7"/>
  <c r="AN25" i="7"/>
  <c r="AM25" i="7"/>
  <c r="AL25" i="7"/>
  <c r="AP11" i="7"/>
  <c r="AO11" i="7"/>
  <c r="AN11" i="7"/>
  <c r="AM11" i="7"/>
  <c r="AL11" i="7"/>
  <c r="AP31" i="7"/>
  <c r="AO31" i="7"/>
  <c r="AN31" i="7"/>
  <c r="AM31" i="7"/>
  <c r="AL31" i="7"/>
  <c r="AP30" i="7"/>
  <c r="AO30" i="7"/>
  <c r="AN30" i="7"/>
  <c r="AM30" i="7"/>
  <c r="AL30" i="7"/>
  <c r="AP29" i="7"/>
  <c r="AO29" i="7"/>
  <c r="AN29" i="7"/>
  <c r="AM29" i="7"/>
  <c r="AL29" i="7"/>
  <c r="AP28" i="7"/>
  <c r="AO28" i="7"/>
  <c r="AN28" i="7"/>
  <c r="AM28" i="7"/>
  <c r="AL28" i="7"/>
  <c r="AP27" i="7"/>
  <c r="AO27" i="7"/>
  <c r="AN27" i="7"/>
  <c r="AM27" i="7"/>
  <c r="AL27" i="7"/>
  <c r="AP15" i="7"/>
  <c r="AO15" i="7"/>
  <c r="AN15" i="7"/>
  <c r="AM15" i="7"/>
  <c r="AL15" i="7"/>
  <c r="AP14" i="7"/>
  <c r="AO14" i="7"/>
  <c r="AN14" i="7"/>
  <c r="AM14" i="7"/>
  <c r="AL14" i="7"/>
  <c r="AP13" i="7"/>
  <c r="AO13" i="7"/>
  <c r="AN13" i="7"/>
  <c r="AM13" i="7"/>
  <c r="AL13" i="7"/>
  <c r="AP24" i="7"/>
  <c r="AO24" i="7"/>
  <c r="AN24" i="7"/>
  <c r="AM24" i="7"/>
  <c r="AL24" i="7"/>
  <c r="AP18" i="7"/>
  <c r="AO18" i="7"/>
  <c r="AN18" i="7"/>
  <c r="AM18" i="7"/>
  <c r="AL18" i="7"/>
  <c r="AP10" i="7"/>
  <c r="AO10" i="7"/>
  <c r="AN10" i="7"/>
  <c r="AM10" i="7"/>
  <c r="AL10" i="7"/>
  <c r="AP17" i="7"/>
  <c r="AO17" i="7"/>
  <c r="AN17" i="7"/>
  <c r="AM17" i="7"/>
  <c r="AL17" i="7"/>
  <c r="AP301" i="7"/>
  <c r="AO301" i="7"/>
  <c r="AN301" i="7"/>
  <c r="AM301" i="7"/>
  <c r="AL301" i="7"/>
  <c r="AP300" i="7"/>
  <c r="AO300" i="7"/>
  <c r="AN300" i="7"/>
  <c r="AM300" i="7"/>
  <c r="AL300" i="7"/>
  <c r="AP299" i="7"/>
  <c r="AO299" i="7"/>
  <c r="AN299" i="7"/>
  <c r="AM299" i="7"/>
  <c r="AL299" i="7"/>
  <c r="AP298" i="7"/>
  <c r="AO298" i="7"/>
  <c r="AN298" i="7"/>
  <c r="AM298" i="7"/>
  <c r="AL298" i="7"/>
  <c r="AP297" i="7"/>
  <c r="AO297" i="7"/>
  <c r="AN297" i="7"/>
  <c r="AM297" i="7"/>
  <c r="AL297" i="7"/>
  <c r="AP296" i="7"/>
  <c r="AO296" i="7"/>
  <c r="AN296" i="7"/>
  <c r="AM296" i="7"/>
  <c r="AL296" i="7"/>
  <c r="AP295" i="7"/>
  <c r="AO295" i="7"/>
  <c r="AN295" i="7"/>
  <c r="AM295" i="7"/>
  <c r="AL295" i="7"/>
  <c r="AP294" i="7"/>
  <c r="AO294" i="7"/>
  <c r="AN294" i="7"/>
  <c r="AM294" i="7"/>
  <c r="AL294" i="7"/>
  <c r="AP293" i="7"/>
  <c r="AO293" i="7"/>
  <c r="AN293" i="7"/>
  <c r="AM293" i="7"/>
  <c r="AL293" i="7"/>
  <c r="AP292" i="7"/>
  <c r="AO292" i="7"/>
  <c r="AN292" i="7"/>
  <c r="AM292" i="7"/>
  <c r="AL292" i="7"/>
  <c r="AP291" i="7"/>
  <c r="AO291" i="7"/>
  <c r="AN291" i="7"/>
  <c r="AM291" i="7"/>
  <c r="AL291" i="7"/>
  <c r="AP290" i="7"/>
  <c r="AO290" i="7"/>
  <c r="AN290" i="7"/>
  <c r="AM290" i="7"/>
  <c r="AL290" i="7"/>
  <c r="AP289" i="7"/>
  <c r="AO289" i="7"/>
  <c r="AN289" i="7"/>
  <c r="AM289" i="7"/>
  <c r="AL289" i="7"/>
  <c r="AP288" i="7"/>
  <c r="AO288" i="7"/>
  <c r="AN288" i="7"/>
  <c r="AM288" i="7"/>
  <c r="AL288" i="7"/>
  <c r="AP287" i="7"/>
  <c r="AO287" i="7"/>
  <c r="AN287" i="7"/>
  <c r="AM287" i="7"/>
  <c r="AL287" i="7"/>
  <c r="AP286" i="7"/>
  <c r="AO286" i="7"/>
  <c r="AN286" i="7"/>
  <c r="AM286" i="7"/>
  <c r="AL286" i="7"/>
  <c r="AP285" i="7"/>
  <c r="AO285" i="7"/>
  <c r="AN285" i="7"/>
  <c r="AM285" i="7"/>
  <c r="AL285" i="7"/>
  <c r="AP284" i="7"/>
  <c r="AO284" i="7"/>
  <c r="AN284" i="7"/>
  <c r="AM284" i="7"/>
  <c r="AL284" i="7"/>
  <c r="AP283" i="7"/>
  <c r="AO283" i="7"/>
  <c r="AN283" i="7"/>
  <c r="AM283" i="7"/>
  <c r="AL283" i="7"/>
  <c r="AP282" i="7"/>
  <c r="AO282" i="7"/>
  <c r="AN282" i="7"/>
  <c r="AM282" i="7"/>
  <c r="AL282" i="7"/>
  <c r="AP281" i="7"/>
  <c r="AO281" i="7"/>
  <c r="AN281" i="7"/>
  <c r="AM281" i="7"/>
  <c r="AL281" i="7"/>
  <c r="AP280" i="7"/>
  <c r="AO280" i="7"/>
  <c r="AN280" i="7"/>
  <c r="AM280" i="7"/>
  <c r="AL280" i="7"/>
  <c r="AP279" i="7"/>
  <c r="AO279" i="7"/>
  <c r="AN279" i="7"/>
  <c r="AM279" i="7"/>
  <c r="AL279" i="7"/>
  <c r="AP278" i="7"/>
  <c r="AO278" i="7"/>
  <c r="AN278" i="7"/>
  <c r="AM278" i="7"/>
  <c r="AL278" i="7"/>
  <c r="AP277" i="7"/>
  <c r="AO277" i="7"/>
  <c r="AN277" i="7"/>
  <c r="AM277" i="7"/>
  <c r="AL277" i="7"/>
  <c r="AP276" i="7"/>
  <c r="AO276" i="7"/>
  <c r="AN276" i="7"/>
  <c r="AM276" i="7"/>
  <c r="AL276" i="7"/>
  <c r="AP275" i="7"/>
  <c r="AO275" i="7"/>
  <c r="AN275" i="7"/>
  <c r="AM275" i="7"/>
  <c r="AL275" i="7"/>
  <c r="AP274" i="7"/>
  <c r="AO274" i="7"/>
  <c r="AN274" i="7"/>
  <c r="AM274" i="7"/>
  <c r="AL274" i="7"/>
  <c r="AP273" i="7"/>
  <c r="AO273" i="7"/>
  <c r="AN273" i="7"/>
  <c r="AM273" i="7"/>
  <c r="AL273" i="7"/>
  <c r="AP272" i="7"/>
  <c r="AO272" i="7"/>
  <c r="AN272" i="7"/>
  <c r="AM272" i="7"/>
  <c r="AL272" i="7"/>
  <c r="AP271" i="7"/>
  <c r="AO271" i="7"/>
  <c r="AN271" i="7"/>
  <c r="AM271" i="7"/>
  <c r="AL271" i="7"/>
  <c r="AP270" i="7"/>
  <c r="AO270" i="7"/>
  <c r="AN270" i="7"/>
  <c r="AM270" i="7"/>
  <c r="AL270" i="7"/>
  <c r="AP269" i="7"/>
  <c r="AO269" i="7"/>
  <c r="AN269" i="7"/>
  <c r="AM269" i="7"/>
  <c r="AL269" i="7"/>
  <c r="AP268" i="7"/>
  <c r="AO268" i="7"/>
  <c r="AN268" i="7"/>
  <c r="AM268" i="7"/>
  <c r="AL268" i="7"/>
  <c r="AP267" i="7"/>
  <c r="AO267" i="7"/>
  <c r="AN267" i="7"/>
  <c r="AM267" i="7"/>
  <c r="AL267" i="7"/>
  <c r="AP266" i="7"/>
  <c r="AO266" i="7"/>
  <c r="AN266" i="7"/>
  <c r="AM266" i="7"/>
  <c r="AL266" i="7"/>
  <c r="AP265" i="7"/>
  <c r="AO265" i="7"/>
  <c r="AN265" i="7"/>
  <c r="AM265" i="7"/>
  <c r="AL265" i="7"/>
  <c r="AP264" i="7"/>
  <c r="AO264" i="7"/>
  <c r="AN264" i="7"/>
  <c r="AM264" i="7"/>
  <c r="AL264" i="7"/>
  <c r="AP263" i="7"/>
  <c r="AO263" i="7"/>
  <c r="AN263" i="7"/>
  <c r="AM263" i="7"/>
  <c r="AL263" i="7"/>
  <c r="AP262" i="7"/>
  <c r="AO262" i="7"/>
  <c r="AN262" i="7"/>
  <c r="AM262" i="7"/>
  <c r="AL262" i="7"/>
  <c r="AP261" i="7"/>
  <c r="AO261" i="7"/>
  <c r="AN261" i="7"/>
  <c r="AM261" i="7"/>
  <c r="AL261" i="7"/>
  <c r="AP260" i="7"/>
  <c r="AO260" i="7"/>
  <c r="AN260" i="7"/>
  <c r="AM260" i="7"/>
  <c r="AL260" i="7"/>
  <c r="AP259" i="7"/>
  <c r="AO259" i="7"/>
  <c r="AN259" i="7"/>
  <c r="AM259" i="7"/>
  <c r="AL259" i="7"/>
  <c r="AP258" i="7"/>
  <c r="AO258" i="7"/>
  <c r="AN258" i="7"/>
  <c r="AM258" i="7"/>
  <c r="AL258" i="7"/>
  <c r="AP257" i="7"/>
  <c r="AO257" i="7"/>
  <c r="AN257" i="7"/>
  <c r="AM257" i="7"/>
  <c r="AL257" i="7"/>
  <c r="AP256" i="7"/>
  <c r="AO256" i="7"/>
  <c r="AN256" i="7"/>
  <c r="AM256" i="7"/>
  <c r="AL256" i="7"/>
  <c r="AP255" i="7"/>
  <c r="AO255" i="7"/>
  <c r="AN255" i="7"/>
  <c r="AM255" i="7"/>
  <c r="AL255" i="7"/>
  <c r="AP254" i="7"/>
  <c r="AO254" i="7"/>
  <c r="AN254" i="7"/>
  <c r="AM254" i="7"/>
  <c r="AL254" i="7"/>
  <c r="AP253" i="7"/>
  <c r="AO253" i="7"/>
  <c r="AN253" i="7"/>
  <c r="AM253" i="7"/>
  <c r="AL253" i="7"/>
  <c r="AP252" i="7"/>
  <c r="AO252" i="7"/>
  <c r="AN252" i="7"/>
  <c r="AM252" i="7"/>
  <c r="AL252" i="7"/>
  <c r="AP251" i="7"/>
  <c r="AO251" i="7"/>
  <c r="AN251" i="7"/>
  <c r="AM251" i="7"/>
  <c r="AL251" i="7"/>
  <c r="AP250" i="7"/>
  <c r="AO250" i="7"/>
  <c r="AN250" i="7"/>
  <c r="AM250" i="7"/>
  <c r="AL250" i="7"/>
  <c r="AP249" i="7"/>
  <c r="AO249" i="7"/>
  <c r="AN249" i="7"/>
  <c r="AM249" i="7"/>
  <c r="AL249" i="7"/>
  <c r="AP248" i="7"/>
  <c r="AO248" i="7"/>
  <c r="AN248" i="7"/>
  <c r="AM248" i="7"/>
  <c r="AL248" i="7"/>
  <c r="AP247" i="7"/>
  <c r="AO247" i="7"/>
  <c r="AN247" i="7"/>
  <c r="AM247" i="7"/>
  <c r="AL247" i="7"/>
  <c r="AP246" i="7"/>
  <c r="AO246" i="7"/>
  <c r="AN246" i="7"/>
  <c r="AM246" i="7"/>
  <c r="AL246" i="7"/>
  <c r="AP245" i="7"/>
  <c r="AO245" i="7"/>
  <c r="AN245" i="7"/>
  <c r="AM245" i="7"/>
  <c r="AL245" i="7"/>
  <c r="AP244" i="7"/>
  <c r="AO244" i="7"/>
  <c r="AN244" i="7"/>
  <c r="AM244" i="7"/>
  <c r="AL244" i="7"/>
  <c r="AP243" i="7"/>
  <c r="AO243" i="7"/>
  <c r="AN243" i="7"/>
  <c r="AM243" i="7"/>
  <c r="AL243" i="7"/>
  <c r="AP242" i="7"/>
  <c r="AO242" i="7"/>
  <c r="AN242" i="7"/>
  <c r="AM242" i="7"/>
  <c r="AL242" i="7"/>
  <c r="AP241" i="7"/>
  <c r="AO241" i="7"/>
  <c r="AN241" i="7"/>
  <c r="AM241" i="7"/>
  <c r="AL241" i="7"/>
  <c r="AP240" i="7"/>
  <c r="AO240" i="7"/>
  <c r="AN240" i="7"/>
  <c r="AM240" i="7"/>
  <c r="AL240" i="7"/>
  <c r="AP239" i="7"/>
  <c r="AO239" i="7"/>
  <c r="AN239" i="7"/>
  <c r="AM239" i="7"/>
  <c r="AL239" i="7"/>
  <c r="AP238" i="7"/>
  <c r="AO238" i="7"/>
  <c r="AN238" i="7"/>
  <c r="AM238" i="7"/>
  <c r="AL238" i="7"/>
  <c r="AP237" i="7"/>
  <c r="AO237" i="7"/>
  <c r="AN237" i="7"/>
  <c r="AM237" i="7"/>
  <c r="AL237" i="7"/>
  <c r="AP236" i="7"/>
  <c r="AO236" i="7"/>
  <c r="AN236" i="7"/>
  <c r="AM236" i="7"/>
  <c r="AL236" i="7"/>
  <c r="AP235" i="7"/>
  <c r="AO235" i="7"/>
  <c r="AN235" i="7"/>
  <c r="AM235" i="7"/>
  <c r="AL235" i="7"/>
  <c r="AP234" i="7"/>
  <c r="AO234" i="7"/>
  <c r="AN234" i="7"/>
  <c r="AM234" i="7"/>
  <c r="AL234" i="7"/>
  <c r="AP233" i="7"/>
  <c r="AO233" i="7"/>
  <c r="AN233" i="7"/>
  <c r="AM233" i="7"/>
  <c r="AL233" i="7"/>
  <c r="AP232" i="7"/>
  <c r="AO232" i="7"/>
  <c r="AN232" i="7"/>
  <c r="AM232" i="7"/>
  <c r="AL232" i="7"/>
  <c r="AP231" i="7"/>
  <c r="AO231" i="7"/>
  <c r="AN231" i="7"/>
  <c r="AM231" i="7"/>
  <c r="AL231" i="7"/>
  <c r="AP230" i="7"/>
  <c r="AO230" i="7"/>
  <c r="AN230" i="7"/>
  <c r="AM230" i="7"/>
  <c r="AL230" i="7"/>
  <c r="AP229" i="7"/>
  <c r="AO229" i="7"/>
  <c r="AN229" i="7"/>
  <c r="AM229" i="7"/>
  <c r="AL229" i="7"/>
  <c r="AP228" i="7"/>
  <c r="AO228" i="7"/>
  <c r="AN228" i="7"/>
  <c r="AM228" i="7"/>
  <c r="AL228" i="7"/>
  <c r="AP227" i="7"/>
  <c r="AO227" i="7"/>
  <c r="AN227" i="7"/>
  <c r="AM227" i="7"/>
  <c r="AL227" i="7"/>
  <c r="AP226" i="7"/>
  <c r="AO226" i="7"/>
  <c r="AN226" i="7"/>
  <c r="AM226" i="7"/>
  <c r="AL226" i="7"/>
  <c r="AP225" i="7"/>
  <c r="AO225" i="7"/>
  <c r="AN225" i="7"/>
  <c r="AM225" i="7"/>
  <c r="AL225" i="7"/>
  <c r="AP224" i="7"/>
  <c r="AO224" i="7"/>
  <c r="AN224" i="7"/>
  <c r="AM224" i="7"/>
  <c r="AL224" i="7"/>
  <c r="AP223" i="7"/>
  <c r="AO223" i="7"/>
  <c r="AN223" i="7"/>
  <c r="AM223" i="7"/>
  <c r="AL223" i="7"/>
  <c r="AP222" i="7"/>
  <c r="AO222" i="7"/>
  <c r="AN222" i="7"/>
  <c r="AM222" i="7"/>
  <c r="AL222" i="7"/>
  <c r="AP221" i="7"/>
  <c r="AO221" i="7"/>
  <c r="AN221" i="7"/>
  <c r="AM221" i="7"/>
  <c r="AL221" i="7"/>
  <c r="AP220" i="7"/>
  <c r="AO220" i="7"/>
  <c r="AN220" i="7"/>
  <c r="AM220" i="7"/>
  <c r="AL220" i="7"/>
  <c r="AP219" i="7"/>
  <c r="AO219" i="7"/>
  <c r="AN219" i="7"/>
  <c r="AM219" i="7"/>
  <c r="AL219" i="7"/>
  <c r="AP218" i="7"/>
  <c r="AO218" i="7"/>
  <c r="AN218" i="7"/>
  <c r="AM218" i="7"/>
  <c r="AL218" i="7"/>
  <c r="AP217" i="7"/>
  <c r="AO217" i="7"/>
  <c r="AN217" i="7"/>
  <c r="AM217" i="7"/>
  <c r="AL217" i="7"/>
  <c r="AP216" i="7"/>
  <c r="AO216" i="7"/>
  <c r="AN216" i="7"/>
  <c r="AM216" i="7"/>
  <c r="AL216" i="7"/>
  <c r="AP215" i="7"/>
  <c r="AO215" i="7"/>
  <c r="AN215" i="7"/>
  <c r="AM215" i="7"/>
  <c r="AL215" i="7"/>
  <c r="AP214" i="7"/>
  <c r="AO214" i="7"/>
  <c r="AN214" i="7"/>
  <c r="AM214" i="7"/>
  <c r="AL214" i="7"/>
  <c r="AP213" i="7"/>
  <c r="AO213" i="7"/>
  <c r="AN213" i="7"/>
  <c r="AM213" i="7"/>
  <c r="AL213" i="7"/>
  <c r="AP212" i="7"/>
  <c r="AO212" i="7"/>
  <c r="AN212" i="7"/>
  <c r="AM212" i="7"/>
  <c r="AL212" i="7"/>
  <c r="AP211" i="7"/>
  <c r="AO211" i="7"/>
  <c r="AN211" i="7"/>
  <c r="AM211" i="7"/>
  <c r="AL211" i="7"/>
  <c r="AP210" i="7"/>
  <c r="AO210" i="7"/>
  <c r="AN210" i="7"/>
  <c r="AM210" i="7"/>
  <c r="AL210" i="7"/>
  <c r="AP209" i="7"/>
  <c r="AO209" i="7"/>
  <c r="AN209" i="7"/>
  <c r="AM209" i="7"/>
  <c r="AL209" i="7"/>
  <c r="AP208" i="7"/>
  <c r="AO208" i="7"/>
  <c r="AN208" i="7"/>
  <c r="AM208" i="7"/>
  <c r="AL208" i="7"/>
  <c r="AP207" i="7"/>
  <c r="AO207" i="7"/>
  <c r="AN207" i="7"/>
  <c r="AM207" i="7"/>
  <c r="AL207" i="7"/>
  <c r="AP206" i="7"/>
  <c r="AO206" i="7"/>
  <c r="AN206" i="7"/>
  <c r="AM206" i="7"/>
  <c r="AL206" i="7"/>
  <c r="AP205" i="7"/>
  <c r="AO205" i="7"/>
  <c r="AN205" i="7"/>
  <c r="AM205" i="7"/>
  <c r="AL205" i="7"/>
  <c r="AP204" i="7"/>
  <c r="AO204" i="7"/>
  <c r="AN204" i="7"/>
  <c r="AM204" i="7"/>
  <c r="AL204" i="7"/>
  <c r="AP203" i="7"/>
  <c r="AO203" i="7"/>
  <c r="AN203" i="7"/>
  <c r="AM203" i="7"/>
  <c r="AL203" i="7"/>
  <c r="AP202" i="7"/>
  <c r="AO202" i="7"/>
  <c r="AN202" i="7"/>
  <c r="AM202" i="7"/>
  <c r="AL202" i="7"/>
  <c r="AP201" i="7"/>
  <c r="AO201" i="7"/>
  <c r="AN201" i="7"/>
  <c r="AM201" i="7"/>
  <c r="AL201" i="7"/>
  <c r="AP200" i="7"/>
  <c r="AO200" i="7"/>
  <c r="AN200" i="7"/>
  <c r="AM200" i="7"/>
  <c r="AL200" i="7"/>
  <c r="AP199" i="7"/>
  <c r="AO199" i="7"/>
  <c r="AN199" i="7"/>
  <c r="AM199" i="7"/>
  <c r="AL199" i="7"/>
  <c r="AP198" i="7"/>
  <c r="AO198" i="7"/>
  <c r="AN198" i="7"/>
  <c r="AM198" i="7"/>
  <c r="AL198" i="7"/>
  <c r="AP197" i="7"/>
  <c r="AO197" i="7"/>
  <c r="AN197" i="7"/>
  <c r="AM197" i="7"/>
  <c r="AL197" i="7"/>
  <c r="AP196" i="7"/>
  <c r="AO196" i="7"/>
  <c r="AN196" i="7"/>
  <c r="AM196" i="7"/>
  <c r="AL196" i="7"/>
  <c r="AP195" i="7"/>
  <c r="AO195" i="7"/>
  <c r="AN195" i="7"/>
  <c r="AM195" i="7"/>
  <c r="AL195" i="7"/>
  <c r="AP194" i="7"/>
  <c r="AO194" i="7"/>
  <c r="AN194" i="7"/>
  <c r="AM194" i="7"/>
  <c r="AL194" i="7"/>
  <c r="AP193" i="7"/>
  <c r="AO193" i="7"/>
  <c r="AN193" i="7"/>
  <c r="AM193" i="7"/>
  <c r="AL193" i="7"/>
  <c r="AP192" i="7"/>
  <c r="AO192" i="7"/>
  <c r="AN192" i="7"/>
  <c r="AM192" i="7"/>
  <c r="AL192" i="7"/>
  <c r="AP191" i="7"/>
  <c r="AO191" i="7"/>
  <c r="AN191" i="7"/>
  <c r="AM191" i="7"/>
  <c r="AL191" i="7"/>
  <c r="AP190" i="7"/>
  <c r="AO190" i="7"/>
  <c r="AN190" i="7"/>
  <c r="AM190" i="7"/>
  <c r="AL190" i="7"/>
  <c r="AP189" i="7"/>
  <c r="AO189" i="7"/>
  <c r="AN189" i="7"/>
  <c r="AM189" i="7"/>
  <c r="AL189" i="7"/>
  <c r="AP188" i="7"/>
  <c r="AO188" i="7"/>
  <c r="AN188" i="7"/>
  <c r="AM188" i="7"/>
  <c r="AL188" i="7"/>
  <c r="AP187" i="7"/>
  <c r="AO187" i="7"/>
  <c r="AN187" i="7"/>
  <c r="AM187" i="7"/>
  <c r="AL187" i="7"/>
  <c r="AP186" i="7"/>
  <c r="AO186" i="7"/>
  <c r="AN186" i="7"/>
  <c r="AM186" i="7"/>
  <c r="AL186" i="7"/>
  <c r="AP185" i="7"/>
  <c r="AO185" i="7"/>
  <c r="AN185" i="7"/>
  <c r="AM185" i="7"/>
  <c r="AL185" i="7"/>
  <c r="AP184" i="7"/>
  <c r="AO184" i="7"/>
  <c r="AN184" i="7"/>
  <c r="AM184" i="7"/>
  <c r="AL184" i="7"/>
  <c r="AP183" i="7"/>
  <c r="AO183" i="7"/>
  <c r="AN183" i="7"/>
  <c r="AM183" i="7"/>
  <c r="AL183" i="7"/>
  <c r="AP182" i="7"/>
  <c r="AO182" i="7"/>
  <c r="AN182" i="7"/>
  <c r="AM182" i="7"/>
  <c r="AL182" i="7"/>
  <c r="AP181" i="7"/>
  <c r="AO181" i="7"/>
  <c r="AN181" i="7"/>
  <c r="AM181" i="7"/>
  <c r="AL181" i="7"/>
  <c r="AP180" i="7"/>
  <c r="AO180" i="7"/>
  <c r="AN180" i="7"/>
  <c r="AM180" i="7"/>
  <c r="AL180" i="7"/>
  <c r="AP179" i="7"/>
  <c r="AO179" i="7"/>
  <c r="AN179" i="7"/>
  <c r="AM179" i="7"/>
  <c r="AL179" i="7"/>
  <c r="AP178" i="7"/>
  <c r="AO178" i="7"/>
  <c r="AN178" i="7"/>
  <c r="AM178" i="7"/>
  <c r="AL178" i="7"/>
  <c r="AP177" i="7"/>
  <c r="AO177" i="7"/>
  <c r="AN177" i="7"/>
  <c r="AM177" i="7"/>
  <c r="AL177" i="7"/>
  <c r="AP176" i="7"/>
  <c r="AO176" i="7"/>
  <c r="AN176" i="7"/>
  <c r="AM176" i="7"/>
  <c r="AL176" i="7"/>
  <c r="AP175" i="7"/>
  <c r="AO175" i="7"/>
  <c r="AN175" i="7"/>
  <c r="AM175" i="7"/>
  <c r="AL175" i="7"/>
  <c r="AP174" i="7"/>
  <c r="AO174" i="7"/>
  <c r="AN174" i="7"/>
  <c r="AM174" i="7"/>
  <c r="AL174" i="7"/>
  <c r="AP173" i="7"/>
  <c r="AO173" i="7"/>
  <c r="AN173" i="7"/>
  <c r="AM173" i="7"/>
  <c r="AL173" i="7"/>
  <c r="AP172" i="7"/>
  <c r="AO172" i="7"/>
  <c r="AN172" i="7"/>
  <c r="AM172" i="7"/>
  <c r="AL172" i="7"/>
  <c r="AP171" i="7"/>
  <c r="AO171" i="7"/>
  <c r="AN171" i="7"/>
  <c r="AM171" i="7"/>
  <c r="AL171" i="7"/>
  <c r="AP170" i="7"/>
  <c r="AO170" i="7"/>
  <c r="AN170" i="7"/>
  <c r="AM170" i="7"/>
  <c r="AL170" i="7"/>
  <c r="AP169" i="7"/>
  <c r="AO169" i="7"/>
  <c r="AN169" i="7"/>
  <c r="AM169" i="7"/>
  <c r="AL169" i="7"/>
  <c r="AP168" i="7"/>
  <c r="AO168" i="7"/>
  <c r="AN168" i="7"/>
  <c r="AM168" i="7"/>
  <c r="AL168" i="7"/>
  <c r="AP167" i="7"/>
  <c r="AO167" i="7"/>
  <c r="AN167" i="7"/>
  <c r="AM167" i="7"/>
  <c r="AL167" i="7"/>
  <c r="AP166" i="7"/>
  <c r="AO166" i="7"/>
  <c r="AN166" i="7"/>
  <c r="AM166" i="7"/>
  <c r="AL166" i="7"/>
  <c r="AP165" i="7"/>
  <c r="AO165" i="7"/>
  <c r="AN165" i="7"/>
  <c r="AM165" i="7"/>
  <c r="AL165" i="7"/>
  <c r="AP164" i="7"/>
  <c r="AO164" i="7"/>
  <c r="AN164" i="7"/>
  <c r="AM164" i="7"/>
  <c r="AL164" i="7"/>
  <c r="AP163" i="7"/>
  <c r="AO163" i="7"/>
  <c r="AN163" i="7"/>
  <c r="AM163" i="7"/>
  <c r="AL163" i="7"/>
  <c r="AP162" i="7"/>
  <c r="AO162" i="7"/>
  <c r="AN162" i="7"/>
  <c r="AM162" i="7"/>
  <c r="AL162" i="7"/>
  <c r="AP161" i="7"/>
  <c r="AO161" i="7"/>
  <c r="AN161" i="7"/>
  <c r="AM161" i="7"/>
  <c r="AL161" i="7"/>
  <c r="AP160" i="7"/>
  <c r="AO160" i="7"/>
  <c r="AN160" i="7"/>
  <c r="AM160" i="7"/>
  <c r="AL160" i="7"/>
  <c r="AP159" i="7"/>
  <c r="AO159" i="7"/>
  <c r="AN159" i="7"/>
  <c r="AM159" i="7"/>
  <c r="AL159" i="7"/>
  <c r="AP158" i="7"/>
  <c r="AO158" i="7"/>
  <c r="AN158" i="7"/>
  <c r="AM158" i="7"/>
  <c r="AL158" i="7"/>
  <c r="AP157" i="7"/>
  <c r="AO157" i="7"/>
  <c r="AN157" i="7"/>
  <c r="AM157" i="7"/>
  <c r="AL157" i="7"/>
  <c r="AP156" i="7"/>
  <c r="AO156" i="7"/>
  <c r="AN156" i="7"/>
  <c r="AM156" i="7"/>
  <c r="AL156" i="7"/>
  <c r="AP155" i="7"/>
  <c r="AO155" i="7"/>
  <c r="AN155" i="7"/>
  <c r="AM155" i="7"/>
  <c r="AL155" i="7"/>
  <c r="AP154" i="7"/>
  <c r="AO154" i="7"/>
  <c r="AN154" i="7"/>
  <c r="AM154" i="7"/>
  <c r="AL154" i="7"/>
  <c r="AP153" i="7"/>
  <c r="AO153" i="7"/>
  <c r="AN153" i="7"/>
  <c r="AM153" i="7"/>
  <c r="AL153" i="7"/>
  <c r="AP152" i="7"/>
  <c r="AO152" i="7"/>
  <c r="AN152" i="7"/>
  <c r="AM152" i="7"/>
  <c r="AL152" i="7"/>
  <c r="AP151" i="7"/>
  <c r="AO151" i="7"/>
  <c r="AN151" i="7"/>
  <c r="AM151" i="7"/>
  <c r="AL151" i="7"/>
  <c r="AP150" i="7"/>
  <c r="AO150" i="7"/>
  <c r="AN150" i="7"/>
  <c r="AM150" i="7"/>
  <c r="AL150" i="7"/>
  <c r="AP149" i="7"/>
  <c r="AO149" i="7"/>
  <c r="AN149" i="7"/>
  <c r="AM149" i="7"/>
  <c r="AL149" i="7"/>
  <c r="AP148" i="7"/>
  <c r="AO148" i="7"/>
  <c r="AN148" i="7"/>
  <c r="AM148" i="7"/>
  <c r="AL148" i="7"/>
  <c r="AP147" i="7"/>
  <c r="AO147" i="7"/>
  <c r="AN147" i="7"/>
  <c r="AM147" i="7"/>
  <c r="AL147" i="7"/>
  <c r="AP146" i="7"/>
  <c r="AO146" i="7"/>
  <c r="AN146" i="7"/>
  <c r="AM146" i="7"/>
  <c r="AL146" i="7"/>
  <c r="AP145" i="7"/>
  <c r="AO145" i="7"/>
  <c r="AN145" i="7"/>
  <c r="AM145" i="7"/>
  <c r="AL145" i="7"/>
  <c r="AP144" i="7"/>
  <c r="AO144" i="7"/>
  <c r="AN144" i="7"/>
  <c r="AM144" i="7"/>
  <c r="AL144" i="7"/>
  <c r="AP143" i="7"/>
  <c r="AO143" i="7"/>
  <c r="AN143" i="7"/>
  <c r="AM143" i="7"/>
  <c r="AL143" i="7"/>
  <c r="AP142" i="7"/>
  <c r="AO142" i="7"/>
  <c r="AN142" i="7"/>
  <c r="AM142" i="7"/>
  <c r="AL142" i="7"/>
  <c r="AP141" i="7"/>
  <c r="AO141" i="7"/>
  <c r="AN141" i="7"/>
  <c r="AM141" i="7"/>
  <c r="AL141" i="7"/>
  <c r="AP140" i="7"/>
  <c r="AO140" i="7"/>
  <c r="AN140" i="7"/>
  <c r="AM140" i="7"/>
  <c r="AL140" i="7"/>
  <c r="AP139" i="7"/>
  <c r="AO139" i="7"/>
  <c r="AN139" i="7"/>
  <c r="AM139" i="7"/>
  <c r="AL139" i="7"/>
  <c r="AP138" i="7"/>
  <c r="AO138" i="7"/>
  <c r="AN138" i="7"/>
  <c r="AM138" i="7"/>
  <c r="AL138" i="7"/>
  <c r="AP137" i="7"/>
  <c r="AO137" i="7"/>
  <c r="AN137" i="7"/>
  <c r="AM137" i="7"/>
  <c r="AL137" i="7"/>
  <c r="AP136" i="7"/>
  <c r="AO136" i="7"/>
  <c r="AN136" i="7"/>
  <c r="AM136" i="7"/>
  <c r="AL136" i="7"/>
  <c r="AP135" i="7"/>
  <c r="AO135" i="7"/>
  <c r="AN135" i="7"/>
  <c r="AM135" i="7"/>
  <c r="AL135" i="7"/>
  <c r="AP134" i="7"/>
  <c r="AO134" i="7"/>
  <c r="AN134" i="7"/>
  <c r="AM134" i="7"/>
  <c r="AL134" i="7"/>
  <c r="AP133" i="7"/>
  <c r="AO133" i="7"/>
  <c r="AN133" i="7"/>
  <c r="AM133" i="7"/>
  <c r="AL133" i="7"/>
  <c r="AP132" i="7"/>
  <c r="AO132" i="7"/>
  <c r="AN132" i="7"/>
  <c r="AM132" i="7"/>
  <c r="AL132" i="7"/>
  <c r="AP131" i="7"/>
  <c r="AO131" i="7"/>
  <c r="AN131" i="7"/>
  <c r="AM131" i="7"/>
  <c r="AL131" i="7"/>
  <c r="AP130" i="7"/>
  <c r="AO130" i="7"/>
  <c r="AN130" i="7"/>
  <c r="AM130" i="7"/>
  <c r="AL130" i="7"/>
  <c r="AP129" i="7"/>
  <c r="AO129" i="7"/>
  <c r="AN129" i="7"/>
  <c r="AM129" i="7"/>
  <c r="AL129" i="7"/>
  <c r="AP128" i="7"/>
  <c r="AO128" i="7"/>
  <c r="AN128" i="7"/>
  <c r="AM128" i="7"/>
  <c r="AL128" i="7"/>
  <c r="AP127" i="7"/>
  <c r="AO127" i="7"/>
  <c r="AN127" i="7"/>
  <c r="AM127" i="7"/>
  <c r="AL127" i="7"/>
  <c r="AP126" i="7"/>
  <c r="AO126" i="7"/>
  <c r="AN126" i="7"/>
  <c r="AM126" i="7"/>
  <c r="AL126" i="7"/>
  <c r="AP125" i="7"/>
  <c r="AO125" i="7"/>
  <c r="AN125" i="7"/>
  <c r="AM125" i="7"/>
  <c r="AL125" i="7"/>
  <c r="AP124" i="7"/>
  <c r="AO124" i="7"/>
  <c r="AN124" i="7"/>
  <c r="AM124" i="7"/>
  <c r="AL124" i="7"/>
  <c r="AP123" i="7"/>
  <c r="AO123" i="7"/>
  <c r="AN123" i="7"/>
  <c r="AM123" i="7"/>
  <c r="AL123" i="7"/>
  <c r="AP122" i="7"/>
  <c r="AO122" i="7"/>
  <c r="AN122" i="7"/>
  <c r="AM122" i="7"/>
  <c r="AL122" i="7"/>
  <c r="AP121" i="7"/>
  <c r="AO121" i="7"/>
  <c r="AN121" i="7"/>
  <c r="AM121" i="7"/>
  <c r="AL121" i="7"/>
  <c r="AP120" i="7"/>
  <c r="AO120" i="7"/>
  <c r="AN120" i="7"/>
  <c r="AM120" i="7"/>
  <c r="AL120" i="7"/>
  <c r="AP119" i="7"/>
  <c r="AO119" i="7"/>
  <c r="AN119" i="7"/>
  <c r="AM119" i="7"/>
  <c r="AL119" i="7"/>
  <c r="AP118" i="7"/>
  <c r="AO118" i="7"/>
  <c r="AN118" i="7"/>
  <c r="AM118" i="7"/>
  <c r="AL118" i="7"/>
  <c r="AP117" i="7"/>
  <c r="AO117" i="7"/>
  <c r="AN117" i="7"/>
  <c r="AM117" i="7"/>
  <c r="AL117" i="7"/>
  <c r="AP116" i="7"/>
  <c r="AO116" i="7"/>
  <c r="AN116" i="7"/>
  <c r="AM116" i="7"/>
  <c r="AL116" i="7"/>
  <c r="AP115" i="7"/>
  <c r="AO115" i="7"/>
  <c r="AN115" i="7"/>
  <c r="AM115" i="7"/>
  <c r="AL115" i="7"/>
  <c r="AP114" i="7"/>
  <c r="AO114" i="7"/>
  <c r="AN114" i="7"/>
  <c r="AM114" i="7"/>
  <c r="AL114" i="7"/>
  <c r="AP113" i="7"/>
  <c r="AO113" i="7"/>
  <c r="AN113" i="7"/>
  <c r="AM113" i="7"/>
  <c r="AL113" i="7"/>
  <c r="AP112" i="7"/>
  <c r="AO112" i="7"/>
  <c r="AN112" i="7"/>
  <c r="AM112" i="7"/>
  <c r="AL112" i="7"/>
  <c r="AP111" i="7"/>
  <c r="AO111" i="7"/>
  <c r="AN111" i="7"/>
  <c r="AM111" i="7"/>
  <c r="AL111" i="7"/>
  <c r="AP110" i="7"/>
  <c r="AO110" i="7"/>
  <c r="AN110" i="7"/>
  <c r="AM110" i="7"/>
  <c r="AL110" i="7"/>
  <c r="AP109" i="7"/>
  <c r="AO109" i="7"/>
  <c r="AN109" i="7"/>
  <c r="AM109" i="7"/>
  <c r="AL109" i="7"/>
  <c r="AP108" i="7"/>
  <c r="AO108" i="7"/>
  <c r="AN108" i="7"/>
  <c r="AM108" i="7"/>
  <c r="AL108" i="7"/>
  <c r="AP107" i="7"/>
  <c r="AO107" i="7"/>
  <c r="AN107" i="7"/>
  <c r="AM107" i="7"/>
  <c r="AL107" i="7"/>
  <c r="AP106" i="7"/>
  <c r="AO106" i="7"/>
  <c r="AN106" i="7"/>
  <c r="AM106" i="7"/>
  <c r="AL106" i="7"/>
  <c r="AP105" i="7"/>
  <c r="AO105" i="7"/>
  <c r="AN105" i="7"/>
  <c r="AM105" i="7"/>
  <c r="AL105" i="7"/>
  <c r="AP104" i="7"/>
  <c r="AO104" i="7"/>
  <c r="AN104" i="7"/>
  <c r="AM104" i="7"/>
  <c r="AL104" i="7"/>
  <c r="AP103" i="7"/>
  <c r="AO103" i="7"/>
  <c r="AN103" i="7"/>
  <c r="AM103" i="7"/>
  <c r="AL103" i="7"/>
  <c r="AP102" i="7"/>
  <c r="AO102" i="7"/>
  <c r="AN102" i="7"/>
  <c r="AM102" i="7"/>
  <c r="AL102" i="7"/>
  <c r="AP101" i="7"/>
  <c r="AO101" i="7"/>
  <c r="AN101" i="7"/>
  <c r="AM101" i="7"/>
  <c r="AL101" i="7"/>
  <c r="AP100" i="7"/>
  <c r="AO100" i="7"/>
  <c r="AN100" i="7"/>
  <c r="AM100" i="7"/>
  <c r="AL100" i="7"/>
  <c r="AP99" i="7"/>
  <c r="AO99" i="7"/>
  <c r="AN99" i="7"/>
  <c r="AM99" i="7"/>
  <c r="AL99" i="7"/>
  <c r="AP98" i="7"/>
  <c r="AO98" i="7"/>
  <c r="AN98" i="7"/>
  <c r="AM98" i="7"/>
  <c r="AL98" i="7"/>
  <c r="AP97" i="7"/>
  <c r="AO97" i="7"/>
  <c r="AN97" i="7"/>
  <c r="AM97" i="7"/>
  <c r="AL97" i="7"/>
  <c r="AP96" i="7"/>
  <c r="AO96" i="7"/>
  <c r="AN96" i="7"/>
  <c r="AM96" i="7"/>
  <c r="AL96" i="7"/>
  <c r="AP95" i="7"/>
  <c r="AO95" i="7"/>
  <c r="AN95" i="7"/>
  <c r="AM95" i="7"/>
  <c r="AL95" i="7"/>
  <c r="AP94" i="7"/>
  <c r="AO94" i="7"/>
  <c r="AN94" i="7"/>
  <c r="AM94" i="7"/>
  <c r="AL94" i="7"/>
  <c r="AP93" i="7"/>
  <c r="AO93" i="7"/>
  <c r="AN93" i="7"/>
  <c r="AM93" i="7"/>
  <c r="AL93" i="7"/>
  <c r="AP92" i="7"/>
  <c r="AO92" i="7"/>
  <c r="AN92" i="7"/>
  <c r="AM92" i="7"/>
  <c r="AL92" i="7"/>
  <c r="AP91" i="7"/>
  <c r="AO91" i="7"/>
  <c r="AN91" i="7"/>
  <c r="AM91" i="7"/>
  <c r="AL91" i="7"/>
  <c r="AP90" i="7"/>
  <c r="AO90" i="7"/>
  <c r="AN90" i="7"/>
  <c r="AM90" i="7"/>
  <c r="AL90" i="7"/>
  <c r="AP89" i="7"/>
  <c r="AO89" i="7"/>
  <c r="AN89" i="7"/>
  <c r="AM89" i="7"/>
  <c r="AL89" i="7"/>
  <c r="AP88" i="7"/>
  <c r="AO88" i="7"/>
  <c r="AN88" i="7"/>
  <c r="AM88" i="7"/>
  <c r="AL88" i="7"/>
  <c r="AP87" i="7"/>
  <c r="AO87" i="7"/>
  <c r="AN87" i="7"/>
  <c r="AM87" i="7"/>
  <c r="AL87" i="7"/>
  <c r="AP86" i="7"/>
  <c r="AO86" i="7"/>
  <c r="AN86" i="7"/>
  <c r="AM86" i="7"/>
  <c r="AL86" i="7"/>
  <c r="AP85" i="7"/>
  <c r="AO85" i="7"/>
  <c r="AN85" i="7"/>
  <c r="AM85" i="7"/>
  <c r="AL85" i="7"/>
  <c r="AP84" i="7"/>
  <c r="AO84" i="7"/>
  <c r="AN84" i="7"/>
  <c r="AM84" i="7"/>
  <c r="AL84" i="7"/>
  <c r="AP83" i="7"/>
  <c r="AO83" i="7"/>
  <c r="AN83" i="7"/>
  <c r="AM83" i="7"/>
  <c r="AL83" i="7"/>
  <c r="AP82" i="7"/>
  <c r="AO82" i="7"/>
  <c r="AN82" i="7"/>
  <c r="AM82" i="7"/>
  <c r="AL82" i="7"/>
  <c r="AP81" i="7"/>
  <c r="AO81" i="7"/>
  <c r="AN81" i="7"/>
  <c r="AM81" i="7"/>
  <c r="AL81" i="7"/>
  <c r="AP80" i="7"/>
  <c r="AO80" i="7"/>
  <c r="AN80" i="7"/>
  <c r="AM80" i="7"/>
  <c r="AL80" i="7"/>
  <c r="AP79" i="7"/>
  <c r="AO79" i="7"/>
  <c r="AN79" i="7"/>
  <c r="AM79" i="7"/>
  <c r="AL79" i="7"/>
  <c r="AP78" i="7"/>
  <c r="AO78" i="7"/>
  <c r="AN78" i="7"/>
  <c r="AM78" i="7"/>
  <c r="AL78" i="7"/>
  <c r="AP77" i="7"/>
  <c r="AO77" i="7"/>
  <c r="AN77" i="7"/>
  <c r="AM77" i="7"/>
  <c r="AL77" i="7"/>
  <c r="AP76" i="7"/>
  <c r="AO76" i="7"/>
  <c r="AN76" i="7"/>
  <c r="AM76" i="7"/>
  <c r="AL76" i="7"/>
  <c r="AP75" i="7"/>
  <c r="AO75" i="7"/>
  <c r="AN75" i="7"/>
  <c r="AM75" i="7"/>
  <c r="AL75" i="7"/>
  <c r="AP74" i="7"/>
  <c r="AO74" i="7"/>
  <c r="AN74" i="7"/>
  <c r="AM74" i="7"/>
  <c r="AL74" i="7"/>
  <c r="AP73" i="7"/>
  <c r="AO73" i="7"/>
  <c r="AN73" i="7"/>
  <c r="AM73" i="7"/>
  <c r="AL73" i="7"/>
  <c r="AP72" i="7"/>
  <c r="AO72" i="7"/>
  <c r="AN72" i="7"/>
  <c r="AM72" i="7"/>
  <c r="AL72" i="7"/>
  <c r="AP71" i="7"/>
  <c r="AO71" i="7"/>
  <c r="AN71" i="7"/>
  <c r="AM71" i="7"/>
  <c r="AL71" i="7"/>
  <c r="AP70" i="7"/>
  <c r="AO70" i="7"/>
  <c r="AN70" i="7"/>
  <c r="AM70" i="7"/>
  <c r="AL70" i="7"/>
  <c r="AP69" i="7"/>
  <c r="AO69" i="7"/>
  <c r="AN69" i="7"/>
  <c r="AM69" i="7"/>
  <c r="AL69" i="7"/>
  <c r="AP68" i="7"/>
  <c r="AO68" i="7"/>
  <c r="AN68" i="7"/>
  <c r="AM68" i="7"/>
  <c r="AL68" i="7"/>
  <c r="AP67" i="7"/>
  <c r="AO67" i="7"/>
  <c r="AN67" i="7"/>
  <c r="AM67" i="7"/>
  <c r="AL67" i="7"/>
  <c r="AP66" i="7"/>
  <c r="AO66" i="7"/>
  <c r="AN66" i="7"/>
  <c r="AM66" i="7"/>
  <c r="AL66" i="7"/>
  <c r="AP65" i="7"/>
  <c r="AO65" i="7"/>
  <c r="AN65" i="7"/>
  <c r="AM65" i="7"/>
  <c r="AL65" i="7"/>
  <c r="AP64" i="7"/>
  <c r="AO64" i="7"/>
  <c r="AN64" i="7"/>
  <c r="AM64" i="7"/>
  <c r="AL64" i="7"/>
  <c r="AP63" i="7"/>
  <c r="AO63" i="7"/>
  <c r="AN63" i="7"/>
  <c r="AM63" i="7"/>
  <c r="AL63" i="7"/>
  <c r="AP62" i="7"/>
  <c r="AO62" i="7"/>
  <c r="AN62" i="7"/>
  <c r="AM62" i="7"/>
  <c r="AL62" i="7"/>
  <c r="AP61" i="7"/>
  <c r="AO61" i="7"/>
  <c r="AN61" i="7"/>
  <c r="AM61" i="7"/>
  <c r="AL61" i="7"/>
  <c r="AP60" i="7"/>
  <c r="AO60" i="7"/>
  <c r="AN60" i="7"/>
  <c r="AM60" i="7"/>
  <c r="AL60" i="7"/>
  <c r="AP59" i="7"/>
  <c r="AO59" i="7"/>
  <c r="AN59" i="7"/>
  <c r="AM59" i="7"/>
  <c r="AL59" i="7"/>
  <c r="AP58" i="7"/>
  <c r="AO58" i="7"/>
  <c r="AN58" i="7"/>
  <c r="AM58" i="7"/>
  <c r="AL58" i="7"/>
  <c r="AP57" i="7"/>
  <c r="AO57" i="7"/>
  <c r="AN57" i="7"/>
  <c r="AM57" i="7"/>
  <c r="AL57" i="7"/>
  <c r="AP56" i="7"/>
  <c r="AO56" i="7"/>
  <c r="AN56" i="7"/>
  <c r="AM56" i="7"/>
  <c r="AL56" i="7"/>
  <c r="AP55" i="7"/>
  <c r="AO55" i="7"/>
  <c r="AN55" i="7"/>
  <c r="AM55" i="7"/>
  <c r="AL55" i="7"/>
  <c r="AP54" i="7"/>
  <c r="AO54" i="7"/>
  <c r="AN54" i="7"/>
  <c r="AM54" i="7"/>
  <c r="AL54" i="7"/>
  <c r="AP53" i="7"/>
  <c r="AO53" i="7"/>
  <c r="AN53" i="7"/>
  <c r="AM53" i="7"/>
  <c r="AL53" i="7"/>
  <c r="AP52" i="7"/>
  <c r="AO52" i="7"/>
  <c r="AN52" i="7"/>
  <c r="AM52" i="7"/>
  <c r="AL52" i="7"/>
  <c r="AP51" i="7"/>
  <c r="AO51" i="7"/>
  <c r="AN51" i="7"/>
  <c r="AM51" i="7"/>
  <c r="AL51" i="7"/>
  <c r="AP50" i="7"/>
  <c r="AO50" i="7"/>
  <c r="AN50" i="7"/>
  <c r="AM50" i="7"/>
  <c r="AL50" i="7"/>
  <c r="AP49" i="7"/>
  <c r="AO49" i="7"/>
  <c r="AN49" i="7"/>
  <c r="AM49" i="7"/>
  <c r="AL49" i="7"/>
  <c r="AP16" i="7"/>
  <c r="AO16" i="7"/>
  <c r="AN16" i="7"/>
  <c r="AM16" i="7"/>
  <c r="AL16" i="7"/>
  <c r="AP9" i="7"/>
  <c r="AO9" i="7"/>
  <c r="AN9" i="7"/>
  <c r="AC8" i="7" s="1"/>
  <c r="R157" i="7" s="1"/>
  <c r="AM9" i="7"/>
  <c r="AL9" i="7"/>
  <c r="AP8" i="7"/>
  <c r="AE7" i="7" s="1"/>
  <c r="T82" i="7" s="1"/>
  <c r="AO8" i="7"/>
  <c r="AD7" i="7" s="1"/>
  <c r="S82" i="7" s="1"/>
  <c r="AN8" i="7"/>
  <c r="AM8" i="7"/>
  <c r="AL8" i="7"/>
  <c r="AP7" i="7"/>
  <c r="AO7" i="7"/>
  <c r="AN7" i="7"/>
  <c r="AM7" i="7"/>
  <c r="AL7" i="7"/>
  <c r="AP6" i="7"/>
  <c r="AO6" i="7"/>
  <c r="AN6" i="7"/>
  <c r="AM6" i="7"/>
  <c r="AL6" i="7"/>
  <c r="AP5" i="7"/>
  <c r="AO5" i="7"/>
  <c r="AN5" i="7"/>
  <c r="AM5" i="7"/>
  <c r="AL5" i="7"/>
  <c r="T21" i="7"/>
  <c r="S25" i="7"/>
  <c r="R25" i="7"/>
  <c r="Q21" i="7"/>
  <c r="P21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C152" i="7"/>
  <c r="D152" i="7"/>
  <c r="E152" i="7"/>
  <c r="F152" i="7"/>
  <c r="C153" i="7"/>
  <c r="D153" i="7"/>
  <c r="E153" i="7"/>
  <c r="F153" i="7"/>
  <c r="C154" i="7"/>
  <c r="D154" i="7"/>
  <c r="E154" i="7"/>
  <c r="F154" i="7"/>
  <c r="C155" i="7"/>
  <c r="D155" i="7"/>
  <c r="E155" i="7"/>
  <c r="F155" i="7"/>
  <c r="C156" i="7"/>
  <c r="D156" i="7"/>
  <c r="E156" i="7"/>
  <c r="F156" i="7"/>
  <c r="C157" i="7"/>
  <c r="D157" i="7"/>
  <c r="E157" i="7"/>
  <c r="F157" i="7"/>
  <c r="C158" i="7"/>
  <c r="D158" i="7"/>
  <c r="E158" i="7"/>
  <c r="F158" i="7"/>
  <c r="C159" i="7"/>
  <c r="D159" i="7"/>
  <c r="E159" i="7"/>
  <c r="F159" i="7"/>
  <c r="C160" i="7"/>
  <c r="D160" i="7"/>
  <c r="E160" i="7"/>
  <c r="F160" i="7"/>
  <c r="C161" i="7"/>
  <c r="D161" i="7"/>
  <c r="E161" i="7"/>
  <c r="F161" i="7"/>
  <c r="C162" i="7"/>
  <c r="D162" i="7"/>
  <c r="E162" i="7"/>
  <c r="F162" i="7"/>
  <c r="C163" i="7"/>
  <c r="D163" i="7"/>
  <c r="E163" i="7"/>
  <c r="F163" i="7"/>
  <c r="C164" i="7"/>
  <c r="D164" i="7"/>
  <c r="E164" i="7"/>
  <c r="F164" i="7"/>
  <c r="C165" i="7"/>
  <c r="D165" i="7"/>
  <c r="E165" i="7"/>
  <c r="F165" i="7"/>
  <c r="C166" i="7"/>
  <c r="D166" i="7"/>
  <c r="E166" i="7"/>
  <c r="F166" i="7"/>
  <c r="C167" i="7"/>
  <c r="D167" i="7"/>
  <c r="E167" i="7"/>
  <c r="F167" i="7"/>
  <c r="C168" i="7"/>
  <c r="D168" i="7"/>
  <c r="E168" i="7"/>
  <c r="F168" i="7"/>
  <c r="C169" i="7"/>
  <c r="D169" i="7"/>
  <c r="E169" i="7"/>
  <c r="F169" i="7"/>
  <c r="C170" i="7"/>
  <c r="D170" i="7"/>
  <c r="E170" i="7"/>
  <c r="F170" i="7"/>
  <c r="C171" i="7"/>
  <c r="D171" i="7"/>
  <c r="E171" i="7"/>
  <c r="F171" i="7"/>
  <c r="C172" i="7"/>
  <c r="D172" i="7"/>
  <c r="E172" i="7"/>
  <c r="F172" i="7"/>
  <c r="C173" i="7"/>
  <c r="D173" i="7"/>
  <c r="E173" i="7"/>
  <c r="F173" i="7"/>
  <c r="C174" i="7"/>
  <c r="D174" i="7"/>
  <c r="E174" i="7"/>
  <c r="F174" i="7"/>
  <c r="C175" i="7"/>
  <c r="D175" i="7"/>
  <c r="E175" i="7"/>
  <c r="F175" i="7"/>
  <c r="C176" i="7"/>
  <c r="D176" i="7"/>
  <c r="E176" i="7"/>
  <c r="F176" i="7"/>
  <c r="C177" i="7"/>
  <c r="D177" i="7"/>
  <c r="E177" i="7"/>
  <c r="F177" i="7"/>
  <c r="C178" i="7"/>
  <c r="D178" i="7"/>
  <c r="E178" i="7"/>
  <c r="F178" i="7"/>
  <c r="C179" i="7"/>
  <c r="D179" i="7"/>
  <c r="E179" i="7"/>
  <c r="F179" i="7"/>
  <c r="C180" i="7"/>
  <c r="D180" i="7"/>
  <c r="E180" i="7"/>
  <c r="F180" i="7"/>
  <c r="C181" i="7"/>
  <c r="D181" i="7"/>
  <c r="E181" i="7"/>
  <c r="F181" i="7"/>
  <c r="C182" i="7"/>
  <c r="D182" i="7"/>
  <c r="E182" i="7"/>
  <c r="F182" i="7"/>
  <c r="C183" i="7"/>
  <c r="D183" i="7"/>
  <c r="E183" i="7"/>
  <c r="F183" i="7"/>
  <c r="C184" i="7"/>
  <c r="D184" i="7"/>
  <c r="E184" i="7"/>
  <c r="F184" i="7"/>
  <c r="C185" i="7"/>
  <c r="D185" i="7"/>
  <c r="E185" i="7"/>
  <c r="F185" i="7"/>
  <c r="C186" i="7"/>
  <c r="D186" i="7"/>
  <c r="E186" i="7"/>
  <c r="F186" i="7"/>
  <c r="C187" i="7"/>
  <c r="D187" i="7"/>
  <c r="E187" i="7"/>
  <c r="F187" i="7"/>
  <c r="C188" i="7"/>
  <c r="D188" i="7"/>
  <c r="E188" i="7"/>
  <c r="F188" i="7"/>
  <c r="C189" i="7"/>
  <c r="D189" i="7"/>
  <c r="E189" i="7"/>
  <c r="F189" i="7"/>
  <c r="C190" i="7"/>
  <c r="D190" i="7"/>
  <c r="E190" i="7"/>
  <c r="F190" i="7"/>
  <c r="C191" i="7"/>
  <c r="D191" i="7"/>
  <c r="E191" i="7"/>
  <c r="F191" i="7"/>
  <c r="C192" i="7"/>
  <c r="D192" i="7"/>
  <c r="E192" i="7"/>
  <c r="F192" i="7"/>
  <c r="C193" i="7"/>
  <c r="D193" i="7"/>
  <c r="E193" i="7"/>
  <c r="F193" i="7"/>
  <c r="C194" i="7"/>
  <c r="D194" i="7"/>
  <c r="E194" i="7"/>
  <c r="F194" i="7"/>
  <c r="C195" i="7"/>
  <c r="D195" i="7"/>
  <c r="E195" i="7"/>
  <c r="F195" i="7"/>
  <c r="C196" i="7"/>
  <c r="D196" i="7"/>
  <c r="E196" i="7"/>
  <c r="F196" i="7"/>
  <c r="C197" i="7"/>
  <c r="D197" i="7"/>
  <c r="E197" i="7"/>
  <c r="F197" i="7"/>
  <c r="C198" i="7"/>
  <c r="D198" i="7"/>
  <c r="E198" i="7"/>
  <c r="F198" i="7"/>
  <c r="C199" i="7"/>
  <c r="D199" i="7"/>
  <c r="E199" i="7"/>
  <c r="F199" i="7"/>
  <c r="C200" i="7"/>
  <c r="D200" i="7"/>
  <c r="E200" i="7"/>
  <c r="F200" i="7"/>
  <c r="C201" i="7"/>
  <c r="D201" i="7"/>
  <c r="E201" i="7"/>
  <c r="F201" i="7"/>
  <c r="C202" i="7"/>
  <c r="D202" i="7"/>
  <c r="E202" i="7"/>
  <c r="F202" i="7"/>
  <c r="C203" i="7"/>
  <c r="D203" i="7"/>
  <c r="E203" i="7"/>
  <c r="F203" i="7"/>
  <c r="C204" i="7"/>
  <c r="D204" i="7"/>
  <c r="E204" i="7"/>
  <c r="F204" i="7"/>
  <c r="C205" i="7"/>
  <c r="D205" i="7"/>
  <c r="E205" i="7"/>
  <c r="F205" i="7"/>
  <c r="C206" i="7"/>
  <c r="D206" i="7"/>
  <c r="E206" i="7"/>
  <c r="F206" i="7"/>
  <c r="C207" i="7"/>
  <c r="D207" i="7"/>
  <c r="E207" i="7"/>
  <c r="F207" i="7"/>
  <c r="C208" i="7"/>
  <c r="D208" i="7"/>
  <c r="E208" i="7"/>
  <c r="F208" i="7"/>
  <c r="C209" i="7"/>
  <c r="D209" i="7"/>
  <c r="E209" i="7"/>
  <c r="F209" i="7"/>
  <c r="C210" i="7"/>
  <c r="D210" i="7"/>
  <c r="E210" i="7"/>
  <c r="F210" i="7"/>
  <c r="C211" i="7"/>
  <c r="D211" i="7"/>
  <c r="E211" i="7"/>
  <c r="F211" i="7"/>
  <c r="C212" i="7"/>
  <c r="D212" i="7"/>
  <c r="E212" i="7"/>
  <c r="F212" i="7"/>
  <c r="C213" i="7"/>
  <c r="D213" i="7"/>
  <c r="E213" i="7"/>
  <c r="F213" i="7"/>
  <c r="C214" i="7"/>
  <c r="D214" i="7"/>
  <c r="E214" i="7"/>
  <c r="F214" i="7"/>
  <c r="C215" i="7"/>
  <c r="D215" i="7"/>
  <c r="E215" i="7"/>
  <c r="F215" i="7"/>
  <c r="C216" i="7"/>
  <c r="D216" i="7"/>
  <c r="E216" i="7"/>
  <c r="F216" i="7"/>
  <c r="C217" i="7"/>
  <c r="D217" i="7"/>
  <c r="E217" i="7"/>
  <c r="F217" i="7"/>
  <c r="C218" i="7"/>
  <c r="D218" i="7"/>
  <c r="E218" i="7"/>
  <c r="F218" i="7"/>
  <c r="C219" i="7"/>
  <c r="D219" i="7"/>
  <c r="E219" i="7"/>
  <c r="F219" i="7"/>
  <c r="C220" i="7"/>
  <c r="D220" i="7"/>
  <c r="E220" i="7"/>
  <c r="F220" i="7"/>
  <c r="C221" i="7"/>
  <c r="D221" i="7"/>
  <c r="E221" i="7"/>
  <c r="F221" i="7"/>
  <c r="C222" i="7"/>
  <c r="D222" i="7"/>
  <c r="E222" i="7"/>
  <c r="F222" i="7"/>
  <c r="C223" i="7"/>
  <c r="D223" i="7"/>
  <c r="E223" i="7"/>
  <c r="F223" i="7"/>
  <c r="C224" i="7"/>
  <c r="D224" i="7"/>
  <c r="E224" i="7"/>
  <c r="F224" i="7"/>
  <c r="C225" i="7"/>
  <c r="D225" i="7"/>
  <c r="E225" i="7"/>
  <c r="F225" i="7"/>
  <c r="C226" i="7"/>
  <c r="D226" i="7"/>
  <c r="E226" i="7"/>
  <c r="F226" i="7"/>
  <c r="C227" i="7"/>
  <c r="D227" i="7"/>
  <c r="E227" i="7"/>
  <c r="F227" i="7"/>
  <c r="C228" i="7"/>
  <c r="D228" i="7"/>
  <c r="E228" i="7"/>
  <c r="F228" i="7"/>
  <c r="C229" i="7"/>
  <c r="D229" i="7"/>
  <c r="E229" i="7"/>
  <c r="F229" i="7"/>
  <c r="C230" i="7"/>
  <c r="D230" i="7"/>
  <c r="E230" i="7"/>
  <c r="F230" i="7"/>
  <c r="C231" i="7"/>
  <c r="D231" i="7"/>
  <c r="E231" i="7"/>
  <c r="F231" i="7"/>
  <c r="C232" i="7"/>
  <c r="D232" i="7"/>
  <c r="E232" i="7"/>
  <c r="F232" i="7"/>
  <c r="C233" i="7"/>
  <c r="D233" i="7"/>
  <c r="E233" i="7"/>
  <c r="F233" i="7"/>
  <c r="C234" i="7"/>
  <c r="D234" i="7"/>
  <c r="E234" i="7"/>
  <c r="F234" i="7"/>
  <c r="C235" i="7"/>
  <c r="D235" i="7"/>
  <c r="E235" i="7"/>
  <c r="F235" i="7"/>
  <c r="C236" i="7"/>
  <c r="D236" i="7"/>
  <c r="E236" i="7"/>
  <c r="F236" i="7"/>
  <c r="C237" i="7"/>
  <c r="D237" i="7"/>
  <c r="E237" i="7"/>
  <c r="F237" i="7"/>
  <c r="C238" i="7"/>
  <c r="D238" i="7"/>
  <c r="E238" i="7"/>
  <c r="F238" i="7"/>
  <c r="C239" i="7"/>
  <c r="D239" i="7"/>
  <c r="E239" i="7"/>
  <c r="F239" i="7"/>
  <c r="C240" i="7"/>
  <c r="D240" i="7"/>
  <c r="E240" i="7"/>
  <c r="F240" i="7"/>
  <c r="C241" i="7"/>
  <c r="D241" i="7"/>
  <c r="E241" i="7"/>
  <c r="F241" i="7"/>
  <c r="C242" i="7"/>
  <c r="D242" i="7"/>
  <c r="E242" i="7"/>
  <c r="F242" i="7"/>
  <c r="C243" i="7"/>
  <c r="D243" i="7"/>
  <c r="E243" i="7"/>
  <c r="F243" i="7"/>
  <c r="C244" i="7"/>
  <c r="D244" i="7"/>
  <c r="E244" i="7"/>
  <c r="F244" i="7"/>
  <c r="C245" i="7"/>
  <c r="D245" i="7"/>
  <c r="E245" i="7"/>
  <c r="F245" i="7"/>
  <c r="C246" i="7"/>
  <c r="D246" i="7"/>
  <c r="E246" i="7"/>
  <c r="F246" i="7"/>
  <c r="C247" i="7"/>
  <c r="D247" i="7"/>
  <c r="E247" i="7"/>
  <c r="F247" i="7"/>
  <c r="C248" i="7"/>
  <c r="D248" i="7"/>
  <c r="E248" i="7"/>
  <c r="F248" i="7"/>
  <c r="C249" i="7"/>
  <c r="D249" i="7"/>
  <c r="E249" i="7"/>
  <c r="F249" i="7"/>
  <c r="C250" i="7"/>
  <c r="D250" i="7"/>
  <c r="E250" i="7"/>
  <c r="F250" i="7"/>
  <c r="C251" i="7"/>
  <c r="D251" i="7"/>
  <c r="E251" i="7"/>
  <c r="F251" i="7"/>
  <c r="C252" i="7"/>
  <c r="D252" i="7"/>
  <c r="E252" i="7"/>
  <c r="F252" i="7"/>
  <c r="C253" i="7"/>
  <c r="D253" i="7"/>
  <c r="E253" i="7"/>
  <c r="F253" i="7"/>
  <c r="C254" i="7"/>
  <c r="D254" i="7"/>
  <c r="E254" i="7"/>
  <c r="F254" i="7"/>
  <c r="C255" i="7"/>
  <c r="D255" i="7"/>
  <c r="E255" i="7"/>
  <c r="F255" i="7"/>
  <c r="C256" i="7"/>
  <c r="D256" i="7"/>
  <c r="E256" i="7"/>
  <c r="F256" i="7"/>
  <c r="C257" i="7"/>
  <c r="D257" i="7"/>
  <c r="E257" i="7"/>
  <c r="F257" i="7"/>
  <c r="C258" i="7"/>
  <c r="D258" i="7"/>
  <c r="E258" i="7"/>
  <c r="F258" i="7"/>
  <c r="C259" i="7"/>
  <c r="D259" i="7"/>
  <c r="E259" i="7"/>
  <c r="F259" i="7"/>
  <c r="C260" i="7"/>
  <c r="D260" i="7"/>
  <c r="E260" i="7"/>
  <c r="F260" i="7"/>
  <c r="C261" i="7"/>
  <c r="D261" i="7"/>
  <c r="E261" i="7"/>
  <c r="F261" i="7"/>
  <c r="C262" i="7"/>
  <c r="D262" i="7"/>
  <c r="E262" i="7"/>
  <c r="F262" i="7"/>
  <c r="C263" i="7"/>
  <c r="D263" i="7"/>
  <c r="E263" i="7"/>
  <c r="F263" i="7"/>
  <c r="C264" i="7"/>
  <c r="D264" i="7"/>
  <c r="E264" i="7"/>
  <c r="F264" i="7"/>
  <c r="C265" i="7"/>
  <c r="D265" i="7"/>
  <c r="E265" i="7"/>
  <c r="F265" i="7"/>
  <c r="C266" i="7"/>
  <c r="D266" i="7"/>
  <c r="E266" i="7"/>
  <c r="F266" i="7"/>
  <c r="C267" i="7"/>
  <c r="D267" i="7"/>
  <c r="E267" i="7"/>
  <c r="F267" i="7"/>
  <c r="C268" i="7"/>
  <c r="D268" i="7"/>
  <c r="E268" i="7"/>
  <c r="F268" i="7"/>
  <c r="C269" i="7"/>
  <c r="D269" i="7"/>
  <c r="E269" i="7"/>
  <c r="F269" i="7"/>
  <c r="C270" i="7"/>
  <c r="D270" i="7"/>
  <c r="E270" i="7"/>
  <c r="F270" i="7"/>
  <c r="C271" i="7"/>
  <c r="D271" i="7"/>
  <c r="E271" i="7"/>
  <c r="F271" i="7"/>
  <c r="C272" i="7"/>
  <c r="D272" i="7"/>
  <c r="E272" i="7"/>
  <c r="F272" i="7"/>
  <c r="C273" i="7"/>
  <c r="D273" i="7"/>
  <c r="E273" i="7"/>
  <c r="F273" i="7"/>
  <c r="C274" i="7"/>
  <c r="D274" i="7"/>
  <c r="E274" i="7"/>
  <c r="F274" i="7"/>
  <c r="C275" i="7"/>
  <c r="D275" i="7"/>
  <c r="E275" i="7"/>
  <c r="F275" i="7"/>
  <c r="C276" i="7"/>
  <c r="D276" i="7"/>
  <c r="E276" i="7"/>
  <c r="F276" i="7"/>
  <c r="C277" i="7"/>
  <c r="D277" i="7"/>
  <c r="E277" i="7"/>
  <c r="F277" i="7"/>
  <c r="C278" i="7"/>
  <c r="D278" i="7"/>
  <c r="E278" i="7"/>
  <c r="F278" i="7"/>
  <c r="C279" i="7"/>
  <c r="D279" i="7"/>
  <c r="E279" i="7"/>
  <c r="F279" i="7"/>
  <c r="C280" i="7"/>
  <c r="D280" i="7"/>
  <c r="E280" i="7"/>
  <c r="F280" i="7"/>
  <c r="C281" i="7"/>
  <c r="D281" i="7"/>
  <c r="E281" i="7"/>
  <c r="F281" i="7"/>
  <c r="C282" i="7"/>
  <c r="D282" i="7"/>
  <c r="E282" i="7"/>
  <c r="F282" i="7"/>
  <c r="C283" i="7"/>
  <c r="D283" i="7"/>
  <c r="E283" i="7"/>
  <c r="F283" i="7"/>
  <c r="C284" i="7"/>
  <c r="D284" i="7"/>
  <c r="E284" i="7"/>
  <c r="F284" i="7"/>
  <c r="C285" i="7"/>
  <c r="D285" i="7"/>
  <c r="E285" i="7"/>
  <c r="F285" i="7"/>
  <c r="C286" i="7"/>
  <c r="D286" i="7"/>
  <c r="E286" i="7"/>
  <c r="F286" i="7"/>
  <c r="C287" i="7"/>
  <c r="D287" i="7"/>
  <c r="E287" i="7"/>
  <c r="F287" i="7"/>
  <c r="C288" i="7"/>
  <c r="D288" i="7"/>
  <c r="E288" i="7"/>
  <c r="F288" i="7"/>
  <c r="C289" i="7"/>
  <c r="D289" i="7"/>
  <c r="E289" i="7"/>
  <c r="F289" i="7"/>
  <c r="C290" i="7"/>
  <c r="D290" i="7"/>
  <c r="E290" i="7"/>
  <c r="F290" i="7"/>
  <c r="C291" i="7"/>
  <c r="D291" i="7"/>
  <c r="E291" i="7"/>
  <c r="F291" i="7"/>
  <c r="C292" i="7"/>
  <c r="D292" i="7"/>
  <c r="E292" i="7"/>
  <c r="F292" i="7"/>
  <c r="C293" i="7"/>
  <c r="D293" i="7"/>
  <c r="E293" i="7"/>
  <c r="F293" i="7"/>
  <c r="C294" i="7"/>
  <c r="D294" i="7"/>
  <c r="E294" i="7"/>
  <c r="F294" i="7"/>
  <c r="C295" i="7"/>
  <c r="D295" i="7"/>
  <c r="E295" i="7"/>
  <c r="F295" i="7"/>
  <c r="C296" i="7"/>
  <c r="D296" i="7"/>
  <c r="E296" i="7"/>
  <c r="F296" i="7"/>
  <c r="C297" i="7"/>
  <c r="D297" i="7"/>
  <c r="E297" i="7"/>
  <c r="F297" i="7"/>
  <c r="C298" i="7"/>
  <c r="D298" i="7"/>
  <c r="E298" i="7"/>
  <c r="F298" i="7"/>
  <c r="C299" i="7"/>
  <c r="D299" i="7"/>
  <c r="E299" i="7"/>
  <c r="F299" i="7"/>
  <c r="C300" i="7"/>
  <c r="D300" i="7"/>
  <c r="E300" i="7"/>
  <c r="F300" i="7"/>
  <c r="C301" i="7"/>
  <c r="D301" i="7"/>
  <c r="E301" i="7"/>
  <c r="F301" i="7"/>
  <c r="P203" i="7"/>
  <c r="Q203" i="7"/>
  <c r="R203" i="7"/>
  <c r="S203" i="7"/>
  <c r="T203" i="7"/>
  <c r="P204" i="7"/>
  <c r="Q204" i="7"/>
  <c r="R204" i="7"/>
  <c r="S204" i="7"/>
  <c r="T204" i="7"/>
  <c r="P205" i="7"/>
  <c r="Q205" i="7"/>
  <c r="S205" i="7"/>
  <c r="T205" i="7"/>
  <c r="P206" i="7"/>
  <c r="Q206" i="7"/>
  <c r="R206" i="7"/>
  <c r="S206" i="7"/>
  <c r="T206" i="7"/>
  <c r="P207" i="7"/>
  <c r="Q207" i="7"/>
  <c r="R207" i="7"/>
  <c r="S207" i="7"/>
  <c r="T207" i="7"/>
  <c r="P208" i="7"/>
  <c r="Q208" i="7"/>
  <c r="R208" i="7"/>
  <c r="S208" i="7"/>
  <c r="T208" i="7"/>
  <c r="P209" i="7"/>
  <c r="Q209" i="7"/>
  <c r="R209" i="7"/>
  <c r="S209" i="7"/>
  <c r="T209" i="7"/>
  <c r="P210" i="7"/>
  <c r="Q210" i="7"/>
  <c r="R210" i="7"/>
  <c r="S210" i="7"/>
  <c r="T210" i="7"/>
  <c r="P211" i="7"/>
  <c r="Q211" i="7"/>
  <c r="R211" i="7"/>
  <c r="S211" i="7"/>
  <c r="T211" i="7"/>
  <c r="P212" i="7"/>
  <c r="Q212" i="7"/>
  <c r="R212" i="7"/>
  <c r="S212" i="7"/>
  <c r="T212" i="7"/>
  <c r="P213" i="7"/>
  <c r="Q213" i="7"/>
  <c r="R213" i="7"/>
  <c r="S213" i="7"/>
  <c r="T213" i="7"/>
  <c r="P214" i="7"/>
  <c r="Q214" i="7"/>
  <c r="R214" i="7"/>
  <c r="S214" i="7"/>
  <c r="T214" i="7"/>
  <c r="P215" i="7"/>
  <c r="Q215" i="7"/>
  <c r="R215" i="7"/>
  <c r="S215" i="7"/>
  <c r="T215" i="7"/>
  <c r="P216" i="7"/>
  <c r="Q216" i="7"/>
  <c r="R216" i="7"/>
  <c r="S216" i="7"/>
  <c r="T216" i="7"/>
  <c r="P217" i="7"/>
  <c r="Q217" i="7"/>
  <c r="R217" i="7"/>
  <c r="S217" i="7"/>
  <c r="T217" i="7"/>
  <c r="P218" i="7"/>
  <c r="Q218" i="7"/>
  <c r="R218" i="7"/>
  <c r="S218" i="7"/>
  <c r="T218" i="7"/>
  <c r="P219" i="7"/>
  <c r="Q219" i="7"/>
  <c r="R219" i="7"/>
  <c r="S219" i="7"/>
  <c r="T219" i="7"/>
  <c r="P220" i="7"/>
  <c r="Q220" i="7"/>
  <c r="R220" i="7"/>
  <c r="S220" i="7"/>
  <c r="T220" i="7"/>
  <c r="P221" i="7"/>
  <c r="Q221" i="7"/>
  <c r="R221" i="7"/>
  <c r="S221" i="7"/>
  <c r="T221" i="7"/>
  <c r="P222" i="7"/>
  <c r="Q222" i="7"/>
  <c r="R222" i="7"/>
  <c r="S222" i="7"/>
  <c r="T222" i="7"/>
  <c r="P223" i="7"/>
  <c r="Q223" i="7"/>
  <c r="R223" i="7"/>
  <c r="S223" i="7"/>
  <c r="T223" i="7"/>
  <c r="P224" i="7"/>
  <c r="Q224" i="7"/>
  <c r="R224" i="7"/>
  <c r="S224" i="7"/>
  <c r="T224" i="7"/>
  <c r="P225" i="7"/>
  <c r="Q225" i="7"/>
  <c r="R225" i="7"/>
  <c r="S225" i="7"/>
  <c r="T225" i="7"/>
  <c r="P226" i="7"/>
  <c r="Q226" i="7"/>
  <c r="R226" i="7"/>
  <c r="S226" i="7"/>
  <c r="T226" i="7"/>
  <c r="P227" i="7"/>
  <c r="Q227" i="7"/>
  <c r="R227" i="7"/>
  <c r="S227" i="7"/>
  <c r="T227" i="7"/>
  <c r="P228" i="7"/>
  <c r="Q228" i="7"/>
  <c r="R228" i="7"/>
  <c r="S228" i="7"/>
  <c r="T228" i="7"/>
  <c r="P229" i="7"/>
  <c r="Q229" i="7"/>
  <c r="R229" i="7"/>
  <c r="S229" i="7"/>
  <c r="T229" i="7"/>
  <c r="P230" i="7"/>
  <c r="Q230" i="7"/>
  <c r="R230" i="7"/>
  <c r="S230" i="7"/>
  <c r="T230" i="7"/>
  <c r="P231" i="7"/>
  <c r="Q231" i="7"/>
  <c r="R231" i="7"/>
  <c r="S231" i="7"/>
  <c r="T231" i="7"/>
  <c r="P232" i="7"/>
  <c r="Q232" i="7"/>
  <c r="R232" i="7"/>
  <c r="S232" i="7"/>
  <c r="T232" i="7"/>
  <c r="P233" i="7"/>
  <c r="Q233" i="7"/>
  <c r="R233" i="7"/>
  <c r="S233" i="7"/>
  <c r="T233" i="7"/>
  <c r="P234" i="7"/>
  <c r="Q234" i="7"/>
  <c r="R234" i="7"/>
  <c r="S234" i="7"/>
  <c r="T234" i="7"/>
  <c r="P235" i="7"/>
  <c r="Q235" i="7"/>
  <c r="R235" i="7"/>
  <c r="S235" i="7"/>
  <c r="T235" i="7"/>
  <c r="P236" i="7"/>
  <c r="Q236" i="7"/>
  <c r="R236" i="7"/>
  <c r="S236" i="7"/>
  <c r="T236" i="7"/>
  <c r="P237" i="7"/>
  <c r="Q237" i="7"/>
  <c r="R237" i="7"/>
  <c r="S237" i="7"/>
  <c r="T237" i="7"/>
  <c r="P238" i="7"/>
  <c r="Q238" i="7"/>
  <c r="R238" i="7"/>
  <c r="S238" i="7"/>
  <c r="T238" i="7"/>
  <c r="P239" i="7"/>
  <c r="Q239" i="7"/>
  <c r="R239" i="7"/>
  <c r="S239" i="7"/>
  <c r="T239" i="7"/>
  <c r="P240" i="7"/>
  <c r="Q240" i="7"/>
  <c r="R240" i="7"/>
  <c r="S240" i="7"/>
  <c r="T240" i="7"/>
  <c r="P241" i="7"/>
  <c r="Q241" i="7"/>
  <c r="R241" i="7"/>
  <c r="S241" i="7"/>
  <c r="T241" i="7"/>
  <c r="P242" i="7"/>
  <c r="Q242" i="7"/>
  <c r="R242" i="7"/>
  <c r="S242" i="7"/>
  <c r="T242" i="7"/>
  <c r="P243" i="7"/>
  <c r="Q243" i="7"/>
  <c r="R243" i="7"/>
  <c r="S243" i="7"/>
  <c r="T243" i="7"/>
  <c r="P244" i="7"/>
  <c r="Q244" i="7"/>
  <c r="R244" i="7"/>
  <c r="S244" i="7"/>
  <c r="T244" i="7"/>
  <c r="P245" i="7"/>
  <c r="Q245" i="7"/>
  <c r="R245" i="7"/>
  <c r="S245" i="7"/>
  <c r="T245" i="7"/>
  <c r="P246" i="7"/>
  <c r="Q246" i="7"/>
  <c r="R246" i="7"/>
  <c r="S246" i="7"/>
  <c r="T246" i="7"/>
  <c r="P247" i="7"/>
  <c r="Q247" i="7"/>
  <c r="R247" i="7"/>
  <c r="S247" i="7"/>
  <c r="T247" i="7"/>
  <c r="P248" i="7"/>
  <c r="Q248" i="7"/>
  <c r="R248" i="7"/>
  <c r="S248" i="7"/>
  <c r="T248" i="7"/>
  <c r="P249" i="7"/>
  <c r="Q249" i="7"/>
  <c r="R249" i="7"/>
  <c r="S249" i="7"/>
  <c r="T249" i="7"/>
  <c r="P250" i="7"/>
  <c r="Q250" i="7"/>
  <c r="R250" i="7"/>
  <c r="S250" i="7"/>
  <c r="T250" i="7"/>
  <c r="P251" i="7"/>
  <c r="Q251" i="7"/>
  <c r="R251" i="7"/>
  <c r="S251" i="7"/>
  <c r="T251" i="7"/>
  <c r="P252" i="7"/>
  <c r="Q252" i="7"/>
  <c r="R252" i="7"/>
  <c r="S252" i="7"/>
  <c r="T252" i="7"/>
  <c r="P253" i="7"/>
  <c r="Q253" i="7"/>
  <c r="R253" i="7"/>
  <c r="S253" i="7"/>
  <c r="T253" i="7"/>
  <c r="P254" i="7"/>
  <c r="Q254" i="7"/>
  <c r="R254" i="7"/>
  <c r="S254" i="7"/>
  <c r="T254" i="7"/>
  <c r="P255" i="7"/>
  <c r="Q255" i="7"/>
  <c r="R255" i="7"/>
  <c r="S255" i="7"/>
  <c r="T255" i="7"/>
  <c r="P256" i="7"/>
  <c r="Q256" i="7"/>
  <c r="R256" i="7"/>
  <c r="S256" i="7"/>
  <c r="T256" i="7"/>
  <c r="P257" i="7"/>
  <c r="Q257" i="7"/>
  <c r="R257" i="7"/>
  <c r="S257" i="7"/>
  <c r="T257" i="7"/>
  <c r="P258" i="7"/>
  <c r="Q258" i="7"/>
  <c r="R258" i="7"/>
  <c r="S258" i="7"/>
  <c r="T258" i="7"/>
  <c r="P259" i="7"/>
  <c r="Q259" i="7"/>
  <c r="R259" i="7"/>
  <c r="S259" i="7"/>
  <c r="T259" i="7"/>
  <c r="P260" i="7"/>
  <c r="Q260" i="7"/>
  <c r="R260" i="7"/>
  <c r="S260" i="7"/>
  <c r="T260" i="7"/>
  <c r="P261" i="7"/>
  <c r="Q261" i="7"/>
  <c r="R261" i="7"/>
  <c r="S261" i="7"/>
  <c r="T261" i="7"/>
  <c r="P262" i="7"/>
  <c r="Q262" i="7"/>
  <c r="R262" i="7"/>
  <c r="S262" i="7"/>
  <c r="T262" i="7"/>
  <c r="P263" i="7"/>
  <c r="Q263" i="7"/>
  <c r="R263" i="7"/>
  <c r="S263" i="7"/>
  <c r="T263" i="7"/>
  <c r="P264" i="7"/>
  <c r="Q264" i="7"/>
  <c r="R264" i="7"/>
  <c r="S264" i="7"/>
  <c r="T264" i="7"/>
  <c r="P265" i="7"/>
  <c r="Q265" i="7"/>
  <c r="R265" i="7"/>
  <c r="S265" i="7"/>
  <c r="T265" i="7"/>
  <c r="P266" i="7"/>
  <c r="Q266" i="7"/>
  <c r="R266" i="7"/>
  <c r="S266" i="7"/>
  <c r="T266" i="7"/>
  <c r="P267" i="7"/>
  <c r="Q267" i="7"/>
  <c r="R267" i="7"/>
  <c r="S267" i="7"/>
  <c r="T267" i="7"/>
  <c r="P268" i="7"/>
  <c r="Q268" i="7"/>
  <c r="R268" i="7"/>
  <c r="S268" i="7"/>
  <c r="T268" i="7"/>
  <c r="P269" i="7"/>
  <c r="Q269" i="7"/>
  <c r="R269" i="7"/>
  <c r="S269" i="7"/>
  <c r="T269" i="7"/>
  <c r="P270" i="7"/>
  <c r="Q270" i="7"/>
  <c r="R270" i="7"/>
  <c r="S270" i="7"/>
  <c r="T270" i="7"/>
  <c r="P271" i="7"/>
  <c r="Q271" i="7"/>
  <c r="R271" i="7"/>
  <c r="S271" i="7"/>
  <c r="T271" i="7"/>
  <c r="P272" i="7"/>
  <c r="Q272" i="7"/>
  <c r="R272" i="7"/>
  <c r="S272" i="7"/>
  <c r="T272" i="7"/>
  <c r="P273" i="7"/>
  <c r="Q273" i="7"/>
  <c r="R273" i="7"/>
  <c r="S273" i="7"/>
  <c r="T273" i="7"/>
  <c r="P274" i="7"/>
  <c r="Q274" i="7"/>
  <c r="R274" i="7"/>
  <c r="S274" i="7"/>
  <c r="T274" i="7"/>
  <c r="P275" i="7"/>
  <c r="Q275" i="7"/>
  <c r="R275" i="7"/>
  <c r="S275" i="7"/>
  <c r="T275" i="7"/>
  <c r="P276" i="7"/>
  <c r="Q276" i="7"/>
  <c r="R276" i="7"/>
  <c r="S276" i="7"/>
  <c r="T276" i="7"/>
  <c r="P277" i="7"/>
  <c r="Q277" i="7"/>
  <c r="R277" i="7"/>
  <c r="S277" i="7"/>
  <c r="T277" i="7"/>
  <c r="P278" i="7"/>
  <c r="Q278" i="7"/>
  <c r="R278" i="7"/>
  <c r="S278" i="7"/>
  <c r="T278" i="7"/>
  <c r="P279" i="7"/>
  <c r="Q279" i="7"/>
  <c r="R279" i="7"/>
  <c r="S279" i="7"/>
  <c r="T279" i="7"/>
  <c r="P280" i="7"/>
  <c r="Q280" i="7"/>
  <c r="R280" i="7"/>
  <c r="S280" i="7"/>
  <c r="T280" i="7"/>
  <c r="P281" i="7"/>
  <c r="Q281" i="7"/>
  <c r="R281" i="7"/>
  <c r="S281" i="7"/>
  <c r="T281" i="7"/>
  <c r="P282" i="7"/>
  <c r="Q282" i="7"/>
  <c r="R282" i="7"/>
  <c r="S282" i="7"/>
  <c r="T282" i="7"/>
  <c r="P283" i="7"/>
  <c r="Q283" i="7"/>
  <c r="R283" i="7"/>
  <c r="S283" i="7"/>
  <c r="T283" i="7"/>
  <c r="P284" i="7"/>
  <c r="Q284" i="7"/>
  <c r="R284" i="7"/>
  <c r="S284" i="7"/>
  <c r="T284" i="7"/>
  <c r="P285" i="7"/>
  <c r="Q285" i="7"/>
  <c r="R285" i="7"/>
  <c r="S285" i="7"/>
  <c r="T285" i="7"/>
  <c r="P286" i="7"/>
  <c r="Q286" i="7"/>
  <c r="R286" i="7"/>
  <c r="S286" i="7"/>
  <c r="T286" i="7"/>
  <c r="P287" i="7"/>
  <c r="Q287" i="7"/>
  <c r="R287" i="7"/>
  <c r="S287" i="7"/>
  <c r="T287" i="7"/>
  <c r="P288" i="7"/>
  <c r="Q288" i="7"/>
  <c r="R288" i="7"/>
  <c r="S288" i="7"/>
  <c r="T288" i="7"/>
  <c r="P289" i="7"/>
  <c r="Q289" i="7"/>
  <c r="R289" i="7"/>
  <c r="S289" i="7"/>
  <c r="T289" i="7"/>
  <c r="P290" i="7"/>
  <c r="Q290" i="7"/>
  <c r="R290" i="7"/>
  <c r="S290" i="7"/>
  <c r="T290" i="7"/>
  <c r="P291" i="7"/>
  <c r="Q291" i="7"/>
  <c r="R291" i="7"/>
  <c r="S291" i="7"/>
  <c r="T291" i="7"/>
  <c r="P292" i="7"/>
  <c r="Q292" i="7"/>
  <c r="R292" i="7"/>
  <c r="S292" i="7"/>
  <c r="T292" i="7"/>
  <c r="P293" i="7"/>
  <c r="Q293" i="7"/>
  <c r="R293" i="7"/>
  <c r="S293" i="7"/>
  <c r="T293" i="7"/>
  <c r="P294" i="7"/>
  <c r="Q294" i="7"/>
  <c r="R294" i="7"/>
  <c r="S294" i="7"/>
  <c r="T294" i="7"/>
  <c r="P295" i="7"/>
  <c r="Q295" i="7"/>
  <c r="R295" i="7"/>
  <c r="S295" i="7"/>
  <c r="T295" i="7"/>
  <c r="P296" i="7"/>
  <c r="Q296" i="7"/>
  <c r="R296" i="7"/>
  <c r="S296" i="7"/>
  <c r="T296" i="7"/>
  <c r="P297" i="7"/>
  <c r="Q297" i="7"/>
  <c r="R297" i="7"/>
  <c r="S297" i="7"/>
  <c r="T297" i="7"/>
  <c r="P298" i="7"/>
  <c r="Q298" i="7"/>
  <c r="R298" i="7"/>
  <c r="S298" i="7"/>
  <c r="T298" i="7"/>
  <c r="P299" i="7"/>
  <c r="Q299" i="7"/>
  <c r="R299" i="7"/>
  <c r="S299" i="7"/>
  <c r="T299" i="7"/>
  <c r="P300" i="7"/>
  <c r="Q300" i="7"/>
  <c r="R300" i="7"/>
  <c r="S300" i="7"/>
  <c r="T300" i="7"/>
  <c r="P301" i="7"/>
  <c r="Q301" i="7"/>
  <c r="R301" i="7"/>
  <c r="S301" i="7"/>
  <c r="T301" i="7"/>
  <c r="T98" i="7"/>
  <c r="G26" i="7" s="1"/>
  <c r="S98" i="7"/>
  <c r="F26" i="7" s="1"/>
  <c r="R98" i="7"/>
  <c r="E26" i="7" s="1"/>
  <c r="Q98" i="7"/>
  <c r="D26" i="7" s="1"/>
  <c r="P98" i="7"/>
  <c r="C26" i="7" s="1"/>
  <c r="F151" i="7"/>
  <c r="E151" i="7"/>
  <c r="D151" i="7"/>
  <c r="C151" i="7"/>
  <c r="F150" i="7"/>
  <c r="E150" i="7"/>
  <c r="D150" i="7"/>
  <c r="C150" i="7"/>
  <c r="F149" i="7"/>
  <c r="E149" i="7"/>
  <c r="D149" i="7"/>
  <c r="C149" i="7"/>
  <c r="F148" i="7"/>
  <c r="E148" i="7"/>
  <c r="D148" i="7"/>
  <c r="C148" i="7"/>
  <c r="F147" i="7"/>
  <c r="E147" i="7"/>
  <c r="D147" i="7"/>
  <c r="C147" i="7"/>
  <c r="F146" i="7"/>
  <c r="E146" i="7"/>
  <c r="D146" i="7"/>
  <c r="C146" i="7"/>
  <c r="F145" i="7"/>
  <c r="E145" i="7"/>
  <c r="D145" i="7"/>
  <c r="C145" i="7"/>
  <c r="F144" i="7"/>
  <c r="E144" i="7"/>
  <c r="D144" i="7"/>
  <c r="C144" i="7"/>
  <c r="F143" i="7"/>
  <c r="E143" i="7"/>
  <c r="D143" i="7"/>
  <c r="C143" i="7"/>
  <c r="F142" i="7"/>
  <c r="E142" i="7"/>
  <c r="D142" i="7"/>
  <c r="C142" i="7"/>
  <c r="F141" i="7"/>
  <c r="E141" i="7"/>
  <c r="D141" i="7"/>
  <c r="C141" i="7"/>
  <c r="F140" i="7"/>
  <c r="E140" i="7"/>
  <c r="D140" i="7"/>
  <c r="C140" i="7"/>
  <c r="F139" i="7"/>
  <c r="E139" i="7"/>
  <c r="D139" i="7"/>
  <c r="C139" i="7"/>
  <c r="F138" i="7"/>
  <c r="E138" i="7"/>
  <c r="D138" i="7"/>
  <c r="C138" i="7"/>
  <c r="F137" i="7"/>
  <c r="E137" i="7"/>
  <c r="D137" i="7"/>
  <c r="C137" i="7"/>
  <c r="F136" i="7"/>
  <c r="E136" i="7"/>
  <c r="D136" i="7"/>
  <c r="C136" i="7"/>
  <c r="F135" i="7"/>
  <c r="E135" i="7"/>
  <c r="D135" i="7"/>
  <c r="C135" i="7"/>
  <c r="F134" i="7"/>
  <c r="E134" i="7"/>
  <c r="D134" i="7"/>
  <c r="C134" i="7"/>
  <c r="F133" i="7"/>
  <c r="E133" i="7"/>
  <c r="D133" i="7"/>
  <c r="C133" i="7"/>
  <c r="F132" i="7"/>
  <c r="E132" i="7"/>
  <c r="D132" i="7"/>
  <c r="C132" i="7"/>
  <c r="F131" i="7"/>
  <c r="E131" i="7"/>
  <c r="D131" i="7"/>
  <c r="C131" i="7"/>
  <c r="F130" i="7"/>
  <c r="E130" i="7"/>
  <c r="D130" i="7"/>
  <c r="C130" i="7"/>
  <c r="F129" i="7"/>
  <c r="E129" i="7"/>
  <c r="D129" i="7"/>
  <c r="C129" i="7"/>
  <c r="F128" i="7"/>
  <c r="E128" i="7"/>
  <c r="D128" i="7"/>
  <c r="C128" i="7"/>
  <c r="F127" i="7"/>
  <c r="E127" i="7"/>
  <c r="D127" i="7"/>
  <c r="C127" i="7"/>
  <c r="F126" i="7"/>
  <c r="E126" i="7"/>
  <c r="D126" i="7"/>
  <c r="C126" i="7"/>
  <c r="F125" i="7"/>
  <c r="E125" i="7"/>
  <c r="D125" i="7"/>
  <c r="C125" i="7"/>
  <c r="F124" i="7"/>
  <c r="E124" i="7"/>
  <c r="D124" i="7"/>
  <c r="C124" i="7"/>
  <c r="F123" i="7"/>
  <c r="E123" i="7"/>
  <c r="D123" i="7"/>
  <c r="C123" i="7"/>
  <c r="F122" i="7"/>
  <c r="E122" i="7"/>
  <c r="D122" i="7"/>
  <c r="C122" i="7"/>
  <c r="F121" i="7"/>
  <c r="E121" i="7"/>
  <c r="D121" i="7"/>
  <c r="C121" i="7"/>
  <c r="F120" i="7"/>
  <c r="E120" i="7"/>
  <c r="D120" i="7"/>
  <c r="C120" i="7"/>
  <c r="F119" i="7"/>
  <c r="E119" i="7"/>
  <c r="D119" i="7"/>
  <c r="C119" i="7"/>
  <c r="F118" i="7"/>
  <c r="E118" i="7"/>
  <c r="D118" i="7"/>
  <c r="C118" i="7"/>
  <c r="F117" i="7"/>
  <c r="E117" i="7"/>
  <c r="D117" i="7"/>
  <c r="C117" i="7"/>
  <c r="F116" i="7"/>
  <c r="E116" i="7"/>
  <c r="D116" i="7"/>
  <c r="C116" i="7"/>
  <c r="F115" i="7"/>
  <c r="E115" i="7"/>
  <c r="D115" i="7"/>
  <c r="C115" i="7"/>
  <c r="F114" i="7"/>
  <c r="E114" i="7"/>
  <c r="D114" i="7"/>
  <c r="C114" i="7"/>
  <c r="F113" i="7"/>
  <c r="E113" i="7"/>
  <c r="D113" i="7"/>
  <c r="C113" i="7"/>
  <c r="F112" i="7"/>
  <c r="E112" i="7"/>
  <c r="D112" i="7"/>
  <c r="C112" i="7"/>
  <c r="F111" i="7"/>
  <c r="E111" i="7"/>
  <c r="D111" i="7"/>
  <c r="C111" i="7"/>
  <c r="F110" i="7"/>
  <c r="E110" i="7"/>
  <c r="D110" i="7"/>
  <c r="C110" i="7"/>
  <c r="F109" i="7"/>
  <c r="E109" i="7"/>
  <c r="D109" i="7"/>
  <c r="C109" i="7"/>
  <c r="F108" i="7"/>
  <c r="E108" i="7"/>
  <c r="D108" i="7"/>
  <c r="C108" i="7"/>
  <c r="F107" i="7"/>
  <c r="E107" i="7"/>
  <c r="D107" i="7"/>
  <c r="C107" i="7"/>
  <c r="F106" i="7"/>
  <c r="E106" i="7"/>
  <c r="D106" i="7"/>
  <c r="C106" i="7"/>
  <c r="F105" i="7"/>
  <c r="E105" i="7"/>
  <c r="D105" i="7"/>
  <c r="C105" i="7"/>
  <c r="F104" i="7"/>
  <c r="E104" i="7"/>
  <c r="D104" i="7"/>
  <c r="C104" i="7"/>
  <c r="F103" i="7"/>
  <c r="E103" i="7"/>
  <c r="D103" i="7"/>
  <c r="C103" i="7"/>
  <c r="F102" i="7"/>
  <c r="E102" i="7"/>
  <c r="D102" i="7"/>
  <c r="C102" i="7"/>
  <c r="F101" i="7"/>
  <c r="E101" i="7"/>
  <c r="D101" i="7"/>
  <c r="C101" i="7"/>
  <c r="F100" i="7"/>
  <c r="E100" i="7"/>
  <c r="D100" i="7"/>
  <c r="C100" i="7"/>
  <c r="F99" i="7"/>
  <c r="E99" i="7"/>
  <c r="D99" i="7"/>
  <c r="C99" i="7"/>
  <c r="F98" i="7"/>
  <c r="E98" i="7"/>
  <c r="D98" i="7"/>
  <c r="C98" i="7"/>
  <c r="F97" i="7"/>
  <c r="E97" i="7"/>
  <c r="D97" i="7"/>
  <c r="C97" i="7"/>
  <c r="F96" i="7"/>
  <c r="E96" i="7"/>
  <c r="D96" i="7"/>
  <c r="C96" i="7"/>
  <c r="F95" i="7"/>
  <c r="E95" i="7"/>
  <c r="D95" i="7"/>
  <c r="C95" i="7"/>
  <c r="F94" i="7"/>
  <c r="E94" i="7"/>
  <c r="D94" i="7"/>
  <c r="C94" i="7"/>
  <c r="F93" i="7"/>
  <c r="E93" i="7"/>
  <c r="D93" i="7"/>
  <c r="C93" i="7"/>
  <c r="F92" i="7"/>
  <c r="E92" i="7"/>
  <c r="D92" i="7"/>
  <c r="C92" i="7"/>
  <c r="F91" i="7"/>
  <c r="E91" i="7"/>
  <c r="D91" i="7"/>
  <c r="C91" i="7"/>
  <c r="F90" i="7"/>
  <c r="E90" i="7"/>
  <c r="D90" i="7"/>
  <c r="C90" i="7"/>
  <c r="F89" i="7"/>
  <c r="E89" i="7"/>
  <c r="D89" i="7"/>
  <c r="C89" i="7"/>
  <c r="F88" i="7"/>
  <c r="E88" i="7"/>
  <c r="D88" i="7"/>
  <c r="C88" i="7"/>
  <c r="F87" i="7"/>
  <c r="E87" i="7"/>
  <c r="D87" i="7"/>
  <c r="C87" i="7"/>
  <c r="F86" i="7"/>
  <c r="E86" i="7"/>
  <c r="D86" i="7"/>
  <c r="C86" i="7"/>
  <c r="F85" i="7"/>
  <c r="E85" i="7"/>
  <c r="D85" i="7"/>
  <c r="C85" i="7"/>
  <c r="F84" i="7"/>
  <c r="E84" i="7"/>
  <c r="D84" i="7"/>
  <c r="C84" i="7"/>
  <c r="F83" i="7"/>
  <c r="E83" i="7"/>
  <c r="D83" i="7"/>
  <c r="C83" i="7"/>
  <c r="F82" i="7"/>
  <c r="E82" i="7"/>
  <c r="D82" i="7"/>
  <c r="C82" i="7"/>
  <c r="F81" i="7"/>
  <c r="E81" i="7"/>
  <c r="D81" i="7"/>
  <c r="C81" i="7"/>
  <c r="F80" i="7"/>
  <c r="E80" i="7"/>
  <c r="D80" i="7"/>
  <c r="C80" i="7"/>
  <c r="F79" i="7"/>
  <c r="E79" i="7"/>
  <c r="D79" i="7"/>
  <c r="C79" i="7"/>
  <c r="F78" i="7"/>
  <c r="E78" i="7"/>
  <c r="D78" i="7"/>
  <c r="C78" i="7"/>
  <c r="F77" i="7"/>
  <c r="E77" i="7"/>
  <c r="D77" i="7"/>
  <c r="C77" i="7"/>
  <c r="F76" i="7"/>
  <c r="E76" i="7"/>
  <c r="D76" i="7"/>
  <c r="C76" i="7"/>
  <c r="F75" i="7"/>
  <c r="E75" i="7"/>
  <c r="D75" i="7"/>
  <c r="C75" i="7"/>
  <c r="F74" i="7"/>
  <c r="E74" i="7"/>
  <c r="D74" i="7"/>
  <c r="C74" i="7"/>
  <c r="F73" i="7"/>
  <c r="E73" i="7"/>
  <c r="D73" i="7"/>
  <c r="C73" i="7"/>
  <c r="F72" i="7"/>
  <c r="E72" i="7"/>
  <c r="D72" i="7"/>
  <c r="C72" i="7"/>
  <c r="F71" i="7"/>
  <c r="E71" i="7"/>
  <c r="D71" i="7"/>
  <c r="C71" i="7"/>
  <c r="F70" i="7"/>
  <c r="E70" i="7"/>
  <c r="D70" i="7"/>
  <c r="C70" i="7"/>
  <c r="F69" i="7"/>
  <c r="E69" i="7"/>
  <c r="D69" i="7"/>
  <c r="C69" i="7"/>
  <c r="F68" i="7"/>
  <c r="E68" i="7"/>
  <c r="D68" i="7"/>
  <c r="C68" i="7"/>
  <c r="F67" i="7"/>
  <c r="E67" i="7"/>
  <c r="D67" i="7"/>
  <c r="C67" i="7"/>
  <c r="F66" i="7"/>
  <c r="E66" i="7"/>
  <c r="D66" i="7"/>
  <c r="C66" i="7"/>
  <c r="F65" i="7"/>
  <c r="E65" i="7"/>
  <c r="D65" i="7"/>
  <c r="C65" i="7"/>
  <c r="F64" i="7"/>
  <c r="E64" i="7"/>
  <c r="D64" i="7"/>
  <c r="C64" i="7"/>
  <c r="F63" i="7"/>
  <c r="E63" i="7"/>
  <c r="D63" i="7"/>
  <c r="C63" i="7"/>
  <c r="F62" i="7"/>
  <c r="E62" i="7"/>
  <c r="D62" i="7"/>
  <c r="C62" i="7"/>
  <c r="F61" i="7"/>
  <c r="E61" i="7"/>
  <c r="D61" i="7"/>
  <c r="C61" i="7"/>
  <c r="F60" i="7"/>
  <c r="E60" i="7"/>
  <c r="D60" i="7"/>
  <c r="C60" i="7"/>
  <c r="F59" i="7"/>
  <c r="E59" i="7"/>
  <c r="D59" i="7"/>
  <c r="C59" i="7"/>
  <c r="F58" i="7"/>
  <c r="E58" i="7"/>
  <c r="D58" i="7"/>
  <c r="C58" i="7"/>
  <c r="F57" i="7"/>
  <c r="E57" i="7"/>
  <c r="D57" i="7"/>
  <c r="C57" i="7"/>
  <c r="F56" i="7"/>
  <c r="E56" i="7"/>
  <c r="D56" i="7"/>
  <c r="C56" i="7"/>
  <c r="F55" i="7"/>
  <c r="E55" i="7"/>
  <c r="D55" i="7"/>
  <c r="C55" i="7"/>
  <c r="F54" i="7"/>
  <c r="E54" i="7"/>
  <c r="D54" i="7"/>
  <c r="C54" i="7"/>
  <c r="F53" i="7"/>
  <c r="E53" i="7"/>
  <c r="D53" i="7"/>
  <c r="C53" i="7"/>
  <c r="F52" i="7"/>
  <c r="E52" i="7"/>
  <c r="D52" i="7"/>
  <c r="C52" i="7"/>
  <c r="F51" i="7"/>
  <c r="E51" i="7"/>
  <c r="D51" i="7"/>
  <c r="C51" i="7"/>
  <c r="F50" i="7"/>
  <c r="E50" i="7"/>
  <c r="D50" i="7"/>
  <c r="C50" i="7"/>
  <c r="F49" i="7"/>
  <c r="E49" i="7"/>
  <c r="D49" i="7"/>
  <c r="C49" i="7"/>
  <c r="F48" i="7"/>
  <c r="E48" i="7"/>
  <c r="D48" i="7"/>
  <c r="C48" i="7"/>
  <c r="F47" i="7"/>
  <c r="E47" i="7"/>
  <c r="D47" i="7"/>
  <c r="C47" i="7"/>
  <c r="F46" i="7"/>
  <c r="E46" i="7"/>
  <c r="D46" i="7"/>
  <c r="C46" i="7"/>
  <c r="AD11" i="7" l="1"/>
  <c r="S158" i="7" s="1"/>
  <c r="AD9" i="7"/>
  <c r="AE9" i="7"/>
  <c r="AE11" i="7"/>
  <c r="T158" i="7" s="1"/>
  <c r="AB17" i="7"/>
  <c r="AA19" i="7"/>
  <c r="AA17" i="7"/>
  <c r="AA21" i="7"/>
  <c r="P180" i="7" s="1"/>
  <c r="AC17" i="7"/>
  <c r="AE16" i="7"/>
  <c r="T76" i="7" s="1"/>
  <c r="AB18" i="7"/>
  <c r="Q79" i="7" s="1"/>
  <c r="AD17" i="7"/>
  <c r="AE17" i="7"/>
  <c r="AC16" i="7"/>
  <c r="R38" i="7" s="1"/>
  <c r="AA11" i="7"/>
  <c r="AB11" i="7"/>
  <c r="AC11" i="7"/>
  <c r="R158" i="7" s="1"/>
  <c r="AB21" i="7"/>
  <c r="Q37" i="7" s="1"/>
  <c r="AD19" i="7"/>
  <c r="S155" i="7" s="1"/>
  <c r="AB19" i="7"/>
  <c r="Q154" i="7" s="1"/>
  <c r="AC19" i="7"/>
  <c r="R156" i="7" s="1"/>
  <c r="AC21" i="7"/>
  <c r="R180" i="7" s="1"/>
  <c r="AE19" i="7"/>
  <c r="T200" i="7" s="1"/>
  <c r="AE21" i="7"/>
  <c r="T179" i="7" s="1"/>
  <c r="AC10" i="7"/>
  <c r="R59" i="7" s="1"/>
  <c r="AC20" i="7"/>
  <c r="R197" i="7" s="1"/>
  <c r="AB10" i="7"/>
  <c r="AB20" i="7"/>
  <c r="Q197" i="7" s="1"/>
  <c r="AE13" i="7"/>
  <c r="T48" i="7" s="1"/>
  <c r="AA7" i="7"/>
  <c r="P82" i="7" s="1"/>
  <c r="AA12" i="7"/>
  <c r="P36" i="7" s="1"/>
  <c r="AB12" i="7"/>
  <c r="Q36" i="7" s="1"/>
  <c r="AC7" i="7"/>
  <c r="R81" i="7" s="1"/>
  <c r="AC12" i="7"/>
  <c r="R36" i="7" s="1"/>
  <c r="AD12" i="7"/>
  <c r="S36" i="7" s="1"/>
  <c r="AE15" i="7"/>
  <c r="T86" i="7" s="1"/>
  <c r="AE12" i="7"/>
  <c r="AA4" i="7"/>
  <c r="P22" i="7" s="1"/>
  <c r="AA8" i="7"/>
  <c r="P110" i="7" s="1"/>
  <c r="AA10" i="7"/>
  <c r="AA16" i="7"/>
  <c r="P43" i="7" s="1"/>
  <c r="AA20" i="7"/>
  <c r="P45" i="7" s="1"/>
  <c r="AA14" i="7"/>
  <c r="P127" i="7" s="1"/>
  <c r="AD6" i="7"/>
  <c r="S28" i="7" s="1"/>
  <c r="AB15" i="7"/>
  <c r="Q146" i="7" s="1"/>
  <c r="AB4" i="7"/>
  <c r="Q26" i="7" s="1"/>
  <c r="AB8" i="7"/>
  <c r="Q110" i="7" s="1"/>
  <c r="AB16" i="7"/>
  <c r="Q43" i="7" s="1"/>
  <c r="AB14" i="7"/>
  <c r="Q84" i="7" s="1"/>
  <c r="AA13" i="7"/>
  <c r="P143" i="7" s="1"/>
  <c r="AD21" i="7"/>
  <c r="S179" i="7" s="1"/>
  <c r="AC4" i="7"/>
  <c r="R26" i="7" s="1"/>
  <c r="AC14" i="7"/>
  <c r="R127" i="7" s="1"/>
  <c r="AE5" i="7"/>
  <c r="T27" i="7" s="1"/>
  <c r="AC13" i="7"/>
  <c r="R159" i="7" s="1"/>
  <c r="AD4" i="7"/>
  <c r="S22" i="7" s="1"/>
  <c r="AD8" i="7"/>
  <c r="S157" i="7" s="1"/>
  <c r="AD10" i="7"/>
  <c r="S100" i="7" s="1"/>
  <c r="AD16" i="7"/>
  <c r="S162" i="7" s="1"/>
  <c r="AD20" i="7"/>
  <c r="S45" i="7" s="1"/>
  <c r="AD14" i="7"/>
  <c r="AB7" i="7"/>
  <c r="Q81" i="7" s="1"/>
  <c r="AE4" i="7"/>
  <c r="T18" i="7" s="1"/>
  <c r="AE8" i="7"/>
  <c r="T141" i="7" s="1"/>
  <c r="AE10" i="7"/>
  <c r="AE20" i="7"/>
  <c r="T197" i="7" s="1"/>
  <c r="AE14" i="7"/>
  <c r="AE18" i="7"/>
  <c r="T79" i="7" s="1"/>
  <c r="AA6" i="7"/>
  <c r="P28" i="7" s="1"/>
  <c r="AB6" i="7"/>
  <c r="Q28" i="7" s="1"/>
  <c r="AB13" i="7"/>
  <c r="Q159" i="7" s="1"/>
  <c r="AA15" i="7"/>
  <c r="P49" i="7" s="1"/>
  <c r="AA5" i="7"/>
  <c r="P33" i="7" s="1"/>
  <c r="AA9" i="7"/>
  <c r="AA18" i="7"/>
  <c r="P79" i="7" s="1"/>
  <c r="AD5" i="7"/>
  <c r="S27" i="7" s="1"/>
  <c r="AD18" i="7"/>
  <c r="S80" i="7" s="1"/>
  <c r="AC15" i="7"/>
  <c r="R49" i="7" s="1"/>
  <c r="AD15" i="7"/>
  <c r="S160" i="7" s="1"/>
  <c r="AB5" i="7"/>
  <c r="Q33" i="7" s="1"/>
  <c r="AB9" i="7"/>
  <c r="AC6" i="7"/>
  <c r="R20" i="7" s="1"/>
  <c r="AD13" i="7"/>
  <c r="S48" i="7" s="1"/>
  <c r="AE6" i="7"/>
  <c r="T28" i="7" s="1"/>
  <c r="AC5" i="7"/>
  <c r="R19" i="7" s="1"/>
  <c r="AC9" i="7"/>
  <c r="AC18" i="7"/>
  <c r="R163" i="7" s="1"/>
  <c r="G4" i="8"/>
  <c r="G41" i="8"/>
  <c r="G18" i="8"/>
  <c r="H7" i="8"/>
  <c r="F4" i="8"/>
  <c r="C7" i="13" s="1"/>
  <c r="G14" i="8"/>
  <c r="F16" i="8"/>
  <c r="C19" i="13" s="1"/>
  <c r="G6" i="8"/>
  <c r="H6" i="8"/>
  <c r="F7" i="8"/>
  <c r="C10" i="13" s="1"/>
  <c r="C66" i="8"/>
  <c r="F9" i="8"/>
  <c r="C12" i="13" s="1"/>
  <c r="H15" i="8"/>
  <c r="D66" i="8"/>
  <c r="G9" i="8"/>
  <c r="F13" i="8"/>
  <c r="C16" i="13" s="1"/>
  <c r="H48" i="8"/>
  <c r="G13" i="8"/>
  <c r="H13" i="8"/>
  <c r="F14" i="8"/>
  <c r="C17" i="13" s="1"/>
  <c r="E59" i="8"/>
  <c r="F8" i="8"/>
  <c r="C11" i="13" s="1"/>
  <c r="H14" i="8"/>
  <c r="G8" i="8"/>
  <c r="F15" i="8"/>
  <c r="C18" i="13" s="1"/>
  <c r="B66" i="8"/>
  <c r="H8" i="8"/>
  <c r="G15" i="8"/>
  <c r="F3" i="8"/>
  <c r="C6" i="13" s="1"/>
  <c r="H9" i="8"/>
  <c r="G16" i="8"/>
  <c r="G3" i="8"/>
  <c r="F10" i="8"/>
  <c r="C13" i="13" s="1"/>
  <c r="H16" i="8"/>
  <c r="H3" i="8"/>
  <c r="G10" i="8"/>
  <c r="F17" i="8"/>
  <c r="C20" i="13" s="1"/>
  <c r="H10" i="8"/>
  <c r="G17" i="8"/>
  <c r="F11" i="8"/>
  <c r="C14" i="13" s="1"/>
  <c r="H4" i="8"/>
  <c r="G11" i="8"/>
  <c r="F18" i="8"/>
  <c r="C21" i="13" s="1"/>
  <c r="F5" i="8"/>
  <c r="C8" i="13" s="1"/>
  <c r="H11" i="8"/>
  <c r="G5" i="8"/>
  <c r="F12" i="8"/>
  <c r="C15" i="13" s="1"/>
  <c r="H18" i="8"/>
  <c r="G48" i="8"/>
  <c r="H5" i="8"/>
  <c r="G12" i="8"/>
  <c r="H47" i="8"/>
  <c r="F6" i="8"/>
  <c r="C9" i="13" s="1"/>
  <c r="H12" i="8"/>
  <c r="F48" i="8"/>
  <c r="C51" i="13" s="1"/>
  <c r="E66" i="8"/>
  <c r="B75" i="8"/>
  <c r="AD75" i="8" s="1"/>
  <c r="C75" i="8"/>
  <c r="AE75" i="8" s="1"/>
  <c r="D75" i="8"/>
  <c r="AF75" i="8" s="1"/>
  <c r="E75" i="8"/>
  <c r="AG75" i="8" s="1"/>
  <c r="B100" i="8"/>
  <c r="AD100" i="8" s="1"/>
  <c r="C100" i="8"/>
  <c r="AE100" i="8" s="1"/>
  <c r="D100" i="8"/>
  <c r="AF100" i="8" s="1"/>
  <c r="G47" i="8"/>
  <c r="E100" i="8"/>
  <c r="AG100" i="8" s="1"/>
  <c r="H36" i="8"/>
  <c r="B57" i="8"/>
  <c r="C57" i="8"/>
  <c r="D59" i="8"/>
  <c r="B82" i="8"/>
  <c r="AD82" i="8" s="1"/>
  <c r="H23" i="8"/>
  <c r="C82" i="8"/>
  <c r="AE82" i="8" s="1"/>
  <c r="F24" i="8"/>
  <c r="C27" i="13" s="1"/>
  <c r="D84" i="8"/>
  <c r="AF84" i="8" s="1"/>
  <c r="G24" i="8"/>
  <c r="E84" i="8"/>
  <c r="AG84" i="8" s="1"/>
  <c r="H24" i="8"/>
  <c r="H44" i="8"/>
  <c r="B91" i="8"/>
  <c r="AD91" i="8" s="1"/>
  <c r="H35" i="8"/>
  <c r="C91" i="8"/>
  <c r="AE91" i="8" s="1"/>
  <c r="F36" i="8"/>
  <c r="C39" i="13" s="1"/>
  <c r="D91" i="8"/>
  <c r="AF91" i="8" s="1"/>
  <c r="G36" i="8"/>
  <c r="E91" i="8"/>
  <c r="AG91" i="8" s="1"/>
  <c r="B76" i="8"/>
  <c r="AD76" i="8" s="1"/>
  <c r="F37" i="8"/>
  <c r="C40" i="13" s="1"/>
  <c r="E94" i="8"/>
  <c r="AG94" i="8" s="1"/>
  <c r="B77" i="8"/>
  <c r="AD77" i="8" s="1"/>
  <c r="F41" i="8"/>
  <c r="C44" i="13" s="1"/>
  <c r="D79" i="8"/>
  <c r="AF79" i="8" s="1"/>
  <c r="H41" i="8"/>
  <c r="B80" i="8"/>
  <c r="AD80" i="8" s="1"/>
  <c r="G42" i="8"/>
  <c r="C55" i="8"/>
  <c r="C62" i="8"/>
  <c r="C71" i="8"/>
  <c r="AE71" i="8" s="1"/>
  <c r="C80" i="8"/>
  <c r="AE80" i="8" s="1"/>
  <c r="C87" i="8"/>
  <c r="AE87" i="8" s="1"/>
  <c r="C96" i="8"/>
  <c r="AE96" i="8" s="1"/>
  <c r="G21" i="8"/>
  <c r="H30" i="8"/>
  <c r="H42" i="8"/>
  <c r="B60" i="8"/>
  <c r="C67" i="8"/>
  <c r="F28" i="8"/>
  <c r="C31" i="13" s="1"/>
  <c r="E69" i="8"/>
  <c r="AG69" i="8" s="1"/>
  <c r="H28" i="8"/>
  <c r="B52" i="8"/>
  <c r="C77" i="8"/>
  <c r="AE77" i="8" s="1"/>
  <c r="D61" i="8"/>
  <c r="E70" i="8"/>
  <c r="AG70" i="8" s="1"/>
  <c r="F30" i="8"/>
  <c r="C33" i="13" s="1"/>
  <c r="D55" i="8"/>
  <c r="D64" i="8"/>
  <c r="D71" i="8"/>
  <c r="AF71" i="8" s="1"/>
  <c r="D80" i="8"/>
  <c r="AF80" i="8" s="1"/>
  <c r="D89" i="8"/>
  <c r="AF89" i="8" s="1"/>
  <c r="D96" i="8"/>
  <c r="AF96" i="8" s="1"/>
  <c r="H21" i="8"/>
  <c r="F31" i="8"/>
  <c r="C34" i="13" s="1"/>
  <c r="F43" i="8"/>
  <c r="C46" i="13" s="1"/>
  <c r="B67" i="8"/>
  <c r="H27" i="8"/>
  <c r="D94" i="8"/>
  <c r="AF94" i="8" s="1"/>
  <c r="C70" i="8"/>
  <c r="AE70" i="8" s="1"/>
  <c r="G29" i="8"/>
  <c r="D70" i="8"/>
  <c r="AF70" i="8" s="1"/>
  <c r="H29" i="8"/>
  <c r="E86" i="8"/>
  <c r="AG86" i="8" s="1"/>
  <c r="B62" i="8"/>
  <c r="G30" i="8"/>
  <c r="E55" i="8"/>
  <c r="E64" i="8"/>
  <c r="E71" i="8"/>
  <c r="AG71" i="8" s="1"/>
  <c r="E80" i="8"/>
  <c r="AG80" i="8" s="1"/>
  <c r="E89" i="8"/>
  <c r="AG89" i="8" s="1"/>
  <c r="E96" i="8"/>
  <c r="AG96" i="8" s="1"/>
  <c r="F22" i="8"/>
  <c r="C25" i="13" s="1"/>
  <c r="G31" i="8"/>
  <c r="G43" i="8"/>
  <c r="B92" i="8"/>
  <c r="AD92" i="8" s="1"/>
  <c r="C92" i="8"/>
  <c r="AE92" i="8" s="1"/>
  <c r="D85" i="8"/>
  <c r="AF85" i="8" s="1"/>
  <c r="E76" i="8"/>
  <c r="AG76" i="8" s="1"/>
  <c r="F38" i="8"/>
  <c r="C41" i="13" s="1"/>
  <c r="B61" i="8"/>
  <c r="C52" i="8"/>
  <c r="D86" i="8"/>
  <c r="AF86" i="8" s="1"/>
  <c r="E61" i="8"/>
  <c r="B55" i="8"/>
  <c r="B56" i="8"/>
  <c r="B65" i="8"/>
  <c r="B72" i="8"/>
  <c r="AD72" i="8" s="1"/>
  <c r="B81" i="8"/>
  <c r="AD81" i="8" s="1"/>
  <c r="B90" i="8"/>
  <c r="AD90" i="8" s="1"/>
  <c r="B97" i="8"/>
  <c r="AD97" i="8" s="1"/>
  <c r="G22" i="8"/>
  <c r="G34" i="8"/>
  <c r="H43" i="8"/>
  <c r="C60" i="8"/>
  <c r="D60" i="8"/>
  <c r="B86" i="8"/>
  <c r="AD86" i="8" s="1"/>
  <c r="C86" i="8"/>
  <c r="AE86" i="8" s="1"/>
  <c r="D95" i="8"/>
  <c r="AF95" i="8" s="1"/>
  <c r="E54" i="8"/>
  <c r="B96" i="8"/>
  <c r="AD96" i="8" s="1"/>
  <c r="C56" i="8"/>
  <c r="C65" i="8"/>
  <c r="C72" i="8"/>
  <c r="AE72" i="8" s="1"/>
  <c r="C81" i="8"/>
  <c r="AE81" i="8" s="1"/>
  <c r="C90" i="8"/>
  <c r="AE90" i="8" s="1"/>
  <c r="C97" i="8"/>
  <c r="AE97" i="8" s="1"/>
  <c r="H22" i="8"/>
  <c r="H34" i="8"/>
  <c r="F44" i="8"/>
  <c r="C47" i="13" s="1"/>
  <c r="B85" i="8"/>
  <c r="AD85" i="8" s="1"/>
  <c r="C85" i="8"/>
  <c r="AE85" i="8" s="1"/>
  <c r="D69" i="8"/>
  <c r="AF69" i="8" s="1"/>
  <c r="G28" i="8"/>
  <c r="E85" i="8"/>
  <c r="AG85" i="8" s="1"/>
  <c r="B70" i="8"/>
  <c r="AD70" i="8" s="1"/>
  <c r="F29" i="8"/>
  <c r="C32" i="13" s="1"/>
  <c r="C95" i="8"/>
  <c r="AE95" i="8" s="1"/>
  <c r="D54" i="8"/>
  <c r="E79" i="8"/>
  <c r="AG79" i="8" s="1"/>
  <c r="F42" i="8"/>
  <c r="C45" i="13" s="1"/>
  <c r="B71" i="8"/>
  <c r="AD71" i="8" s="1"/>
  <c r="F21" i="8"/>
  <c r="C24" i="13" s="1"/>
  <c r="D56" i="8"/>
  <c r="D65" i="8"/>
  <c r="D74" i="8"/>
  <c r="AF74" i="8" s="1"/>
  <c r="D81" i="8"/>
  <c r="AF81" i="8" s="1"/>
  <c r="D90" i="8"/>
  <c r="AF90" i="8" s="1"/>
  <c r="D99" i="8"/>
  <c r="AF99" i="8" s="1"/>
  <c r="F23" i="8"/>
  <c r="C26" i="13" s="1"/>
  <c r="F35" i="8"/>
  <c r="C38" i="13" s="1"/>
  <c r="G44" i="8"/>
  <c r="C76" i="8"/>
  <c r="AE76" i="8" s="1"/>
  <c r="G37" i="8"/>
  <c r="D76" i="8"/>
  <c r="AF76" i="8" s="1"/>
  <c r="H37" i="8"/>
  <c r="E60" i="8"/>
  <c r="B95" i="8"/>
  <c r="AD95" i="8" s="1"/>
  <c r="C61" i="8"/>
  <c r="E95" i="8"/>
  <c r="AG95" i="8" s="1"/>
  <c r="B87" i="8"/>
  <c r="AD87" i="8" s="1"/>
  <c r="E56" i="8"/>
  <c r="E65" i="8"/>
  <c r="E74" i="8"/>
  <c r="AG74" i="8" s="1"/>
  <c r="E81" i="8"/>
  <c r="AG81" i="8" s="1"/>
  <c r="E90" i="8"/>
  <c r="AG90" i="8" s="1"/>
  <c r="E99" i="8"/>
  <c r="AG99" i="8" s="1"/>
  <c r="G23" i="8"/>
  <c r="G35" i="8"/>
  <c r="D52" i="8"/>
  <c r="D57" i="8"/>
  <c r="D62" i="8"/>
  <c r="D67" i="8"/>
  <c r="D72" i="8"/>
  <c r="AF72" i="8" s="1"/>
  <c r="D77" i="8"/>
  <c r="AF77" i="8" s="1"/>
  <c r="D82" i="8"/>
  <c r="AF82" i="8" s="1"/>
  <c r="D87" i="8"/>
  <c r="AF87" i="8" s="1"/>
  <c r="D92" i="8"/>
  <c r="AF92" i="8" s="1"/>
  <c r="D97" i="8"/>
  <c r="AF97" i="8" s="1"/>
  <c r="F25" i="8"/>
  <c r="C28" i="13" s="1"/>
  <c r="H31" i="8"/>
  <c r="G38" i="8"/>
  <c r="F45" i="8"/>
  <c r="C48" i="13" s="1"/>
  <c r="E52" i="8"/>
  <c r="E57" i="8"/>
  <c r="E62" i="8"/>
  <c r="E67" i="8"/>
  <c r="E72" i="8"/>
  <c r="AG72" i="8" s="1"/>
  <c r="E77" i="8"/>
  <c r="AG77" i="8" s="1"/>
  <c r="E82" i="8"/>
  <c r="AG82" i="8" s="1"/>
  <c r="E87" i="8"/>
  <c r="AG87" i="8" s="1"/>
  <c r="E92" i="8"/>
  <c r="AG92" i="8" s="1"/>
  <c r="E97" i="8"/>
  <c r="AG97" i="8" s="1"/>
  <c r="G25" i="8"/>
  <c r="F32" i="8"/>
  <c r="C35" i="13" s="1"/>
  <c r="H38" i="8"/>
  <c r="G45" i="8"/>
  <c r="B53" i="8"/>
  <c r="B58" i="8"/>
  <c r="B63" i="8"/>
  <c r="B68" i="8"/>
  <c r="AD68" i="8" s="1"/>
  <c r="B73" i="8"/>
  <c r="AD73" i="8" s="1"/>
  <c r="B78" i="8"/>
  <c r="AD78" i="8" s="1"/>
  <c r="B83" i="8"/>
  <c r="AD83" i="8" s="1"/>
  <c r="B88" i="8"/>
  <c r="AD88" i="8" s="1"/>
  <c r="B93" i="8"/>
  <c r="AD93" i="8" s="1"/>
  <c r="B98" i="8"/>
  <c r="AD98" i="8" s="1"/>
  <c r="F19" i="8"/>
  <c r="C22" i="13" s="1"/>
  <c r="H25" i="8"/>
  <c r="G32" i="8"/>
  <c r="F39" i="8"/>
  <c r="C42" i="13" s="1"/>
  <c r="H45" i="8"/>
  <c r="C53" i="8"/>
  <c r="C58" i="8"/>
  <c r="C63" i="8"/>
  <c r="C68" i="8"/>
  <c r="AE68" i="8" s="1"/>
  <c r="C73" i="8"/>
  <c r="AE73" i="8" s="1"/>
  <c r="C78" i="8"/>
  <c r="AE78" i="8" s="1"/>
  <c r="C83" i="8"/>
  <c r="AE83" i="8" s="1"/>
  <c r="C88" i="8"/>
  <c r="AE88" i="8" s="1"/>
  <c r="C93" i="8"/>
  <c r="AE93" i="8" s="1"/>
  <c r="C98" i="8"/>
  <c r="AE98" i="8" s="1"/>
  <c r="G19" i="8"/>
  <c r="F26" i="8"/>
  <c r="C29" i="13" s="1"/>
  <c r="H32" i="8"/>
  <c r="G39" i="8"/>
  <c r="F46" i="8"/>
  <c r="C49" i="13" s="1"/>
  <c r="D53" i="8"/>
  <c r="D58" i="8"/>
  <c r="D63" i="8"/>
  <c r="D68" i="8"/>
  <c r="AF68" i="8" s="1"/>
  <c r="D73" i="8"/>
  <c r="AF73" i="8" s="1"/>
  <c r="D78" i="8"/>
  <c r="AF78" i="8" s="1"/>
  <c r="D83" i="8"/>
  <c r="AF83" i="8" s="1"/>
  <c r="D88" i="8"/>
  <c r="AF88" i="8" s="1"/>
  <c r="D93" i="8"/>
  <c r="AF93" i="8" s="1"/>
  <c r="D98" i="8"/>
  <c r="AF98" i="8" s="1"/>
  <c r="H19" i="8"/>
  <c r="G26" i="8"/>
  <c r="F33" i="8"/>
  <c r="C36" i="13" s="1"/>
  <c r="H39" i="8"/>
  <c r="G46" i="8"/>
  <c r="E53" i="8"/>
  <c r="E58" i="8"/>
  <c r="E63" i="8"/>
  <c r="E68" i="8"/>
  <c r="AG68" i="8" s="1"/>
  <c r="E73" i="8"/>
  <c r="AG73" i="8" s="1"/>
  <c r="E78" i="8"/>
  <c r="AG78" i="8" s="1"/>
  <c r="E83" i="8"/>
  <c r="AG83" i="8" s="1"/>
  <c r="E88" i="8"/>
  <c r="AG88" i="8" s="1"/>
  <c r="E93" i="8"/>
  <c r="AG93" i="8" s="1"/>
  <c r="E98" i="8"/>
  <c r="AG98" i="8" s="1"/>
  <c r="F20" i="8"/>
  <c r="C23" i="13" s="1"/>
  <c r="H26" i="8"/>
  <c r="G33" i="8"/>
  <c r="F40" i="8"/>
  <c r="C43" i="13" s="1"/>
  <c r="H46" i="8"/>
  <c r="B54" i="8"/>
  <c r="B59" i="8"/>
  <c r="B64" i="8"/>
  <c r="B69" i="8"/>
  <c r="AD69" i="8" s="1"/>
  <c r="B74" i="8"/>
  <c r="AD74" i="8" s="1"/>
  <c r="B79" i="8"/>
  <c r="AD79" i="8" s="1"/>
  <c r="B84" i="8"/>
  <c r="AD84" i="8" s="1"/>
  <c r="B89" i="8"/>
  <c r="AD89" i="8" s="1"/>
  <c r="B94" i="8"/>
  <c r="AD94" i="8" s="1"/>
  <c r="B99" i="8"/>
  <c r="AD99" i="8" s="1"/>
  <c r="G20" i="8"/>
  <c r="F27" i="8"/>
  <c r="C30" i="13" s="1"/>
  <c r="H33" i="8"/>
  <c r="G40" i="8"/>
  <c r="F47" i="8"/>
  <c r="C50" i="13" s="1"/>
  <c r="C54" i="8"/>
  <c r="C59" i="8"/>
  <c r="C64" i="8"/>
  <c r="C69" i="8"/>
  <c r="AE69" i="8" s="1"/>
  <c r="C74" i="8"/>
  <c r="AE74" i="8" s="1"/>
  <c r="C79" i="8"/>
  <c r="AE79" i="8" s="1"/>
  <c r="C84" i="8"/>
  <c r="AE84" i="8" s="1"/>
  <c r="C89" i="8"/>
  <c r="AE89" i="8" s="1"/>
  <c r="C94" i="8"/>
  <c r="AE94" i="8" s="1"/>
  <c r="C99" i="8"/>
  <c r="AE99" i="8" s="1"/>
  <c r="H20" i="8"/>
  <c r="G27" i="8"/>
  <c r="F34" i="8"/>
  <c r="C37" i="13" s="1"/>
  <c r="H40" i="8"/>
  <c r="R141" i="7"/>
  <c r="R34" i="7"/>
  <c r="S32" i="7"/>
  <c r="P32" i="7"/>
  <c r="T32" i="7"/>
  <c r="R32" i="7"/>
  <c r="Q32" i="7"/>
  <c r="T14" i="7"/>
  <c r="T202" i="7"/>
  <c r="P173" i="7"/>
  <c r="P25" i="7"/>
  <c r="Q25" i="7"/>
  <c r="P17" i="7"/>
  <c r="T182" i="7"/>
  <c r="Q17" i="7"/>
  <c r="T13" i="7"/>
  <c r="S81" i="7"/>
  <c r="T147" i="7"/>
  <c r="T25" i="7"/>
  <c r="T81" i="7"/>
  <c r="T17" i="7"/>
  <c r="R17" i="7"/>
  <c r="S17" i="7"/>
  <c r="R21" i="7"/>
  <c r="S21" i="7"/>
  <c r="T66" i="7"/>
  <c r="T121" i="7"/>
  <c r="T56" i="7"/>
  <c r="Q107" i="7"/>
  <c r="R56" i="7"/>
  <c r="T90" i="7"/>
  <c r="T118" i="7"/>
  <c r="T187" i="7"/>
  <c r="Q78" i="7"/>
  <c r="T133" i="7"/>
  <c r="T148" i="7"/>
  <c r="T87" i="7"/>
  <c r="T31" i="7"/>
  <c r="G10" i="7" s="1"/>
  <c r="T105" i="7"/>
  <c r="T62" i="7"/>
  <c r="T136" i="7"/>
  <c r="Q83" i="7"/>
  <c r="T88" i="7"/>
  <c r="T104" i="7"/>
  <c r="T91" i="7"/>
  <c r="G23" i="7" s="1"/>
  <c r="T58" i="7"/>
  <c r="T129" i="7"/>
  <c r="T186" i="7"/>
  <c r="T183" i="7"/>
  <c r="T38" i="7"/>
  <c r="T61" i="7"/>
  <c r="T169" i="7"/>
  <c r="T106" i="7"/>
  <c r="Q77" i="7"/>
  <c r="T150" i="7"/>
  <c r="R110" i="7"/>
  <c r="T97" i="7"/>
  <c r="R188" i="7"/>
  <c r="R182" i="7"/>
  <c r="R42" i="7"/>
  <c r="T55" i="7"/>
  <c r="T11" i="7"/>
  <c r="T149" i="7"/>
  <c r="T67" i="7"/>
  <c r="T151" i="7"/>
  <c r="T103" i="7"/>
  <c r="T139" i="7"/>
  <c r="T8" i="7"/>
  <c r="T184" i="7"/>
  <c r="T188" i="7"/>
  <c r="T42" i="7"/>
  <c r="T94" i="7"/>
  <c r="R103" i="7" l="1"/>
  <c r="R55" i="7"/>
  <c r="R66" i="7"/>
  <c r="R139" i="7"/>
  <c r="R8" i="7"/>
  <c r="Q143" i="7"/>
  <c r="R187" i="7"/>
  <c r="R118" i="7"/>
  <c r="R104" i="7"/>
  <c r="R184" i="7"/>
  <c r="R90" i="7"/>
  <c r="R62" i="7"/>
  <c r="R105" i="7"/>
  <c r="Q80" i="7"/>
  <c r="R61" i="7"/>
  <c r="R121" i="7"/>
  <c r="R11" i="7"/>
  <c r="R88" i="7"/>
  <c r="R151" i="7"/>
  <c r="T30" i="7"/>
  <c r="T185" i="7"/>
  <c r="R14" i="7"/>
  <c r="R13" i="7"/>
  <c r="R67" i="7"/>
  <c r="R133" i="7"/>
  <c r="R185" i="7"/>
  <c r="R186" i="7"/>
  <c r="R97" i="7"/>
  <c r="R87" i="7"/>
  <c r="R147" i="7"/>
  <c r="R106" i="7"/>
  <c r="R58" i="7"/>
  <c r="R31" i="7"/>
  <c r="E10" i="7" s="1"/>
  <c r="L30" i="2" s="1"/>
  <c r="Q68" i="7"/>
  <c r="Q158" i="7"/>
  <c r="R150" i="7"/>
  <c r="R129" i="7"/>
  <c r="R30" i="7"/>
  <c r="R148" i="7"/>
  <c r="R169" i="7"/>
  <c r="R149" i="7"/>
  <c r="R136" i="7"/>
  <c r="R94" i="7"/>
  <c r="R91" i="7"/>
  <c r="E23" i="7" s="1"/>
  <c r="L34" i="2" s="1"/>
  <c r="R183" i="7"/>
  <c r="P68" i="7"/>
  <c r="P158" i="7"/>
  <c r="AD60" i="8"/>
  <c r="AF57" i="8"/>
  <c r="AF52" i="8"/>
  <c r="AD66" i="8"/>
  <c r="AF53" i="8"/>
  <c r="AD52" i="8"/>
  <c r="AE54" i="8"/>
  <c r="AE63" i="8"/>
  <c r="AD54" i="8"/>
  <c r="AF67" i="8"/>
  <c r="AF58" i="8"/>
  <c r="AG67" i="8"/>
  <c r="AG62" i="8"/>
  <c r="AE62" i="8"/>
  <c r="AD53" i="8"/>
  <c r="AF60" i="8"/>
  <c r="AG57" i="8"/>
  <c r="AG64" i="8"/>
  <c r="AF64" i="8"/>
  <c r="AE55" i="8"/>
  <c r="AG59" i="8"/>
  <c r="AE60" i="8"/>
  <c r="AF63" i="8"/>
  <c r="AG58" i="8"/>
  <c r="AG52" i="8"/>
  <c r="AF65" i="8"/>
  <c r="AD65" i="8"/>
  <c r="AG55" i="8"/>
  <c r="AF55" i="8"/>
  <c r="AE61" i="8"/>
  <c r="AD61" i="8"/>
  <c r="AF66" i="8"/>
  <c r="AE66" i="8"/>
  <c r="AE58" i="8"/>
  <c r="AG63" i="8"/>
  <c r="AG53" i="8"/>
  <c r="AG65" i="8"/>
  <c r="AF56" i="8"/>
  <c r="AD56" i="8"/>
  <c r="AD58" i="8"/>
  <c r="AE64" i="8"/>
  <c r="AF54" i="8"/>
  <c r="AE59" i="8"/>
  <c r="AG60" i="8"/>
  <c r="AF59" i="8"/>
  <c r="AG56" i="8"/>
  <c r="AD55" i="8"/>
  <c r="AD62" i="8"/>
  <c r="AE53" i="8"/>
  <c r="AD67" i="8"/>
  <c r="AD57" i="8"/>
  <c r="AE65" i="8"/>
  <c r="AG61" i="8"/>
  <c r="AF61" i="8"/>
  <c r="AE52" i="8"/>
  <c r="AG54" i="8"/>
  <c r="AE67" i="8"/>
  <c r="AF62" i="8"/>
  <c r="AE57" i="8"/>
  <c r="AD64" i="8"/>
  <c r="AD59" i="8"/>
  <c r="AD63" i="8"/>
  <c r="AE56" i="8"/>
  <c r="AG66" i="8"/>
  <c r="Q153" i="7"/>
  <c r="T167" i="7"/>
  <c r="T43" i="7"/>
  <c r="T162" i="7"/>
  <c r="T168" i="7"/>
  <c r="T74" i="7"/>
  <c r="T75" i="7"/>
  <c r="R43" i="7"/>
  <c r="R162" i="7"/>
  <c r="R168" i="7"/>
  <c r="R74" i="7"/>
  <c r="Q51" i="7"/>
  <c r="Q163" i="7"/>
  <c r="R75" i="7"/>
  <c r="R76" i="7"/>
  <c r="Q151" i="7"/>
  <c r="Q106" i="7"/>
  <c r="R167" i="7"/>
  <c r="R179" i="7"/>
  <c r="T37" i="7"/>
  <c r="R16" i="7"/>
  <c r="T180" i="7"/>
  <c r="T16" i="7"/>
  <c r="R37" i="7"/>
  <c r="T47" i="7"/>
  <c r="T196" i="7"/>
  <c r="Q105" i="7"/>
  <c r="T83" i="7"/>
  <c r="Q103" i="7"/>
  <c r="T77" i="7"/>
  <c r="P20" i="7"/>
  <c r="T107" i="7"/>
  <c r="P24" i="7"/>
  <c r="T143" i="7"/>
  <c r="Q104" i="7"/>
  <c r="Q133" i="7"/>
  <c r="Q97" i="7"/>
  <c r="Q76" i="7"/>
  <c r="Q91" i="7"/>
  <c r="D23" i="7" s="1"/>
  <c r="K34" i="2" s="1"/>
  <c r="Q87" i="7"/>
  <c r="Q136" i="7"/>
  <c r="Q24" i="7"/>
  <c r="Q20" i="7"/>
  <c r="Q67" i="7"/>
  <c r="T80" i="7"/>
  <c r="T78" i="7"/>
  <c r="P81" i="7"/>
  <c r="Q8" i="7"/>
  <c r="Q55" i="7"/>
  <c r="Q139" i="7"/>
  <c r="Q187" i="7"/>
  <c r="P51" i="7"/>
  <c r="P135" i="7"/>
  <c r="P50" i="7"/>
  <c r="P146" i="7"/>
  <c r="T51" i="7"/>
  <c r="Q196" i="7"/>
  <c r="P19" i="7"/>
  <c r="T160" i="7"/>
  <c r="Q74" i="7"/>
  <c r="T135" i="7"/>
  <c r="S18" i="7"/>
  <c r="S26" i="7"/>
  <c r="F8" i="7" s="1"/>
  <c r="M11" i="2" s="1"/>
  <c r="E10" i="8" s="1"/>
  <c r="O10" i="8" s="1"/>
  <c r="T10" i="8" s="1"/>
  <c r="Y10" i="8" s="1"/>
  <c r="T5" i="7"/>
  <c r="T7" i="7"/>
  <c r="P128" i="7"/>
  <c r="P86" i="7"/>
  <c r="P160" i="7"/>
  <c r="P6" i="7"/>
  <c r="P93" i="7"/>
  <c r="T163" i="7"/>
  <c r="P161" i="7"/>
  <c r="R83" i="7"/>
  <c r="T102" i="7"/>
  <c r="T159" i="7"/>
  <c r="S87" i="7"/>
  <c r="Q167" i="7"/>
  <c r="R143" i="7"/>
  <c r="T19" i="7"/>
  <c r="P77" i="7"/>
  <c r="T23" i="7"/>
  <c r="S106" i="7"/>
  <c r="S110" i="7"/>
  <c r="R196" i="7"/>
  <c r="T33" i="7"/>
  <c r="R47" i="7"/>
  <c r="Q18" i="7"/>
  <c r="S24" i="7"/>
  <c r="Q22" i="7"/>
  <c r="Q49" i="7"/>
  <c r="S97" i="7"/>
  <c r="R33" i="7"/>
  <c r="S67" i="7"/>
  <c r="P151" i="7"/>
  <c r="S55" i="7"/>
  <c r="R102" i="7"/>
  <c r="S136" i="7"/>
  <c r="Q6" i="7"/>
  <c r="S149" i="7"/>
  <c r="S93" i="7"/>
  <c r="S83" i="7"/>
  <c r="S107" i="7"/>
  <c r="R85" i="7"/>
  <c r="R24" i="7"/>
  <c r="R48" i="7"/>
  <c r="Q72" i="7"/>
  <c r="R73" i="7"/>
  <c r="Q27" i="7"/>
  <c r="D8" i="7" s="1"/>
  <c r="K11" i="2" s="1"/>
  <c r="S88" i="7"/>
  <c r="S153" i="7"/>
  <c r="S163" i="7"/>
  <c r="S62" i="7"/>
  <c r="R128" i="7"/>
  <c r="Q135" i="7"/>
  <c r="S146" i="7"/>
  <c r="Q102" i="7"/>
  <c r="Q19" i="7"/>
  <c r="S6" i="7"/>
  <c r="S85" i="7"/>
  <c r="S72" i="7"/>
  <c r="R72" i="7"/>
  <c r="S116" i="7"/>
  <c r="S77" i="7"/>
  <c r="S56" i="7"/>
  <c r="S147" i="7"/>
  <c r="Q89" i="7"/>
  <c r="S73" i="7"/>
  <c r="Q160" i="7"/>
  <c r="T26" i="7"/>
  <c r="G8" i="7" s="1"/>
  <c r="R5" i="7"/>
  <c r="T144" i="7"/>
  <c r="R7" i="7"/>
  <c r="R160" i="7"/>
  <c r="Q93" i="7"/>
  <c r="Q128" i="7"/>
  <c r="R144" i="7"/>
  <c r="Q85" i="7"/>
  <c r="Q144" i="7"/>
  <c r="R161" i="7"/>
  <c r="S121" i="7"/>
  <c r="R89" i="7"/>
  <c r="S7" i="7"/>
  <c r="S51" i="7"/>
  <c r="T153" i="7"/>
  <c r="Q162" i="7"/>
  <c r="Q50" i="7"/>
  <c r="S50" i="7"/>
  <c r="S135" i="7"/>
  <c r="S94" i="7"/>
  <c r="Q23" i="7"/>
  <c r="S11" i="7"/>
  <c r="S89" i="7"/>
  <c r="Q86" i="7"/>
  <c r="Q116" i="7"/>
  <c r="Q73" i="7"/>
  <c r="S20" i="7"/>
  <c r="S42" i="7"/>
  <c r="S128" i="7"/>
  <c r="R135" i="7"/>
  <c r="Q7" i="7"/>
  <c r="Q29" i="7"/>
  <c r="P75" i="7"/>
  <c r="Q161" i="7"/>
  <c r="R93" i="7"/>
  <c r="S133" i="7"/>
  <c r="S79" i="7"/>
  <c r="S169" i="7"/>
  <c r="S5" i="7"/>
  <c r="R6" i="7"/>
  <c r="S117" i="7"/>
  <c r="Q117" i="7"/>
  <c r="R146" i="7"/>
  <c r="S188" i="7"/>
  <c r="S118" i="7"/>
  <c r="S102" i="7"/>
  <c r="R86" i="7"/>
  <c r="R117" i="7"/>
  <c r="R50" i="7"/>
  <c r="S29" i="7"/>
  <c r="S148" i="7"/>
  <c r="R116" i="7"/>
  <c r="P104" i="7"/>
  <c r="S78" i="7"/>
  <c r="S86" i="7"/>
  <c r="Q5" i="7"/>
  <c r="P94" i="7"/>
  <c r="T22" i="7"/>
  <c r="S185" i="7"/>
  <c r="S144" i="7"/>
  <c r="R29" i="7"/>
  <c r="R82" i="7"/>
  <c r="S34" i="7"/>
  <c r="P74" i="7"/>
  <c r="P182" i="7"/>
  <c r="S37" i="7"/>
  <c r="P8" i="7"/>
  <c r="P76" i="7"/>
  <c r="P139" i="7"/>
  <c r="P26" i="7"/>
  <c r="R80" i="7"/>
  <c r="S19" i="7"/>
  <c r="P149" i="7"/>
  <c r="P90" i="7"/>
  <c r="T34" i="7"/>
  <c r="T146" i="7"/>
  <c r="P136" i="7"/>
  <c r="Q169" i="7"/>
  <c r="Q38" i="7"/>
  <c r="P66" i="7"/>
  <c r="Q118" i="7"/>
  <c r="P121" i="7"/>
  <c r="P116" i="7"/>
  <c r="S180" i="7"/>
  <c r="S167" i="7"/>
  <c r="S75" i="7"/>
  <c r="T73" i="7"/>
  <c r="Q61" i="7"/>
  <c r="P73" i="7"/>
  <c r="S47" i="7"/>
  <c r="P55" i="7"/>
  <c r="T72" i="7"/>
  <c r="T50" i="7"/>
  <c r="P159" i="7"/>
  <c r="S74" i="7"/>
  <c r="R28" i="7"/>
  <c r="Q48" i="7"/>
  <c r="Q157" i="7"/>
  <c r="S139" i="7"/>
  <c r="Q149" i="7"/>
  <c r="P183" i="7"/>
  <c r="S104" i="7"/>
  <c r="Q30" i="7"/>
  <c r="S183" i="7"/>
  <c r="P144" i="7"/>
  <c r="S90" i="7"/>
  <c r="P102" i="7"/>
  <c r="Q82" i="7"/>
  <c r="S16" i="7"/>
  <c r="Q47" i="7"/>
  <c r="S76" i="7"/>
  <c r="P184" i="7"/>
  <c r="R22" i="7"/>
  <c r="P78" i="7"/>
  <c r="P67" i="7"/>
  <c r="P18" i="7"/>
  <c r="S184" i="7"/>
  <c r="Q56" i="7"/>
  <c r="S38" i="7"/>
  <c r="R18" i="7"/>
  <c r="E6" i="7" s="1"/>
  <c r="L9" i="2" s="1"/>
  <c r="P61" i="7"/>
  <c r="S186" i="7"/>
  <c r="P56" i="7"/>
  <c r="Q31" i="7"/>
  <c r="D10" i="7" s="1"/>
  <c r="K30" i="2" s="1"/>
  <c r="S143" i="7"/>
  <c r="T89" i="7"/>
  <c r="G22" i="7" s="1"/>
  <c r="P85" i="7"/>
  <c r="P29" i="7"/>
  <c r="P14" i="7"/>
  <c r="T49" i="7"/>
  <c r="S141" i="7"/>
  <c r="P157" i="7"/>
  <c r="R79" i="7"/>
  <c r="P11" i="7"/>
  <c r="T24" i="7"/>
  <c r="Q168" i="7"/>
  <c r="Q11" i="7"/>
  <c r="S61" i="7"/>
  <c r="Q62" i="7"/>
  <c r="T117" i="7"/>
  <c r="Q58" i="7"/>
  <c r="Q90" i="7"/>
  <c r="P118" i="7"/>
  <c r="Q183" i="7"/>
  <c r="P38" i="7"/>
  <c r="S129" i="7"/>
  <c r="R78" i="7"/>
  <c r="T116" i="7"/>
  <c r="T20" i="7"/>
  <c r="P167" i="7"/>
  <c r="R77" i="7"/>
  <c r="P187" i="7"/>
  <c r="P47" i="7"/>
  <c r="T157" i="7"/>
  <c r="P27" i="7"/>
  <c r="R153" i="7"/>
  <c r="P7" i="7"/>
  <c r="P185" i="7"/>
  <c r="S66" i="7"/>
  <c r="P89" i="7"/>
  <c r="S8" i="7"/>
  <c r="R23" i="7"/>
  <c r="Q129" i="7"/>
  <c r="Q94" i="7"/>
  <c r="P107" i="7"/>
  <c r="T6" i="7"/>
  <c r="Q147" i="7"/>
  <c r="Q34" i="7"/>
  <c r="P153" i="7"/>
  <c r="P31" i="7"/>
  <c r="C10" i="7" s="1"/>
  <c r="J30" i="2" s="1"/>
  <c r="S33" i="7"/>
  <c r="R27" i="7"/>
  <c r="P106" i="7"/>
  <c r="P147" i="7"/>
  <c r="P48" i="7"/>
  <c r="S23" i="7"/>
  <c r="S168" i="7"/>
  <c r="P5" i="7"/>
  <c r="P148" i="7"/>
  <c r="P186" i="7"/>
  <c r="Q42" i="7"/>
  <c r="S150" i="7"/>
  <c r="P91" i="7"/>
  <c r="C23" i="7" s="1"/>
  <c r="J34" i="2" s="1"/>
  <c r="S91" i="7"/>
  <c r="F23" i="7" s="1"/>
  <c r="M34" i="2" s="1"/>
  <c r="P133" i="7"/>
  <c r="S105" i="7"/>
  <c r="R107" i="7"/>
  <c r="T128" i="7"/>
  <c r="Q13" i="7"/>
  <c r="Q141" i="7"/>
  <c r="P168" i="7"/>
  <c r="S49" i="7"/>
  <c r="S159" i="7"/>
  <c r="S161" i="7"/>
  <c r="P169" i="7"/>
  <c r="P80" i="7"/>
  <c r="T110" i="7"/>
  <c r="P13" i="7"/>
  <c r="T161" i="7"/>
  <c r="P23" i="7"/>
  <c r="T85" i="7"/>
  <c r="S58" i="7"/>
  <c r="S103" i="7"/>
  <c r="Q182" i="7"/>
  <c r="P30" i="7"/>
  <c r="S30" i="7"/>
  <c r="P62" i="7"/>
  <c r="P87" i="7"/>
  <c r="P196" i="7"/>
  <c r="S196" i="7"/>
  <c r="T29" i="7"/>
  <c r="P34" i="7"/>
  <c r="P72" i="7"/>
  <c r="P162" i="7"/>
  <c r="R51" i="7"/>
  <c r="P42" i="7"/>
  <c r="P129" i="7"/>
  <c r="P141" i="7"/>
  <c r="P97" i="7"/>
  <c r="Q186" i="7"/>
  <c r="Q66" i="7"/>
  <c r="S43" i="7"/>
  <c r="S187" i="7"/>
  <c r="Q188" i="7"/>
  <c r="Q185" i="7"/>
  <c r="S14" i="7"/>
  <c r="P163" i="7"/>
  <c r="P188" i="7"/>
  <c r="P83" i="7"/>
  <c r="P103" i="7"/>
  <c r="P117" i="7"/>
  <c r="S182" i="7"/>
  <c r="Q121" i="7"/>
  <c r="P58" i="7"/>
  <c r="Q150" i="7"/>
  <c r="P105" i="7"/>
  <c r="T93" i="7"/>
  <c r="P150" i="7"/>
  <c r="S151" i="7"/>
  <c r="Q184" i="7"/>
  <c r="Q88" i="7"/>
  <c r="P88" i="7"/>
  <c r="S31" i="7"/>
  <c r="F10" i="7" s="1"/>
  <c r="M30" i="2" s="1"/>
  <c r="Q148" i="7"/>
  <c r="S13" i="7"/>
  <c r="Q75" i="7"/>
  <c r="P156" i="7"/>
  <c r="P154" i="7"/>
  <c r="R45" i="7"/>
  <c r="T170" i="7"/>
  <c r="T156" i="7"/>
  <c r="S156" i="7"/>
  <c r="S197" i="7"/>
  <c r="P170" i="7"/>
  <c r="Q173" i="7"/>
  <c r="R189" i="7"/>
  <c r="P197" i="7"/>
  <c r="Q179" i="7"/>
  <c r="Q200" i="7"/>
  <c r="Q155" i="7"/>
  <c r="Q189" i="7"/>
  <c r="P164" i="7"/>
  <c r="P165" i="7"/>
  <c r="P155" i="7"/>
  <c r="S170" i="7"/>
  <c r="R170" i="7"/>
  <c r="R44" i="7"/>
  <c r="P179" i="7"/>
  <c r="R154" i="7"/>
  <c r="Q165" i="7"/>
  <c r="Q164" i="7"/>
  <c r="P189" i="7"/>
  <c r="Q156" i="7"/>
  <c r="Q44" i="7"/>
  <c r="Q45" i="7"/>
  <c r="R200" i="7"/>
  <c r="P200" i="7"/>
  <c r="R173" i="7"/>
  <c r="Q170" i="7"/>
  <c r="T44" i="7"/>
  <c r="T164" i="7"/>
  <c r="T165" i="7"/>
  <c r="T154" i="7"/>
  <c r="T155" i="7"/>
  <c r="T45" i="7"/>
  <c r="T173" i="7"/>
  <c r="T189" i="7"/>
  <c r="S173" i="7"/>
  <c r="S200" i="7"/>
  <c r="S164" i="7"/>
  <c r="S165" i="7"/>
  <c r="S189" i="7"/>
  <c r="S154" i="7"/>
  <c r="R155" i="7"/>
  <c r="R165" i="7"/>
  <c r="R164" i="7"/>
  <c r="G45" i="7"/>
  <c r="P145" i="7"/>
  <c r="P152" i="7"/>
  <c r="S145" i="7"/>
  <c r="S152" i="7"/>
  <c r="R152" i="7"/>
  <c r="R145" i="7"/>
  <c r="T145" i="7"/>
  <c r="T152" i="7"/>
  <c r="Q145" i="7"/>
  <c r="Q152" i="7"/>
  <c r="P16" i="7"/>
  <c r="P37" i="7"/>
  <c r="P9" i="7"/>
  <c r="P44" i="7"/>
  <c r="C14" i="7" s="1"/>
  <c r="P53" i="7"/>
  <c r="P54" i="7"/>
  <c r="P46" i="7"/>
  <c r="P52" i="7"/>
  <c r="S130" i="7"/>
  <c r="S44" i="7"/>
  <c r="S54" i="7"/>
  <c r="S53" i="7"/>
  <c r="S52" i="7"/>
  <c r="S46" i="7"/>
  <c r="R54" i="7"/>
  <c r="R52" i="7"/>
  <c r="R53" i="7"/>
  <c r="R46" i="7"/>
  <c r="T181" i="7"/>
  <c r="T46" i="7"/>
  <c r="T54" i="7"/>
  <c r="T52" i="7"/>
  <c r="T53" i="7"/>
  <c r="Q54" i="7"/>
  <c r="Q52" i="7"/>
  <c r="Q46" i="7"/>
  <c r="Q53" i="7"/>
  <c r="AA69" i="8"/>
  <c r="AB69" i="8" s="1"/>
  <c r="BD69" i="8" s="1"/>
  <c r="R122" i="7"/>
  <c r="Q9" i="7"/>
  <c r="P166" i="7"/>
  <c r="S15" i="7"/>
  <c r="R137" i="7"/>
  <c r="T9" i="7"/>
  <c r="Q114" i="7"/>
  <c r="R177" i="7"/>
  <c r="S177" i="7"/>
  <c r="Q177" i="7"/>
  <c r="Q120" i="7"/>
  <c r="Q115" i="7"/>
  <c r="S176" i="7"/>
  <c r="S35" i="7"/>
  <c r="T176" i="7"/>
  <c r="T35" i="7"/>
  <c r="P176" i="7"/>
  <c r="P35" i="7"/>
  <c r="Q181" i="7"/>
  <c r="R176" i="7"/>
  <c r="R35" i="7"/>
  <c r="P177" i="7"/>
  <c r="Q92" i="7"/>
  <c r="T177" i="7"/>
  <c r="T36" i="7"/>
  <c r="Q113" i="7"/>
  <c r="S12" i="7"/>
  <c r="Q176" i="7"/>
  <c r="Q35" i="7"/>
  <c r="T127" i="7"/>
  <c r="T178" i="7"/>
  <c r="R115" i="7"/>
  <c r="R178" i="7"/>
  <c r="Q134" i="7"/>
  <c r="Q178" i="7"/>
  <c r="S84" i="7"/>
  <c r="S178" i="7"/>
  <c r="Q14" i="7"/>
  <c r="Q180" i="7"/>
  <c r="P84" i="7"/>
  <c r="P178" i="7"/>
  <c r="R84" i="7"/>
  <c r="R114" i="7"/>
  <c r="T113" i="7"/>
  <c r="Q127" i="7"/>
  <c r="P92" i="7"/>
  <c r="R113" i="7"/>
  <c r="R134" i="7"/>
  <c r="T115" i="7"/>
  <c r="R120" i="7"/>
  <c r="R60" i="7"/>
  <c r="R92" i="7"/>
  <c r="P113" i="7"/>
  <c r="T114" i="7"/>
  <c r="T134" i="7"/>
  <c r="T84" i="7"/>
  <c r="T120" i="7"/>
  <c r="T60" i="7"/>
  <c r="T92" i="7"/>
  <c r="P134" i="7"/>
  <c r="P120" i="7"/>
  <c r="P60" i="7"/>
  <c r="S114" i="7"/>
  <c r="S115" i="7"/>
  <c r="P114" i="7"/>
  <c r="S127" i="7"/>
  <c r="S113" i="7"/>
  <c r="S134" i="7"/>
  <c r="S92" i="7"/>
  <c r="S120" i="7"/>
  <c r="S60" i="7"/>
  <c r="Q60" i="7"/>
  <c r="P115" i="7"/>
  <c r="Q201" i="7"/>
  <c r="Q16" i="7"/>
  <c r="Q39" i="7"/>
  <c r="Q193" i="7"/>
  <c r="Q192" i="7"/>
  <c r="P12" i="7"/>
  <c r="Q15" i="7"/>
  <c r="Q12" i="7"/>
  <c r="R12" i="7"/>
  <c r="T12" i="7"/>
  <c r="Q171" i="7"/>
  <c r="Q122" i="7"/>
  <c r="Q166" i="7"/>
  <c r="Q174" i="7"/>
  <c r="Q190" i="7"/>
  <c r="Q119" i="7"/>
  <c r="Q64" i="7"/>
  <c r="Q198" i="7"/>
  <c r="Q109" i="7"/>
  <c r="S192" i="7"/>
  <c r="R181" i="7"/>
  <c r="Q108" i="7"/>
  <c r="S166" i="7"/>
  <c r="S63" i="7"/>
  <c r="R194" i="7"/>
  <c r="Q124" i="7"/>
  <c r="S40" i="7"/>
  <c r="R124" i="7"/>
  <c r="R119" i="7"/>
  <c r="S198" i="7"/>
  <c r="S109" i="7"/>
  <c r="S39" i="7"/>
  <c r="R193" i="7"/>
  <c r="S95" i="7"/>
  <c r="S201" i="7"/>
  <c r="R201" i="7"/>
  <c r="R123" i="7"/>
  <c r="R191" i="7"/>
  <c r="R109" i="7"/>
  <c r="R95" i="7"/>
  <c r="R64" i="7"/>
  <c r="S193" i="7"/>
  <c r="T171" i="7"/>
  <c r="T122" i="7"/>
  <c r="T166" i="7"/>
  <c r="T63" i="7"/>
  <c r="T201" i="7"/>
  <c r="G44" i="7" s="1"/>
  <c r="P124" i="7"/>
  <c r="T123" i="7"/>
  <c r="P191" i="7"/>
  <c r="S175" i="7"/>
  <c r="S64" i="7"/>
  <c r="S123" i="7"/>
  <c r="S194" i="7"/>
  <c r="R175" i="7"/>
  <c r="R108" i="7"/>
  <c r="T39" i="7"/>
  <c r="R174" i="7"/>
  <c r="S174" i="7"/>
  <c r="T198" i="7"/>
  <c r="T108" i="7"/>
  <c r="R39" i="7"/>
  <c r="R15" i="7"/>
  <c r="R192" i="7"/>
  <c r="R190" i="7"/>
  <c r="S181" i="7"/>
  <c r="S119" i="7"/>
  <c r="T190" i="7"/>
  <c r="T124" i="7"/>
  <c r="S124" i="7"/>
  <c r="S191" i="7"/>
  <c r="S122" i="7"/>
  <c r="R63" i="7"/>
  <c r="S190" i="7"/>
  <c r="R166" i="7"/>
  <c r="S108" i="7"/>
  <c r="S171" i="7"/>
  <c r="T119" i="7"/>
  <c r="R99" i="7"/>
  <c r="Q63" i="7"/>
  <c r="Q191" i="7"/>
  <c r="Q123" i="7"/>
  <c r="Q175" i="7"/>
  <c r="Q194" i="7"/>
  <c r="Q95" i="7"/>
  <c r="Q40" i="7"/>
  <c r="P142" i="7"/>
  <c r="P39" i="7"/>
  <c r="P123" i="7"/>
  <c r="P171" i="7"/>
  <c r="P192" i="7"/>
  <c r="P132" i="7"/>
  <c r="R41" i="7"/>
  <c r="E13" i="7" s="1"/>
  <c r="L51" i="2" s="1"/>
  <c r="T175" i="7"/>
  <c r="R142" i="7"/>
  <c r="P190" i="7"/>
  <c r="R131" i="7"/>
  <c r="E31" i="7" s="1"/>
  <c r="L39" i="2" s="1"/>
  <c r="D50" i="8" s="1"/>
  <c r="N50" i="8" s="1"/>
  <c r="S50" i="8" s="1"/>
  <c r="X50" i="8" s="1"/>
  <c r="R65" i="7"/>
  <c r="E19" i="7" s="1"/>
  <c r="L49" i="2" s="1"/>
  <c r="T15" i="7"/>
  <c r="T193" i="7"/>
  <c r="P112" i="7"/>
  <c r="P111" i="7"/>
  <c r="P181" i="7"/>
  <c r="P71" i="7"/>
  <c r="P202" i="7"/>
  <c r="P108" i="7"/>
  <c r="P69" i="7"/>
  <c r="P99" i="7"/>
  <c r="P40" i="7"/>
  <c r="P122" i="7"/>
  <c r="P100" i="7"/>
  <c r="P41" i="7"/>
  <c r="P174" i="7"/>
  <c r="P193" i="7"/>
  <c r="P70" i="7"/>
  <c r="P195" i="7"/>
  <c r="P64" i="7"/>
  <c r="P4" i="7"/>
  <c r="P96" i="7"/>
  <c r="P65" i="7"/>
  <c r="P199" i="7"/>
  <c r="R101" i="7"/>
  <c r="T194" i="7"/>
  <c r="S71" i="7"/>
  <c r="P201" i="7"/>
  <c r="P125" i="7"/>
  <c r="T174" i="7"/>
  <c r="S99" i="7"/>
  <c r="P126" i="7"/>
  <c r="P131" i="7"/>
  <c r="C31" i="7" s="1"/>
  <c r="J39" i="2" s="1"/>
  <c r="B50" i="8" s="1"/>
  <c r="L50" i="8" s="1"/>
  <c r="Q50" i="8" s="1"/>
  <c r="V50" i="8" s="1"/>
  <c r="T191" i="7"/>
  <c r="T64" i="7"/>
  <c r="P57" i="7"/>
  <c r="T40" i="7"/>
  <c r="P101" i="7"/>
  <c r="P63" i="7"/>
  <c r="P15" i="7"/>
  <c r="P95" i="7"/>
  <c r="T192" i="7"/>
  <c r="T109" i="7"/>
  <c r="R195" i="7"/>
  <c r="P59" i="7"/>
  <c r="P10" i="7"/>
  <c r="P109" i="7"/>
  <c r="P198" i="7"/>
  <c r="T95" i="7"/>
  <c r="R10" i="7"/>
  <c r="R4" i="7"/>
  <c r="P119" i="7"/>
  <c r="P172" i="7"/>
  <c r="P3" i="7"/>
  <c r="P175" i="7"/>
  <c r="P194" i="7"/>
  <c r="S70" i="7"/>
  <c r="R70" i="7"/>
  <c r="R171" i="7"/>
  <c r="R198" i="7"/>
  <c r="R126" i="7"/>
  <c r="R57" i="7"/>
  <c r="R111" i="7"/>
  <c r="R202" i="7"/>
  <c r="R100" i="7"/>
  <c r="R69" i="7"/>
  <c r="R40" i="7"/>
  <c r="S111" i="7"/>
  <c r="S69" i="7"/>
  <c r="T57" i="7"/>
  <c r="G17" i="7" s="1"/>
  <c r="S68" i="7"/>
  <c r="S202" i="7"/>
  <c r="S195" i="7"/>
  <c r="S142" i="7"/>
  <c r="S4" i="7"/>
  <c r="S3" i="7"/>
  <c r="R3" i="7"/>
  <c r="R132" i="7"/>
  <c r="E32" i="7" s="1"/>
  <c r="L63" i="2" s="1"/>
  <c r="T195" i="7"/>
  <c r="R96" i="7"/>
  <c r="S59" i="7"/>
  <c r="T4" i="7"/>
  <c r="S96" i="7"/>
  <c r="S101" i="7"/>
  <c r="S199" i="7"/>
  <c r="S172" i="7"/>
  <c r="S132" i="7"/>
  <c r="R172" i="7"/>
  <c r="R68" i="7"/>
  <c r="T172" i="7"/>
  <c r="S125" i="7"/>
  <c r="Q3" i="7"/>
  <c r="S112" i="7"/>
  <c r="S126" i="7"/>
  <c r="S10" i="7"/>
  <c r="R199" i="7"/>
  <c r="S41" i="7"/>
  <c r="T142" i="7"/>
  <c r="S65" i="7"/>
  <c r="T126" i="7"/>
  <c r="S57" i="7"/>
  <c r="R125" i="7"/>
  <c r="R112" i="7"/>
  <c r="R71" i="7"/>
  <c r="S131" i="7"/>
  <c r="F31" i="7" s="1"/>
  <c r="M39" i="2" s="1"/>
  <c r="E50" i="8" s="1"/>
  <c r="O50" i="8" s="1"/>
  <c r="T50" i="8" s="1"/>
  <c r="Y50" i="8" s="1"/>
  <c r="Q172" i="7"/>
  <c r="Q69" i="7"/>
  <c r="Q71" i="7"/>
  <c r="T112" i="7"/>
  <c r="Q202" i="7"/>
  <c r="T59" i="7"/>
  <c r="Q59" i="7"/>
  <c r="T96" i="7"/>
  <c r="G25" i="7" s="1"/>
  <c r="T131" i="7"/>
  <c r="G31" i="7" s="1"/>
  <c r="Q100" i="7"/>
  <c r="Q70" i="7"/>
  <c r="Q140" i="7"/>
  <c r="T3" i="7"/>
  <c r="Q199" i="7"/>
  <c r="T68" i="7"/>
  <c r="T199" i="7"/>
  <c r="T71" i="7"/>
  <c r="T70" i="7"/>
  <c r="Q65" i="7"/>
  <c r="T125" i="7"/>
  <c r="T140" i="7"/>
  <c r="G34" i="7" s="1"/>
  <c r="S138" i="7"/>
  <c r="Q101" i="7"/>
  <c r="Q41" i="7"/>
  <c r="P137" i="7"/>
  <c r="T10" i="7"/>
  <c r="G4" i="7" s="1"/>
  <c r="Q96" i="7"/>
  <c r="T99" i="7"/>
  <c r="S140" i="7"/>
  <c r="Q130" i="7"/>
  <c r="T138" i="7"/>
  <c r="Q138" i="7"/>
  <c r="P140" i="7"/>
  <c r="T130" i="7"/>
  <c r="T100" i="7"/>
  <c r="R9" i="7"/>
  <c r="Q125" i="7"/>
  <c r="Q132" i="7"/>
  <c r="S137" i="7"/>
  <c r="R138" i="7"/>
  <c r="Q99" i="7"/>
  <c r="Q10" i="7"/>
  <c r="T132" i="7"/>
  <c r="G32" i="7" s="1"/>
  <c r="T111" i="7"/>
  <c r="Q126" i="7"/>
  <c r="Q111" i="7"/>
  <c r="Q195" i="7"/>
  <c r="Q142" i="7"/>
  <c r="P138" i="7"/>
  <c r="Q137" i="7"/>
  <c r="T101" i="7"/>
  <c r="Q57" i="7"/>
  <c r="Q112" i="7"/>
  <c r="Q4" i="7"/>
  <c r="S9" i="7"/>
  <c r="T69" i="7"/>
  <c r="R140" i="7"/>
  <c r="E34" i="7" s="1"/>
  <c r="L36" i="2" s="1"/>
  <c r="T137" i="7"/>
  <c r="T65" i="7"/>
  <c r="G19" i="7" s="1"/>
  <c r="Q131" i="7"/>
  <c r="D31" i="7" s="1"/>
  <c r="K39" i="2" s="1"/>
  <c r="C50" i="8" s="1"/>
  <c r="M50" i="8" s="1"/>
  <c r="R50" i="8" s="1"/>
  <c r="W50" i="8" s="1"/>
  <c r="T41" i="7"/>
  <c r="G13" i="7" s="1"/>
  <c r="R130" i="7"/>
  <c r="P130" i="7"/>
  <c r="G16" i="7"/>
  <c r="E16" i="7"/>
  <c r="L32" i="2" s="1"/>
  <c r="E22" i="7" l="1"/>
  <c r="L35" i="2" s="1"/>
  <c r="BG50" i="8"/>
  <c r="AD50" i="8"/>
  <c r="AX50" i="8" s="1"/>
  <c r="BJ50" i="8"/>
  <c r="AG50" i="8"/>
  <c r="BA50" i="8" s="1"/>
  <c r="BH50" i="8"/>
  <c r="AE50" i="8"/>
  <c r="AY50" i="8" s="1"/>
  <c r="BI50" i="8"/>
  <c r="AF50" i="8"/>
  <c r="AZ50" i="8" s="1"/>
  <c r="G9" i="7"/>
  <c r="E4" i="7"/>
  <c r="L29" i="2" s="1"/>
  <c r="E9" i="7"/>
  <c r="L31" i="2" s="1"/>
  <c r="E17" i="7"/>
  <c r="L33" i="2" s="1"/>
  <c r="E25" i="7"/>
  <c r="L53" i="2" s="1"/>
  <c r="AI57" i="8"/>
  <c r="AJ57" i="8" s="1"/>
  <c r="BE57" i="8" s="1"/>
  <c r="E37" i="7"/>
  <c r="L3" i="2" s="1"/>
  <c r="D3" i="8" s="1"/>
  <c r="G37" i="7"/>
  <c r="C7" i="7"/>
  <c r="J10" i="2" s="1"/>
  <c r="B9" i="8" s="1"/>
  <c r="L9" i="8" s="1"/>
  <c r="Q9" i="8" s="1"/>
  <c r="V9" i="8" s="1"/>
  <c r="D32" i="7"/>
  <c r="K63" i="2" s="1"/>
  <c r="D25" i="7"/>
  <c r="K53" i="2" s="1"/>
  <c r="D16" i="7"/>
  <c r="K32" i="2" s="1"/>
  <c r="D34" i="7"/>
  <c r="K36" i="2" s="1"/>
  <c r="C6" i="7"/>
  <c r="J9" i="2" s="1"/>
  <c r="B8" i="8" s="1"/>
  <c r="L8" i="8" s="1"/>
  <c r="Q8" i="8" s="1"/>
  <c r="V8" i="8" s="1"/>
  <c r="C32" i="7"/>
  <c r="J63" i="2" s="1"/>
  <c r="G6" i="7"/>
  <c r="F37" i="7"/>
  <c r="M3" i="2" s="1"/>
  <c r="E3" i="8" s="1"/>
  <c r="C8" i="7"/>
  <c r="J11" i="2" s="1"/>
  <c r="B10" i="8" s="1"/>
  <c r="L10" i="8" s="1"/>
  <c r="Q10" i="8" s="1"/>
  <c r="V10" i="8" s="1"/>
  <c r="F16" i="7"/>
  <c r="M32" i="2" s="1"/>
  <c r="D11" i="7"/>
  <c r="K5" i="2" s="1"/>
  <c r="C34" i="7"/>
  <c r="J36" i="2" s="1"/>
  <c r="F9" i="7"/>
  <c r="D7" i="7"/>
  <c r="K10" i="2" s="1"/>
  <c r="C9" i="8" s="1"/>
  <c r="M9" i="8" s="1"/>
  <c r="R9" i="8" s="1"/>
  <c r="W9" i="8" s="1"/>
  <c r="F13" i="7"/>
  <c r="M51" i="2" s="1"/>
  <c r="D37" i="7"/>
  <c r="K3" i="2" s="1"/>
  <c r="C3" i="8" s="1"/>
  <c r="F22" i="7"/>
  <c r="F6" i="7"/>
  <c r="M9" i="2" s="1"/>
  <c r="E8" i="8" s="1"/>
  <c r="O8" i="8" s="1"/>
  <c r="T8" i="8" s="1"/>
  <c r="Y8" i="8" s="1"/>
  <c r="G21" i="7"/>
  <c r="D21" i="7"/>
  <c r="G7" i="7"/>
  <c r="C16" i="7"/>
  <c r="J32" i="2" s="1"/>
  <c r="D9" i="7"/>
  <c r="F4" i="7"/>
  <c r="M29" i="2" s="1"/>
  <c r="D19" i="7"/>
  <c r="K49" i="2" s="1"/>
  <c r="F25" i="7"/>
  <c r="M53" i="2" s="1"/>
  <c r="F17" i="7"/>
  <c r="M33" i="2" s="1"/>
  <c r="F7" i="7"/>
  <c r="M10" i="2" s="1"/>
  <c r="E9" i="8" s="1"/>
  <c r="O9" i="8" s="1"/>
  <c r="T9" i="8" s="1"/>
  <c r="Y9" i="8" s="1"/>
  <c r="C9" i="7"/>
  <c r="D6" i="7"/>
  <c r="K9" i="2" s="1"/>
  <c r="C8" i="8" s="1"/>
  <c r="M8" i="8" s="1"/>
  <c r="R8" i="8" s="1"/>
  <c r="W8" i="8" s="1"/>
  <c r="D17" i="7"/>
  <c r="K33" i="2" s="1"/>
  <c r="D13" i="7"/>
  <c r="K51" i="2" s="1"/>
  <c r="F21" i="7"/>
  <c r="E21" i="7"/>
  <c r="E11" i="7"/>
  <c r="L4" i="2" s="1"/>
  <c r="E8" i="7"/>
  <c r="L11" i="2" s="1"/>
  <c r="D10" i="8" s="1"/>
  <c r="N10" i="8" s="1"/>
  <c r="S10" i="8" s="1"/>
  <c r="X10" i="8" s="1"/>
  <c r="E7" i="7"/>
  <c r="L10" i="2" s="1"/>
  <c r="D9" i="8" s="1"/>
  <c r="N9" i="8" s="1"/>
  <c r="S9" i="8" s="1"/>
  <c r="X9" i="8" s="1"/>
  <c r="D22" i="7"/>
  <c r="C25" i="7"/>
  <c r="J53" i="2" s="1"/>
  <c r="F14" i="7"/>
  <c r="F32" i="7"/>
  <c r="M63" i="2" s="1"/>
  <c r="C22" i="7"/>
  <c r="C19" i="7"/>
  <c r="J49" i="2" s="1"/>
  <c r="C37" i="7"/>
  <c r="J3" i="2" s="1"/>
  <c r="B3" i="8" s="1"/>
  <c r="L3" i="8" s="1"/>
  <c r="C13" i="7"/>
  <c r="J51" i="2" s="1"/>
  <c r="C21" i="7"/>
  <c r="F19" i="7"/>
  <c r="M49" i="2" s="1"/>
  <c r="F34" i="7"/>
  <c r="M36" i="2" s="1"/>
  <c r="D4" i="7"/>
  <c r="K29" i="2" s="1"/>
  <c r="C4" i="7"/>
  <c r="J29" i="2" s="1"/>
  <c r="G38" i="7"/>
  <c r="C17" i="7"/>
  <c r="J33" i="2" s="1"/>
  <c r="F11" i="7"/>
  <c r="M4" i="2" s="1"/>
  <c r="D36" i="7"/>
  <c r="E14" i="7"/>
  <c r="C38" i="7"/>
  <c r="J61" i="2" s="1"/>
  <c r="D38" i="7"/>
  <c r="K61" i="2" s="1"/>
  <c r="G36" i="7"/>
  <c r="G11" i="7"/>
  <c r="C36" i="7"/>
  <c r="E36" i="7"/>
  <c r="E38" i="7"/>
  <c r="L61" i="2" s="1"/>
  <c r="E15" i="7"/>
  <c r="F38" i="7"/>
  <c r="M61" i="2" s="1"/>
  <c r="C15" i="7"/>
  <c r="F15" i="7"/>
  <c r="F36" i="7"/>
  <c r="D14" i="7"/>
  <c r="G14" i="7"/>
  <c r="D15" i="7"/>
  <c r="G15" i="7"/>
  <c r="C11" i="7"/>
  <c r="J5" i="2" s="1"/>
  <c r="C44" i="7"/>
  <c r="C45" i="7"/>
  <c r="J64" i="2" s="1"/>
  <c r="D44" i="7"/>
  <c r="D45" i="7"/>
  <c r="K64" i="2" s="1"/>
  <c r="E44" i="7"/>
  <c r="E45" i="7"/>
  <c r="F44" i="7"/>
  <c r="F45" i="7"/>
  <c r="M64" i="2" s="1"/>
  <c r="AA55" i="8"/>
  <c r="AB55" i="8" s="1"/>
  <c r="BD55" i="8" s="1"/>
  <c r="AA84" i="8"/>
  <c r="AB84" i="8" s="1"/>
  <c r="BD84" i="8" s="1"/>
  <c r="AA97" i="8"/>
  <c r="AB97" i="8" s="1"/>
  <c r="BD97" i="8" s="1"/>
  <c r="AI66" i="8"/>
  <c r="AJ66" i="8" s="1"/>
  <c r="BE66" i="8" s="1"/>
  <c r="AA67" i="8"/>
  <c r="AB67" i="8" s="1"/>
  <c r="BD67" i="8" s="1"/>
  <c r="AA65" i="8"/>
  <c r="AB65" i="8" s="1"/>
  <c r="BD65" i="8" s="1"/>
  <c r="AA58" i="8"/>
  <c r="AB58" i="8" s="1"/>
  <c r="BD58" i="8" s="1"/>
  <c r="AI74" i="8"/>
  <c r="AJ74" i="8" s="1"/>
  <c r="BE74" i="8" s="1"/>
  <c r="AA50" i="8"/>
  <c r="AB50" i="8" s="1"/>
  <c r="BD50" i="8" s="1"/>
  <c r="AI71" i="8"/>
  <c r="AJ71" i="8" s="1"/>
  <c r="BE71" i="8" s="1"/>
  <c r="AI83" i="8"/>
  <c r="AJ83" i="8" s="1"/>
  <c r="BE83" i="8" s="1"/>
  <c r="AA88" i="8"/>
  <c r="AB88" i="8" s="1"/>
  <c r="BD88" i="8" s="1"/>
  <c r="AA76" i="8"/>
  <c r="AB76" i="8" s="1"/>
  <c r="BD76" i="8" s="1"/>
  <c r="AA95" i="8"/>
  <c r="AB95" i="8" s="1"/>
  <c r="BD95" i="8" s="1"/>
  <c r="AA54" i="8"/>
  <c r="AB54" i="8" s="1"/>
  <c r="BD54" i="8" s="1"/>
  <c r="AI64" i="8"/>
  <c r="AJ64" i="8" s="1"/>
  <c r="BE64" i="8" s="1"/>
  <c r="AA53" i="8"/>
  <c r="AB53" i="8" s="1"/>
  <c r="BD53" i="8" s="1"/>
  <c r="AA74" i="8"/>
  <c r="AB74" i="8" s="1"/>
  <c r="BD74" i="8" s="1"/>
  <c r="AI76" i="8"/>
  <c r="AJ76" i="8" s="1"/>
  <c r="BE76" i="8" s="1"/>
  <c r="AA91" i="8"/>
  <c r="AB91" i="8" s="1"/>
  <c r="BD91" i="8" s="1"/>
  <c r="AI92" i="8"/>
  <c r="AJ92" i="8" s="1"/>
  <c r="BE92" i="8" s="1"/>
  <c r="AA61" i="8"/>
  <c r="AB61" i="8" s="1"/>
  <c r="BD61" i="8" s="1"/>
  <c r="AA62" i="8"/>
  <c r="AB62" i="8" s="1"/>
  <c r="BD62" i="8" s="1"/>
  <c r="AA68" i="8"/>
  <c r="AB68" i="8" s="1"/>
  <c r="BD68" i="8" s="1"/>
  <c r="AA83" i="8"/>
  <c r="AB83" i="8" s="1"/>
  <c r="BD83" i="8" s="1"/>
  <c r="AA99" i="8"/>
  <c r="AB99" i="8" s="1"/>
  <c r="BD99" i="8" s="1"/>
  <c r="AA94" i="8"/>
  <c r="AB94" i="8" s="1"/>
  <c r="BD94" i="8" s="1"/>
  <c r="AA57" i="8"/>
  <c r="AB57" i="8" s="1"/>
  <c r="BD57" i="8" s="1"/>
  <c r="AA92" i="8"/>
  <c r="AB92" i="8" s="1"/>
  <c r="BD92" i="8" s="1"/>
  <c r="AA87" i="8"/>
  <c r="AB87" i="8" s="1"/>
  <c r="BD87" i="8" s="1"/>
  <c r="AA63" i="8"/>
  <c r="AB63" i="8" s="1"/>
  <c r="BD63" i="8" s="1"/>
  <c r="AA66" i="8"/>
  <c r="AB66" i="8" s="1"/>
  <c r="BD66" i="8" s="1"/>
  <c r="AA82" i="8"/>
  <c r="AB82" i="8" s="1"/>
  <c r="BD82" i="8" s="1"/>
  <c r="AI96" i="8"/>
  <c r="AJ96" i="8" s="1"/>
  <c r="BE96" i="8" s="1"/>
  <c r="AA72" i="8"/>
  <c r="AB72" i="8" s="1"/>
  <c r="BD72" i="8" s="1"/>
  <c r="AI78" i="8"/>
  <c r="AJ78" i="8" s="1"/>
  <c r="BE78" i="8" s="1"/>
  <c r="AI56" i="8"/>
  <c r="AJ56" i="8" s="1"/>
  <c r="BE56" i="8" s="1"/>
  <c r="AI93" i="8"/>
  <c r="AJ93" i="8" s="1"/>
  <c r="BE93" i="8" s="1"/>
  <c r="AA93" i="8"/>
  <c r="AB93" i="8" s="1"/>
  <c r="BD93" i="8" s="1"/>
  <c r="AA52" i="8"/>
  <c r="AB52" i="8" s="1"/>
  <c r="BD52" i="8" s="1"/>
  <c r="AI84" i="8"/>
  <c r="AJ84" i="8" s="1"/>
  <c r="BE84" i="8" s="1"/>
  <c r="AI61" i="8"/>
  <c r="AJ61" i="8" s="1"/>
  <c r="BE61" i="8" s="1"/>
  <c r="AA80" i="8"/>
  <c r="AB80" i="8" s="1"/>
  <c r="BD80" i="8" s="1"/>
  <c r="AA96" i="8"/>
  <c r="AB96" i="8" s="1"/>
  <c r="BD96" i="8" s="1"/>
  <c r="AI72" i="8"/>
  <c r="AJ72" i="8" s="1"/>
  <c r="BE72" i="8" s="1"/>
  <c r="AA79" i="8"/>
  <c r="AB79" i="8" s="1"/>
  <c r="BD79" i="8" s="1"/>
  <c r="AI58" i="8"/>
  <c r="AJ58" i="8" s="1"/>
  <c r="BE58" i="8" s="1"/>
  <c r="AA71" i="8"/>
  <c r="AB71" i="8" s="1"/>
  <c r="BD71" i="8" s="1"/>
  <c r="AI90" i="8"/>
  <c r="AJ90" i="8" s="1"/>
  <c r="BE90" i="8" s="1"/>
  <c r="AI94" i="8"/>
  <c r="AJ94" i="8" s="1"/>
  <c r="BE94" i="8" s="1"/>
  <c r="AA78" i="8"/>
  <c r="AB78" i="8" s="1"/>
  <c r="BD78" i="8" s="1"/>
  <c r="AI99" i="8"/>
  <c r="AJ99" i="8" s="1"/>
  <c r="BE99" i="8" s="1"/>
  <c r="AA60" i="8"/>
  <c r="AB60" i="8" s="1"/>
  <c r="BD60" i="8" s="1"/>
  <c r="AI85" i="8"/>
  <c r="AJ85" i="8" s="1"/>
  <c r="BE85" i="8" s="1"/>
  <c r="AI55" i="8"/>
  <c r="AJ55" i="8" s="1"/>
  <c r="BE55" i="8" s="1"/>
  <c r="AA86" i="8"/>
  <c r="AB86" i="8" s="1"/>
  <c r="BD86" i="8" s="1"/>
  <c r="AI80" i="8"/>
  <c r="AJ80" i="8" s="1"/>
  <c r="BE80" i="8" s="1"/>
  <c r="AA90" i="8"/>
  <c r="AB90" i="8" s="1"/>
  <c r="BD90" i="8" s="1"/>
  <c r="AI60" i="8"/>
  <c r="AJ60" i="8" s="1"/>
  <c r="BE60" i="8" s="1"/>
  <c r="AI95" i="8"/>
  <c r="AJ95" i="8" s="1"/>
  <c r="BE95" i="8" s="1"/>
  <c r="AI67" i="8"/>
  <c r="AJ67" i="8" s="1"/>
  <c r="BE67" i="8" s="1"/>
  <c r="AI82" i="8"/>
  <c r="AJ82" i="8" s="1"/>
  <c r="BE82" i="8" s="1"/>
  <c r="AA56" i="8"/>
  <c r="AB56" i="8" s="1"/>
  <c r="BD56" i="8" s="1"/>
  <c r="AI54" i="8"/>
  <c r="AJ54" i="8" s="1"/>
  <c r="BE54" i="8" s="1"/>
  <c r="AI75" i="8"/>
  <c r="AJ75" i="8" s="1"/>
  <c r="BE75" i="8" s="1"/>
  <c r="AA81" i="8"/>
  <c r="AB81" i="8" s="1"/>
  <c r="BD81" i="8" s="1"/>
  <c r="AI52" i="8"/>
  <c r="AJ52" i="8" s="1"/>
  <c r="BE52" i="8" s="1"/>
  <c r="AI63" i="8"/>
  <c r="AJ63" i="8" s="1"/>
  <c r="BE63" i="8" s="1"/>
  <c r="AA85" i="8"/>
  <c r="AB85" i="8" s="1"/>
  <c r="BD85" i="8" s="1"/>
  <c r="AA70" i="8"/>
  <c r="AB70" i="8" s="1"/>
  <c r="BD70" i="8" s="1"/>
  <c r="AI53" i="8"/>
  <c r="AJ53" i="8" s="1"/>
  <c r="BE53" i="8" s="1"/>
  <c r="AI97" i="8"/>
  <c r="AJ97" i="8" s="1"/>
  <c r="BE97" i="8" s="1"/>
  <c r="AI77" i="8"/>
  <c r="AJ77" i="8" s="1"/>
  <c r="BE77" i="8" s="1"/>
  <c r="AA77" i="8"/>
  <c r="AB77" i="8" s="1"/>
  <c r="BD77" i="8" s="1"/>
  <c r="AI65" i="8"/>
  <c r="AJ65" i="8" s="1"/>
  <c r="BE65" i="8" s="1"/>
  <c r="AI59" i="8"/>
  <c r="AJ59" i="8" s="1"/>
  <c r="BE59" i="8" s="1"/>
  <c r="AA59" i="8"/>
  <c r="AB59" i="8" s="1"/>
  <c r="BD59" i="8" s="1"/>
  <c r="AA73" i="8"/>
  <c r="AB73" i="8" s="1"/>
  <c r="BD73" i="8" s="1"/>
  <c r="AI98" i="8"/>
  <c r="AJ98" i="8" s="1"/>
  <c r="BE98" i="8" s="1"/>
  <c r="AA98" i="8"/>
  <c r="AB98" i="8" s="1"/>
  <c r="BD98" i="8" s="1"/>
  <c r="AA89" i="8"/>
  <c r="AB89" i="8" s="1"/>
  <c r="BD89" i="8" s="1"/>
  <c r="AI68" i="8"/>
  <c r="AJ68" i="8" s="1"/>
  <c r="BE68" i="8" s="1"/>
  <c r="AI73" i="8"/>
  <c r="AJ73" i="8" s="1"/>
  <c r="BE73" i="8" s="1"/>
  <c r="AA64" i="8"/>
  <c r="AB64" i="8" s="1"/>
  <c r="BD64" i="8" s="1"/>
  <c r="AI89" i="8"/>
  <c r="AJ89" i="8" s="1"/>
  <c r="BE89" i="8" s="1"/>
  <c r="AA100" i="8"/>
  <c r="AB100" i="8" s="1"/>
  <c r="BD100" i="8" s="1"/>
  <c r="AA75" i="8"/>
  <c r="AB75" i="8" s="1"/>
  <c r="BD75" i="8" s="1"/>
  <c r="AI70" i="8"/>
  <c r="AJ70" i="8" s="1"/>
  <c r="BE70" i="8" s="1"/>
  <c r="AI87" i="8"/>
  <c r="AJ87" i="8" s="1"/>
  <c r="BE87" i="8" s="1"/>
  <c r="AI69" i="8"/>
  <c r="AJ69" i="8" s="1"/>
  <c r="BE69" i="8" s="1"/>
  <c r="AI62" i="8"/>
  <c r="AJ62" i="8" s="1"/>
  <c r="BE62" i="8" s="1"/>
  <c r="AI86" i="8"/>
  <c r="AJ86" i="8" s="1"/>
  <c r="BE86" i="8" s="1"/>
  <c r="AI81" i="8"/>
  <c r="AJ81" i="8" s="1"/>
  <c r="BE81" i="8" s="1"/>
  <c r="AI88" i="8"/>
  <c r="AJ88" i="8" s="1"/>
  <c r="BE88" i="8" s="1"/>
  <c r="AI91" i="8"/>
  <c r="AJ91" i="8" s="1"/>
  <c r="BE91" i="8" s="1"/>
  <c r="AI79" i="8"/>
  <c r="AJ79" i="8" s="1"/>
  <c r="BE79" i="8" s="1"/>
  <c r="AI100" i="8"/>
  <c r="AJ100" i="8" s="1"/>
  <c r="BE100" i="8" s="1"/>
  <c r="C35" i="7"/>
  <c r="G40" i="7"/>
  <c r="D8" i="8"/>
  <c r="N8" i="8" s="1"/>
  <c r="S8" i="8" s="1"/>
  <c r="X8" i="8" s="1"/>
  <c r="C10" i="8"/>
  <c r="M10" i="8" s="1"/>
  <c r="R10" i="8" s="1"/>
  <c r="W10" i="8" s="1"/>
  <c r="G24" i="7"/>
  <c r="C40" i="7"/>
  <c r="J6" i="2" s="1"/>
  <c r="D24" i="7"/>
  <c r="K52" i="2" s="1"/>
  <c r="F5" i="7"/>
  <c r="E33" i="7"/>
  <c r="L37" i="2" s="1"/>
  <c r="E40" i="7"/>
  <c r="L6" i="2" s="1"/>
  <c r="F40" i="7"/>
  <c r="M6" i="2" s="1"/>
  <c r="D40" i="7"/>
  <c r="K6" i="2" s="1"/>
  <c r="C24" i="7"/>
  <c r="J52" i="2" s="1"/>
  <c r="E24" i="7"/>
  <c r="L52" i="2" s="1"/>
  <c r="D5" i="7"/>
  <c r="F24" i="7"/>
  <c r="M52" i="2" s="1"/>
  <c r="D43" i="7"/>
  <c r="F35" i="7"/>
  <c r="G5" i="7"/>
  <c r="D35" i="7"/>
  <c r="D12" i="7"/>
  <c r="K50" i="2" s="1"/>
  <c r="D39" i="7"/>
  <c r="K62" i="2" s="1"/>
  <c r="F42" i="7"/>
  <c r="F12" i="7"/>
  <c r="M50" i="2" s="1"/>
  <c r="E29" i="7"/>
  <c r="L56" i="2" s="1"/>
  <c r="D42" i="7"/>
  <c r="D29" i="7"/>
  <c r="K56" i="2" s="1"/>
  <c r="E5" i="7"/>
  <c r="F43" i="7"/>
  <c r="E43" i="7"/>
  <c r="C29" i="7"/>
  <c r="J56" i="2" s="1"/>
  <c r="G35" i="7"/>
  <c r="F41" i="7"/>
  <c r="E18" i="7"/>
  <c r="L48" i="2" s="1"/>
  <c r="G43" i="7"/>
  <c r="F18" i="7"/>
  <c r="M48" i="2" s="1"/>
  <c r="E35" i="7"/>
  <c r="G29" i="7"/>
  <c r="C12" i="7"/>
  <c r="J50" i="2" s="1"/>
  <c r="E12" i="7"/>
  <c r="L50" i="2" s="1"/>
  <c r="D47" i="8" s="1"/>
  <c r="N47" i="8" s="1"/>
  <c r="S47" i="8" s="1"/>
  <c r="X47" i="8" s="1"/>
  <c r="F39" i="7"/>
  <c r="M62" i="2" s="1"/>
  <c r="E39" i="7"/>
  <c r="L62" i="2" s="1"/>
  <c r="E41" i="7"/>
  <c r="G42" i="7"/>
  <c r="G12" i="7"/>
  <c r="F29" i="7"/>
  <c r="M56" i="2" s="1"/>
  <c r="D41" i="7"/>
  <c r="E27" i="7"/>
  <c r="E28" i="7"/>
  <c r="C42" i="7"/>
  <c r="C20" i="7"/>
  <c r="D18" i="7"/>
  <c r="K48" i="2" s="1"/>
  <c r="G39" i="7"/>
  <c r="C28" i="7"/>
  <c r="E42" i="7"/>
  <c r="F27" i="7"/>
  <c r="C5" i="7"/>
  <c r="G41" i="7"/>
  <c r="C43" i="7"/>
  <c r="C18" i="7"/>
  <c r="J48" i="2" s="1"/>
  <c r="C27" i="7"/>
  <c r="C39" i="7"/>
  <c r="J62" i="2" s="1"/>
  <c r="C3" i="7"/>
  <c r="J28" i="2" s="1"/>
  <c r="C41" i="7"/>
  <c r="G18" i="7"/>
  <c r="F20" i="7"/>
  <c r="C30" i="7"/>
  <c r="J38" i="2" s="1"/>
  <c r="B49" i="8" s="1"/>
  <c r="F28" i="7"/>
  <c r="D3" i="7"/>
  <c r="K28" i="2" s="1"/>
  <c r="E3" i="7"/>
  <c r="L28" i="2" s="1"/>
  <c r="G3" i="7"/>
  <c r="F3" i="7"/>
  <c r="M28" i="2" s="1"/>
  <c r="F30" i="7"/>
  <c r="M38" i="2" s="1"/>
  <c r="E49" i="8" s="1"/>
  <c r="G28" i="7"/>
  <c r="E20" i="7"/>
  <c r="E30" i="7"/>
  <c r="L38" i="2" s="1"/>
  <c r="D49" i="8" s="1"/>
  <c r="D20" i="7"/>
  <c r="D27" i="7"/>
  <c r="C33" i="7"/>
  <c r="J37" i="2" s="1"/>
  <c r="F33" i="7"/>
  <c r="M37" i="2" s="1"/>
  <c r="G33" i="7"/>
  <c r="D30" i="7"/>
  <c r="K38" i="2" s="1"/>
  <c r="C49" i="8" s="1"/>
  <c r="G30" i="7"/>
  <c r="D28" i="7"/>
  <c r="G20" i="7"/>
  <c r="D33" i="7"/>
  <c r="K37" i="2" s="1"/>
  <c r="G27" i="7"/>
  <c r="M49" i="8" l="1"/>
  <c r="R49" i="8" s="1"/>
  <c r="W49" i="8" s="1"/>
  <c r="AE49" i="8" s="1"/>
  <c r="AY49" i="8" s="1"/>
  <c r="N3" i="8"/>
  <c r="M3" i="8"/>
  <c r="N49" i="8"/>
  <c r="S49" i="8" s="1"/>
  <c r="X49" i="8" s="1"/>
  <c r="AF49" i="8" s="1"/>
  <c r="AZ49" i="8" s="1"/>
  <c r="O49" i="8"/>
  <c r="T49" i="8" s="1"/>
  <c r="Y49" i="8" s="1"/>
  <c r="AG49" i="8" s="1"/>
  <c r="BA49" i="8" s="1"/>
  <c r="O3" i="8"/>
  <c r="L49" i="8"/>
  <c r="Q49" i="8" s="1"/>
  <c r="V49" i="8" s="1"/>
  <c r="AD49" i="8" s="1"/>
  <c r="AX49" i="8" s="1"/>
  <c r="Q3" i="8"/>
  <c r="D42" i="8"/>
  <c r="N42" i="8" s="1"/>
  <c r="S42" i="8" s="1"/>
  <c r="X42" i="8" s="1"/>
  <c r="AF42" i="8" s="1"/>
  <c r="AZ42" i="8" s="1"/>
  <c r="E47" i="8"/>
  <c r="D51" i="8"/>
  <c r="N51" i="8" s="1"/>
  <c r="S51" i="8" s="1"/>
  <c r="X51" i="8" s="1"/>
  <c r="B51" i="8"/>
  <c r="C47" i="8"/>
  <c r="B47" i="8"/>
  <c r="E51" i="8"/>
  <c r="K12" i="2"/>
  <c r="C51" i="8"/>
  <c r="M12" i="2"/>
  <c r="AI50" i="8"/>
  <c r="AJ50" i="8" s="1"/>
  <c r="BE50" i="8" s="1"/>
  <c r="BC50" i="8"/>
  <c r="K23" i="2"/>
  <c r="K21" i="2"/>
  <c r="L41" i="2"/>
  <c r="L27" i="2"/>
  <c r="L25" i="2"/>
  <c r="L19" i="2"/>
  <c r="L17" i="2"/>
  <c r="M47" i="2"/>
  <c r="E33" i="8" s="1"/>
  <c r="O33" i="8" s="1"/>
  <c r="T33" i="8" s="1"/>
  <c r="Y33" i="8" s="1"/>
  <c r="M45" i="2"/>
  <c r="M43" i="2"/>
  <c r="M55" i="2"/>
  <c r="K22" i="2"/>
  <c r="K20" i="2"/>
  <c r="C19" i="8" s="1"/>
  <c r="M19" i="8" s="1"/>
  <c r="R19" i="8" s="1"/>
  <c r="W19" i="8" s="1"/>
  <c r="M22" i="2"/>
  <c r="M20" i="2"/>
  <c r="E19" i="8" s="1"/>
  <c r="O19" i="8" s="1"/>
  <c r="T19" i="8" s="1"/>
  <c r="Y19" i="8" s="1"/>
  <c r="J14" i="2"/>
  <c r="J27" i="2"/>
  <c r="J19" i="2"/>
  <c r="J25" i="2"/>
  <c r="J17" i="2"/>
  <c r="J41" i="2"/>
  <c r="L24" i="2"/>
  <c r="D23" i="8" s="1"/>
  <c r="N23" i="8" s="1"/>
  <c r="S23" i="8" s="1"/>
  <c r="X23" i="8" s="1"/>
  <c r="L26" i="2"/>
  <c r="L16" i="2"/>
  <c r="L40" i="2"/>
  <c r="L18" i="2"/>
  <c r="L47" i="2"/>
  <c r="D33" i="8" s="1"/>
  <c r="N33" i="8" s="1"/>
  <c r="S33" i="8" s="1"/>
  <c r="X33" i="8" s="1"/>
  <c r="L45" i="2"/>
  <c r="L43" i="2"/>
  <c r="L55" i="2"/>
  <c r="K44" i="2"/>
  <c r="K42" i="2"/>
  <c r="K54" i="2"/>
  <c r="K46" i="2"/>
  <c r="J67" i="2"/>
  <c r="J57" i="2"/>
  <c r="J59" i="2"/>
  <c r="J65" i="2"/>
  <c r="K24" i="2"/>
  <c r="K16" i="2"/>
  <c r="K40" i="2"/>
  <c r="K26" i="2"/>
  <c r="K18" i="2"/>
  <c r="J23" i="2"/>
  <c r="J21" i="2"/>
  <c r="M18" i="2"/>
  <c r="M24" i="2"/>
  <c r="M16" i="2"/>
  <c r="M40" i="2"/>
  <c r="M26" i="2"/>
  <c r="J42" i="2"/>
  <c r="J54" i="2"/>
  <c r="J46" i="2"/>
  <c r="J44" i="2"/>
  <c r="L44" i="2"/>
  <c r="L42" i="2"/>
  <c r="L54" i="2"/>
  <c r="L46" i="2"/>
  <c r="L12" i="2"/>
  <c r="M44" i="2"/>
  <c r="M42" i="2"/>
  <c r="M54" i="2"/>
  <c r="M46" i="2"/>
  <c r="C40" i="8"/>
  <c r="K31" i="2"/>
  <c r="C43" i="8" s="1"/>
  <c r="M43" i="8" s="1"/>
  <c r="R43" i="8" s="1"/>
  <c r="W43" i="8" s="1"/>
  <c r="J22" i="2"/>
  <c r="J20" i="2"/>
  <c r="B19" i="8" s="1"/>
  <c r="L19" i="8" s="1"/>
  <c r="Q19" i="8" s="1"/>
  <c r="V19" i="8" s="1"/>
  <c r="J31" i="2"/>
  <c r="B40" i="8" s="1"/>
  <c r="J35" i="2"/>
  <c r="B42" i="8" s="1"/>
  <c r="M35" i="2"/>
  <c r="E42" i="8" s="1"/>
  <c r="K47" i="2"/>
  <c r="C33" i="8" s="1"/>
  <c r="M33" i="8" s="1"/>
  <c r="R33" i="8" s="1"/>
  <c r="W33" i="8" s="1"/>
  <c r="K45" i="2"/>
  <c r="K43" i="2"/>
  <c r="K55" i="2"/>
  <c r="J16" i="2"/>
  <c r="J40" i="2"/>
  <c r="J26" i="2"/>
  <c r="J18" i="2"/>
  <c r="J24" i="2"/>
  <c r="K68" i="2"/>
  <c r="K60" i="2"/>
  <c r="K66" i="2"/>
  <c r="K58" i="2"/>
  <c r="M31" i="2"/>
  <c r="E40" i="8" s="1"/>
  <c r="J47" i="2"/>
  <c r="B33" i="8" s="1"/>
  <c r="L33" i="8" s="1"/>
  <c r="Q33" i="8" s="1"/>
  <c r="V33" i="8" s="1"/>
  <c r="J45" i="2"/>
  <c r="J43" i="2"/>
  <c r="J55" i="2"/>
  <c r="L67" i="2"/>
  <c r="L59" i="2"/>
  <c r="L65" i="2"/>
  <c r="L57" i="2"/>
  <c r="K27" i="2"/>
  <c r="K19" i="2"/>
  <c r="K25" i="2"/>
  <c r="K17" i="2"/>
  <c r="K41" i="2"/>
  <c r="J68" i="2"/>
  <c r="J60" i="2"/>
  <c r="J66" i="2"/>
  <c r="J58" i="2"/>
  <c r="L21" i="2"/>
  <c r="L23" i="2"/>
  <c r="M67" i="2"/>
  <c r="M59" i="2"/>
  <c r="M65" i="2"/>
  <c r="M57" i="2"/>
  <c r="M58" i="2"/>
  <c r="M68" i="2"/>
  <c r="M60" i="2"/>
  <c r="M66" i="2"/>
  <c r="L68" i="2"/>
  <c r="L60" i="2"/>
  <c r="L66" i="2"/>
  <c r="L58" i="2"/>
  <c r="M41" i="2"/>
  <c r="M27" i="2"/>
  <c r="M19" i="2"/>
  <c r="M25" i="2"/>
  <c r="M17" i="2"/>
  <c r="K67" i="2"/>
  <c r="K59" i="2"/>
  <c r="K65" i="2"/>
  <c r="K57" i="2"/>
  <c r="M23" i="2"/>
  <c r="M21" i="2"/>
  <c r="L22" i="2"/>
  <c r="D21" i="8" s="1"/>
  <c r="N21" i="8" s="1"/>
  <c r="S21" i="8" s="1"/>
  <c r="X21" i="8" s="1"/>
  <c r="L20" i="2"/>
  <c r="D19" i="8" s="1"/>
  <c r="N19" i="8" s="1"/>
  <c r="S19" i="8" s="1"/>
  <c r="X19" i="8" s="1"/>
  <c r="L64" i="2"/>
  <c r="K35" i="2"/>
  <c r="C42" i="8" s="1"/>
  <c r="K4" i="2"/>
  <c r="C4" i="8" s="1"/>
  <c r="M4" i="8" s="1"/>
  <c r="R4" i="8" s="1"/>
  <c r="W4" i="8" s="1"/>
  <c r="K14" i="2"/>
  <c r="M5" i="2"/>
  <c r="E6" i="8" s="1"/>
  <c r="O6" i="8" s="1"/>
  <c r="T6" i="8" s="1"/>
  <c r="Y6" i="8" s="1"/>
  <c r="M14" i="2"/>
  <c r="E13" i="8" s="1"/>
  <c r="O13" i="8" s="1"/>
  <c r="T13" i="8" s="1"/>
  <c r="Y13" i="8" s="1"/>
  <c r="L14" i="2"/>
  <c r="L5" i="2"/>
  <c r="D6" i="8" s="1"/>
  <c r="N6" i="8" s="1"/>
  <c r="S6" i="8" s="1"/>
  <c r="X6" i="8" s="1"/>
  <c r="J4" i="2"/>
  <c r="B4" i="8" s="1"/>
  <c r="L4" i="8" s="1"/>
  <c r="Q4" i="8" s="1"/>
  <c r="V4" i="8" s="1"/>
  <c r="J12" i="2"/>
  <c r="J13" i="2"/>
  <c r="J15" i="2"/>
  <c r="D45" i="8"/>
  <c r="L7" i="2"/>
  <c r="L8" i="2"/>
  <c r="M7" i="2"/>
  <c r="M8" i="2"/>
  <c r="B44" i="8"/>
  <c r="J8" i="2"/>
  <c r="J7" i="2"/>
  <c r="L13" i="2"/>
  <c r="L15" i="2"/>
  <c r="K13" i="2"/>
  <c r="K15" i="2"/>
  <c r="M13" i="2"/>
  <c r="M15" i="2"/>
  <c r="K7" i="2"/>
  <c r="K8" i="2"/>
  <c r="AF47" i="8"/>
  <c r="AZ47" i="8" s="1"/>
  <c r="E46" i="8"/>
  <c r="O46" i="8" s="1"/>
  <c r="T46" i="8" s="1"/>
  <c r="Y46" i="8" s="1"/>
  <c r="E5" i="8"/>
  <c r="O5" i="8" s="1"/>
  <c r="T5" i="8" s="1"/>
  <c r="Y5" i="8" s="1"/>
  <c r="D48" i="8"/>
  <c r="N48" i="8" s="1"/>
  <c r="S48" i="8" s="1"/>
  <c r="X48" i="8" s="1"/>
  <c r="B6" i="8"/>
  <c r="L6" i="8" s="1"/>
  <c r="Q6" i="8" s="1"/>
  <c r="V6" i="8" s="1"/>
  <c r="B46" i="8"/>
  <c r="L46" i="8" s="1"/>
  <c r="Q46" i="8" s="1"/>
  <c r="V46" i="8" s="1"/>
  <c r="E44" i="8"/>
  <c r="O44" i="8" s="1"/>
  <c r="T44" i="8" s="1"/>
  <c r="Y44" i="8" s="1"/>
  <c r="C44" i="8"/>
  <c r="M44" i="8" s="1"/>
  <c r="R44" i="8" s="1"/>
  <c r="W44" i="8" s="1"/>
  <c r="D46" i="8"/>
  <c r="N46" i="8" s="1"/>
  <c r="S46" i="8" s="1"/>
  <c r="X46" i="8" s="1"/>
  <c r="C5" i="8"/>
  <c r="M5" i="8" s="1"/>
  <c r="R5" i="8" s="1"/>
  <c r="W5" i="8" s="1"/>
  <c r="D5" i="8"/>
  <c r="N5" i="8" s="1"/>
  <c r="S5" i="8" s="1"/>
  <c r="X5" i="8" s="1"/>
  <c r="C48" i="8"/>
  <c r="M48" i="8" s="1"/>
  <c r="R48" i="8" s="1"/>
  <c r="W48" i="8" s="1"/>
  <c r="D44" i="8"/>
  <c r="N44" i="8" s="1"/>
  <c r="S44" i="8" s="1"/>
  <c r="X44" i="8" s="1"/>
  <c r="D43" i="8"/>
  <c r="N43" i="8" s="1"/>
  <c r="S43" i="8" s="1"/>
  <c r="X43" i="8" s="1"/>
  <c r="E4" i="8"/>
  <c r="O4" i="8" s="1"/>
  <c r="T4" i="8" s="1"/>
  <c r="Y4" i="8" s="1"/>
  <c r="D4" i="8"/>
  <c r="N4" i="8" s="1"/>
  <c r="S4" i="8" s="1"/>
  <c r="X4" i="8" s="1"/>
  <c r="C46" i="8"/>
  <c r="M46" i="8" s="1"/>
  <c r="R46" i="8" s="1"/>
  <c r="W46" i="8" s="1"/>
  <c r="C6" i="8"/>
  <c r="M6" i="8" s="1"/>
  <c r="R6" i="8" s="1"/>
  <c r="W6" i="8" s="1"/>
  <c r="E48" i="8"/>
  <c r="O48" i="8" s="1"/>
  <c r="T48" i="8" s="1"/>
  <c r="Y48" i="8" s="1"/>
  <c r="B48" i="8"/>
  <c r="L48" i="8" s="1"/>
  <c r="Q48" i="8" s="1"/>
  <c r="V48" i="8" s="1"/>
  <c r="B5" i="8"/>
  <c r="L5" i="8" s="1"/>
  <c r="Q5" i="8" s="1"/>
  <c r="V5" i="8" s="1"/>
  <c r="L40" i="8" l="1"/>
  <c r="Q40" i="8" s="1"/>
  <c r="V40" i="8" s="1"/>
  <c r="AD40" i="8" s="1"/>
  <c r="AX40" i="8" s="1"/>
  <c r="O47" i="8"/>
  <c r="T47" i="8" s="1"/>
  <c r="Y47" i="8" s="1"/>
  <c r="AG47" i="8" s="1"/>
  <c r="BA47" i="8" s="1"/>
  <c r="L44" i="8"/>
  <c r="Q44" i="8" s="1"/>
  <c r="V44" i="8" s="1"/>
  <c r="AD44" i="8" s="1"/>
  <c r="AX44" i="8" s="1"/>
  <c r="O40" i="8"/>
  <c r="T40" i="8" s="1"/>
  <c r="Y40" i="8" s="1"/>
  <c r="AG40" i="8" s="1"/>
  <c r="BA40" i="8" s="1"/>
  <c r="N45" i="8"/>
  <c r="S45" i="8" s="1"/>
  <c r="X45" i="8" s="1"/>
  <c r="AF45" i="8" s="1"/>
  <c r="AZ45" i="8" s="1"/>
  <c r="AA49" i="8"/>
  <c r="AB49" i="8" s="1"/>
  <c r="BD49" i="8" s="1"/>
  <c r="T3" i="8"/>
  <c r="M51" i="8"/>
  <c r="R51" i="8" s="1"/>
  <c r="W51" i="8" s="1"/>
  <c r="AE51" i="8" s="1"/>
  <c r="AY51" i="8" s="1"/>
  <c r="R3" i="8"/>
  <c r="V3" i="8"/>
  <c r="AD3" i="8" s="1"/>
  <c r="AX3" i="8" s="1"/>
  <c r="L51" i="8"/>
  <c r="Q51" i="8" s="1"/>
  <c r="V51" i="8" s="1"/>
  <c r="AD51" i="8" s="1"/>
  <c r="AX51" i="8" s="1"/>
  <c r="O51" i="8"/>
  <c r="T51" i="8" s="1"/>
  <c r="Y51" i="8" s="1"/>
  <c r="AG51" i="8" s="1"/>
  <c r="BA51" i="8" s="1"/>
  <c r="S3" i="8"/>
  <c r="L47" i="8"/>
  <c r="Q47" i="8" s="1"/>
  <c r="V47" i="8" s="1"/>
  <c r="AD47" i="8" s="1"/>
  <c r="AX47" i="8" s="1"/>
  <c r="M40" i="8"/>
  <c r="R40" i="8" s="1"/>
  <c r="W40" i="8" s="1"/>
  <c r="AE40" i="8" s="1"/>
  <c r="AY40" i="8" s="1"/>
  <c r="M42" i="8"/>
  <c r="R42" i="8" s="1"/>
  <c r="W42" i="8" s="1"/>
  <c r="AE42" i="8" s="1"/>
  <c r="AY42" i="8" s="1"/>
  <c r="O42" i="8"/>
  <c r="T42" i="8" s="1"/>
  <c r="Y42" i="8" s="1"/>
  <c r="BJ42" i="8" s="1"/>
  <c r="M47" i="8"/>
  <c r="R47" i="8" s="1"/>
  <c r="W47" i="8" s="1"/>
  <c r="AE47" i="8" s="1"/>
  <c r="AY47" i="8" s="1"/>
  <c r="L42" i="8"/>
  <c r="Q42" i="8" s="1"/>
  <c r="V42" i="8" s="1"/>
  <c r="BG42" i="8" s="1"/>
  <c r="AF51" i="8"/>
  <c r="AZ51" i="8" s="1"/>
  <c r="B13" i="8"/>
  <c r="L13" i="8" s="1"/>
  <c r="Q13" i="8" s="1"/>
  <c r="V13" i="8" s="1"/>
  <c r="AD13" i="8" s="1"/>
  <c r="AX13" i="8" s="1"/>
  <c r="E21" i="8"/>
  <c r="B41" i="8"/>
  <c r="L41" i="8" s="1"/>
  <c r="Q41" i="8" s="1"/>
  <c r="V41" i="8" s="1"/>
  <c r="B15" i="8"/>
  <c r="E41" i="8"/>
  <c r="E45" i="8"/>
  <c r="C41" i="8"/>
  <c r="M41" i="8" s="1"/>
  <c r="R41" i="8" s="1"/>
  <c r="W41" i="8" s="1"/>
  <c r="B21" i="8"/>
  <c r="E39" i="8"/>
  <c r="E23" i="8"/>
  <c r="E15" i="8"/>
  <c r="B45" i="8"/>
  <c r="C21" i="8"/>
  <c r="D39" i="8"/>
  <c r="BC49" i="8"/>
  <c r="AI49" i="8"/>
  <c r="AJ49" i="8" s="1"/>
  <c r="BE49" i="8" s="1"/>
  <c r="BG44" i="8"/>
  <c r="BI42" i="8"/>
  <c r="B43" i="8"/>
  <c r="D18" i="8"/>
  <c r="E37" i="8"/>
  <c r="C39" i="8"/>
  <c r="B39" i="8"/>
  <c r="B37" i="8"/>
  <c r="D41" i="8"/>
  <c r="C37" i="8"/>
  <c r="C23" i="8"/>
  <c r="C15" i="8"/>
  <c r="C18" i="8"/>
  <c r="B23" i="8"/>
  <c r="C45" i="8"/>
  <c r="D37" i="8"/>
  <c r="D40" i="8"/>
  <c r="E43" i="8"/>
  <c r="B18" i="8"/>
  <c r="D15" i="8"/>
  <c r="D13" i="8"/>
  <c r="D11" i="8"/>
  <c r="C13" i="8"/>
  <c r="C11" i="8"/>
  <c r="E11" i="8"/>
  <c r="B12" i="8"/>
  <c r="B11" i="8"/>
  <c r="L11" i="8" s="1"/>
  <c r="Q11" i="8" s="1"/>
  <c r="V11" i="8" s="1"/>
  <c r="C38" i="8"/>
  <c r="D38" i="8"/>
  <c r="B38" i="8"/>
  <c r="E38" i="8"/>
  <c r="AA10" i="8"/>
  <c r="AB10" i="8" s="1"/>
  <c r="BD10" i="8" s="1"/>
  <c r="AF19" i="8"/>
  <c r="AZ19" i="8" s="1"/>
  <c r="AF33" i="8"/>
  <c r="AZ33" i="8" s="1"/>
  <c r="AD48" i="8"/>
  <c r="AX48" i="8" s="1"/>
  <c r="AF44" i="8"/>
  <c r="AZ44" i="8" s="1"/>
  <c r="AG19" i="8"/>
  <c r="BA19" i="8" s="1"/>
  <c r="AE48" i="8"/>
  <c r="AY48" i="8" s="1"/>
  <c r="AE43" i="8"/>
  <c r="AY43" i="8" s="1"/>
  <c r="AF21" i="8"/>
  <c r="AZ21" i="8" s="1"/>
  <c r="AG44" i="8"/>
  <c r="BA44" i="8" s="1"/>
  <c r="AE19" i="8"/>
  <c r="AY19" i="8" s="1"/>
  <c r="AG48" i="8"/>
  <c r="BA48" i="8" s="1"/>
  <c r="AE46" i="8"/>
  <c r="AY46" i="8" s="1"/>
  <c r="AD33" i="8"/>
  <c r="AX33" i="8" s="1"/>
  <c r="AG13" i="8"/>
  <c r="BA13" i="8" s="1"/>
  <c r="AG46" i="8"/>
  <c r="BA46" i="8" s="1"/>
  <c r="AE33" i="8"/>
  <c r="AY33" i="8" s="1"/>
  <c r="AD19" i="8"/>
  <c r="AX19" i="8" s="1"/>
  <c r="AE44" i="8"/>
  <c r="AY44" i="8" s="1"/>
  <c r="AF43" i="8"/>
  <c r="AZ43" i="8" s="1"/>
  <c r="AG33" i="8"/>
  <c r="BA33" i="8" s="1"/>
  <c r="AF23" i="8"/>
  <c r="AZ23" i="8" s="1"/>
  <c r="AD46" i="8"/>
  <c r="AX46" i="8" s="1"/>
  <c r="AF48" i="8"/>
  <c r="AZ48" i="8" s="1"/>
  <c r="AF46" i="8"/>
  <c r="AZ46" i="8" s="1"/>
  <c r="E7" i="8"/>
  <c r="O7" i="8" s="1"/>
  <c r="T7" i="8" s="1"/>
  <c r="Y7" i="8" s="1"/>
  <c r="AA9" i="8"/>
  <c r="AB9" i="8" s="1"/>
  <c r="BD9" i="8" s="1"/>
  <c r="C17" i="8"/>
  <c r="M17" i="8" s="1"/>
  <c r="R17" i="8" s="1"/>
  <c r="W17" i="8" s="1"/>
  <c r="B28" i="8"/>
  <c r="L28" i="8" s="1"/>
  <c r="Q28" i="8" s="1"/>
  <c r="V28" i="8" s="1"/>
  <c r="B34" i="8"/>
  <c r="L34" i="8" s="1"/>
  <c r="Q34" i="8" s="1"/>
  <c r="V34" i="8" s="1"/>
  <c r="E34" i="8"/>
  <c r="O34" i="8" s="1"/>
  <c r="T34" i="8" s="1"/>
  <c r="Y34" i="8" s="1"/>
  <c r="C34" i="8"/>
  <c r="M34" i="8" s="1"/>
  <c r="R34" i="8" s="1"/>
  <c r="W34" i="8" s="1"/>
  <c r="E28" i="8"/>
  <c r="O28" i="8" s="1"/>
  <c r="T28" i="8" s="1"/>
  <c r="Y28" i="8" s="1"/>
  <c r="D24" i="8"/>
  <c r="N24" i="8" s="1"/>
  <c r="S24" i="8" s="1"/>
  <c r="X24" i="8" s="1"/>
  <c r="C20" i="8"/>
  <c r="M20" i="8" s="1"/>
  <c r="R20" i="8" s="1"/>
  <c r="W20" i="8" s="1"/>
  <c r="C25" i="8"/>
  <c r="M25" i="8" s="1"/>
  <c r="R25" i="8" s="1"/>
  <c r="W25" i="8" s="1"/>
  <c r="C27" i="8"/>
  <c r="M27" i="8" s="1"/>
  <c r="R27" i="8" s="1"/>
  <c r="W27" i="8" s="1"/>
  <c r="C31" i="8"/>
  <c r="M31" i="8" s="1"/>
  <c r="R31" i="8" s="1"/>
  <c r="W31" i="8" s="1"/>
  <c r="D26" i="8"/>
  <c r="N26" i="8" s="1"/>
  <c r="S26" i="8" s="1"/>
  <c r="X26" i="8" s="1"/>
  <c r="B27" i="8"/>
  <c r="L27" i="8" s="1"/>
  <c r="Q27" i="8" s="1"/>
  <c r="V27" i="8" s="1"/>
  <c r="B29" i="8"/>
  <c r="L29" i="8" s="1"/>
  <c r="Q29" i="8" s="1"/>
  <c r="V29" i="8" s="1"/>
  <c r="B24" i="8"/>
  <c r="L24" i="8" s="1"/>
  <c r="Q24" i="8" s="1"/>
  <c r="V24" i="8" s="1"/>
  <c r="C28" i="8"/>
  <c r="M28" i="8" s="1"/>
  <c r="R28" i="8" s="1"/>
  <c r="W28" i="8" s="1"/>
  <c r="E17" i="8"/>
  <c r="O17" i="8" s="1"/>
  <c r="T17" i="8" s="1"/>
  <c r="Y17" i="8" s="1"/>
  <c r="C29" i="8"/>
  <c r="M29" i="8" s="1"/>
  <c r="R29" i="8" s="1"/>
  <c r="W29" i="8" s="1"/>
  <c r="D34" i="8"/>
  <c r="N34" i="8" s="1"/>
  <c r="S34" i="8" s="1"/>
  <c r="X34" i="8" s="1"/>
  <c r="D17" i="8"/>
  <c r="N17" i="8" s="1"/>
  <c r="S17" i="8" s="1"/>
  <c r="X17" i="8" s="1"/>
  <c r="D35" i="8"/>
  <c r="N35" i="8" s="1"/>
  <c r="S35" i="8" s="1"/>
  <c r="X35" i="8" s="1"/>
  <c r="E27" i="8"/>
  <c r="O27" i="8" s="1"/>
  <c r="T27" i="8" s="1"/>
  <c r="Y27" i="8" s="1"/>
  <c r="D22" i="8"/>
  <c r="N22" i="8" s="1"/>
  <c r="S22" i="8" s="1"/>
  <c r="X22" i="8" s="1"/>
  <c r="E16" i="8"/>
  <c r="O16" i="8" s="1"/>
  <c r="T16" i="8" s="1"/>
  <c r="Y16" i="8" s="1"/>
  <c r="B31" i="8"/>
  <c r="L31" i="8" s="1"/>
  <c r="Q31" i="8" s="1"/>
  <c r="V31" i="8" s="1"/>
  <c r="C24" i="8"/>
  <c r="M24" i="8" s="1"/>
  <c r="R24" i="8" s="1"/>
  <c r="W24" i="8" s="1"/>
  <c r="C32" i="8"/>
  <c r="M32" i="8" s="1"/>
  <c r="R32" i="8" s="1"/>
  <c r="W32" i="8" s="1"/>
  <c r="E30" i="8"/>
  <c r="O30" i="8" s="1"/>
  <c r="T30" i="8" s="1"/>
  <c r="Y30" i="8" s="1"/>
  <c r="C12" i="8"/>
  <c r="M12" i="8" s="1"/>
  <c r="R12" i="8" s="1"/>
  <c r="W12" i="8" s="1"/>
  <c r="B14" i="8"/>
  <c r="L14" i="8" s="1"/>
  <c r="Q14" i="8" s="1"/>
  <c r="V14" i="8" s="1"/>
  <c r="B30" i="8"/>
  <c r="L30" i="8" s="1"/>
  <c r="Q30" i="8" s="1"/>
  <c r="V30" i="8" s="1"/>
  <c r="D32" i="8"/>
  <c r="N32" i="8" s="1"/>
  <c r="S32" i="8" s="1"/>
  <c r="X32" i="8" s="1"/>
  <c r="C35" i="8"/>
  <c r="M35" i="8" s="1"/>
  <c r="R35" i="8" s="1"/>
  <c r="W35" i="8" s="1"/>
  <c r="C7" i="8"/>
  <c r="M7" i="8" s="1"/>
  <c r="R7" i="8" s="1"/>
  <c r="W7" i="8" s="1"/>
  <c r="D12" i="8"/>
  <c r="N12" i="8" s="1"/>
  <c r="S12" i="8" s="1"/>
  <c r="X12" i="8" s="1"/>
  <c r="E26" i="8"/>
  <c r="O26" i="8" s="1"/>
  <c r="T26" i="8" s="1"/>
  <c r="Y26" i="8" s="1"/>
  <c r="E32" i="8"/>
  <c r="O32" i="8" s="1"/>
  <c r="T32" i="8" s="1"/>
  <c r="Y32" i="8" s="1"/>
  <c r="C30" i="8"/>
  <c r="M30" i="8" s="1"/>
  <c r="R30" i="8" s="1"/>
  <c r="W30" i="8" s="1"/>
  <c r="D7" i="8"/>
  <c r="N7" i="8" s="1"/>
  <c r="S7" i="8" s="1"/>
  <c r="X7" i="8" s="1"/>
  <c r="C16" i="8"/>
  <c r="M16" i="8" s="1"/>
  <c r="R16" i="8" s="1"/>
  <c r="W16" i="8" s="1"/>
  <c r="B20" i="8"/>
  <c r="L20" i="8" s="1"/>
  <c r="Q20" i="8" s="1"/>
  <c r="V20" i="8" s="1"/>
  <c r="D36" i="8"/>
  <c r="N36" i="8" s="1"/>
  <c r="S36" i="8" s="1"/>
  <c r="X36" i="8" s="1"/>
  <c r="E29" i="8"/>
  <c r="O29" i="8" s="1"/>
  <c r="T29" i="8" s="1"/>
  <c r="Y29" i="8" s="1"/>
  <c r="E35" i="8"/>
  <c r="O35" i="8" s="1"/>
  <c r="T35" i="8" s="1"/>
  <c r="Y35" i="8" s="1"/>
  <c r="B25" i="8"/>
  <c r="L25" i="8" s="1"/>
  <c r="Q25" i="8" s="1"/>
  <c r="V25" i="8" s="1"/>
  <c r="C14" i="8"/>
  <c r="M14" i="8" s="1"/>
  <c r="R14" i="8" s="1"/>
  <c r="W14" i="8" s="1"/>
  <c r="D25" i="8"/>
  <c r="N25" i="8" s="1"/>
  <c r="S25" i="8" s="1"/>
  <c r="X25" i="8" s="1"/>
  <c r="B16" i="8"/>
  <c r="L16" i="8" s="1"/>
  <c r="Q16" i="8" s="1"/>
  <c r="V16" i="8" s="1"/>
  <c r="E36" i="8"/>
  <c r="O36" i="8" s="1"/>
  <c r="T36" i="8" s="1"/>
  <c r="Y36" i="8" s="1"/>
  <c r="B35" i="8"/>
  <c r="L35" i="8" s="1"/>
  <c r="Q35" i="8" s="1"/>
  <c r="V35" i="8" s="1"/>
  <c r="D30" i="8"/>
  <c r="N30" i="8" s="1"/>
  <c r="S30" i="8" s="1"/>
  <c r="X30" i="8" s="1"/>
  <c r="D14" i="8"/>
  <c r="N14" i="8" s="1"/>
  <c r="S14" i="8" s="1"/>
  <c r="X14" i="8" s="1"/>
  <c r="C36" i="8"/>
  <c r="M36" i="8" s="1"/>
  <c r="R36" i="8" s="1"/>
  <c r="W36" i="8" s="1"/>
  <c r="C26" i="8"/>
  <c r="M26" i="8" s="1"/>
  <c r="R26" i="8" s="1"/>
  <c r="W26" i="8" s="1"/>
  <c r="D29" i="8"/>
  <c r="N29" i="8" s="1"/>
  <c r="S29" i="8" s="1"/>
  <c r="X29" i="8" s="1"/>
  <c r="E12" i="8"/>
  <c r="O12" i="8" s="1"/>
  <c r="T12" i="8" s="1"/>
  <c r="Y12" i="8" s="1"/>
  <c r="D31" i="8"/>
  <c r="N31" i="8" s="1"/>
  <c r="S31" i="8" s="1"/>
  <c r="X31" i="8" s="1"/>
  <c r="E24" i="8"/>
  <c r="O24" i="8" s="1"/>
  <c r="T24" i="8" s="1"/>
  <c r="Y24" i="8" s="1"/>
  <c r="B17" i="8"/>
  <c r="L17" i="8" s="1"/>
  <c r="Q17" i="8" s="1"/>
  <c r="V17" i="8" s="1"/>
  <c r="B22" i="8"/>
  <c r="L22" i="8" s="1"/>
  <c r="Q22" i="8" s="1"/>
  <c r="V22" i="8" s="1"/>
  <c r="D27" i="8"/>
  <c r="N27" i="8" s="1"/>
  <c r="S27" i="8" s="1"/>
  <c r="X27" i="8" s="1"/>
  <c r="E22" i="8"/>
  <c r="O22" i="8" s="1"/>
  <c r="T22" i="8" s="1"/>
  <c r="Y22" i="8" s="1"/>
  <c r="D16" i="8"/>
  <c r="N16" i="8" s="1"/>
  <c r="S16" i="8" s="1"/>
  <c r="X16" i="8" s="1"/>
  <c r="B7" i="8"/>
  <c r="L7" i="8" s="1"/>
  <c r="Q7" i="8" s="1"/>
  <c r="V7" i="8" s="1"/>
  <c r="E20" i="8"/>
  <c r="O20" i="8" s="1"/>
  <c r="T20" i="8" s="1"/>
  <c r="Y20" i="8" s="1"/>
  <c r="B32" i="8"/>
  <c r="L32" i="8" s="1"/>
  <c r="Q32" i="8" s="1"/>
  <c r="V32" i="8" s="1"/>
  <c r="B26" i="8"/>
  <c r="L26" i="8" s="1"/>
  <c r="Q26" i="8" s="1"/>
  <c r="V26" i="8" s="1"/>
  <c r="D28" i="8"/>
  <c r="N28" i="8" s="1"/>
  <c r="S28" i="8" s="1"/>
  <c r="X28" i="8" s="1"/>
  <c r="E31" i="8"/>
  <c r="O31" i="8" s="1"/>
  <c r="T31" i="8" s="1"/>
  <c r="Y31" i="8" s="1"/>
  <c r="E25" i="8"/>
  <c r="O25" i="8" s="1"/>
  <c r="T25" i="8" s="1"/>
  <c r="Y25" i="8" s="1"/>
  <c r="E18" i="8"/>
  <c r="O18" i="8" s="1"/>
  <c r="T18" i="8" s="1"/>
  <c r="Y18" i="8" s="1"/>
  <c r="C22" i="8"/>
  <c r="M22" i="8" s="1"/>
  <c r="R22" i="8" s="1"/>
  <c r="W22" i="8" s="1"/>
  <c r="D20" i="8"/>
  <c r="N20" i="8" s="1"/>
  <c r="S20" i="8" s="1"/>
  <c r="X20" i="8" s="1"/>
  <c r="E14" i="8"/>
  <c r="O14" i="8" s="1"/>
  <c r="T14" i="8" s="1"/>
  <c r="Y14" i="8" s="1"/>
  <c r="B36" i="8"/>
  <c r="L36" i="8" s="1"/>
  <c r="Q36" i="8" s="1"/>
  <c r="V36" i="8" s="1"/>
  <c r="AA42" i="8" l="1"/>
  <c r="AB42" i="8" s="1"/>
  <c r="BD42" i="8" s="1"/>
  <c r="AA51" i="8"/>
  <c r="AB51" i="8" s="1"/>
  <c r="BD51" i="8" s="1"/>
  <c r="BH42" i="8"/>
  <c r="O39" i="8"/>
  <c r="T39" i="8" s="1"/>
  <c r="Y39" i="8" s="1"/>
  <c r="AG39" i="8" s="1"/>
  <c r="BA39" i="8" s="1"/>
  <c r="N15" i="8"/>
  <c r="S15" i="8" s="1"/>
  <c r="X15" i="8" s="1"/>
  <c r="AF15" i="8" s="1"/>
  <c r="AZ15" i="8" s="1"/>
  <c r="M45" i="8"/>
  <c r="R45" i="8" s="1"/>
  <c r="W45" i="8" s="1"/>
  <c r="AE45" i="8" s="1"/>
  <c r="AY45" i="8" s="1"/>
  <c r="O38" i="8"/>
  <c r="T38" i="8" s="1"/>
  <c r="Y38" i="8" s="1"/>
  <c r="AG38" i="8" s="1"/>
  <c r="BA38" i="8" s="1"/>
  <c r="L38" i="8"/>
  <c r="Q38" i="8" s="1"/>
  <c r="V38" i="8" s="1"/>
  <c r="AD38" i="8" s="1"/>
  <c r="AX38" i="8" s="1"/>
  <c r="N38" i="8"/>
  <c r="S38" i="8" s="1"/>
  <c r="X38" i="8" s="1"/>
  <c r="AF38" i="8" s="1"/>
  <c r="AZ38" i="8" s="1"/>
  <c r="M37" i="8"/>
  <c r="R37" i="8" s="1"/>
  <c r="W37" i="8" s="1"/>
  <c r="AE37" i="8" s="1"/>
  <c r="AY37" i="8" s="1"/>
  <c r="M38" i="8"/>
  <c r="R38" i="8" s="1"/>
  <c r="W38" i="8" s="1"/>
  <c r="AE38" i="8" s="1"/>
  <c r="AY38" i="8" s="1"/>
  <c r="N41" i="8"/>
  <c r="S41" i="8" s="1"/>
  <c r="X41" i="8" s="1"/>
  <c r="AA41" i="8" s="1"/>
  <c r="AB41" i="8" s="1"/>
  <c r="BD41" i="8" s="1"/>
  <c r="L21" i="8"/>
  <c r="Q21" i="8" s="1"/>
  <c r="V21" i="8" s="1"/>
  <c r="AA21" i="8" s="1"/>
  <c r="AB21" i="8" s="1"/>
  <c r="BD21" i="8" s="1"/>
  <c r="W3" i="8"/>
  <c r="Y3" i="8"/>
  <c r="L37" i="8"/>
  <c r="Q37" i="8" s="1"/>
  <c r="V37" i="8" s="1"/>
  <c r="N40" i="8"/>
  <c r="S40" i="8" s="1"/>
  <c r="X40" i="8" s="1"/>
  <c r="AF40" i="8" s="1"/>
  <c r="AZ40" i="8" s="1"/>
  <c r="BC40" i="8" s="1"/>
  <c r="N37" i="8"/>
  <c r="S37" i="8" s="1"/>
  <c r="X37" i="8" s="1"/>
  <c r="AF37" i="8" s="1"/>
  <c r="AZ37" i="8" s="1"/>
  <c r="AG42" i="8"/>
  <c r="BA42" i="8" s="1"/>
  <c r="L12" i="8"/>
  <c r="L39" i="8"/>
  <c r="Q39" i="8" s="1"/>
  <c r="V39" i="8" s="1"/>
  <c r="O45" i="8"/>
  <c r="T45" i="8" s="1"/>
  <c r="Y45" i="8" s="1"/>
  <c r="AG45" i="8" s="1"/>
  <c r="BA45" i="8" s="1"/>
  <c r="AD42" i="8"/>
  <c r="AX42" i="8" s="1"/>
  <c r="M21" i="8"/>
  <c r="R21" i="8" s="1"/>
  <c r="W21" i="8" s="1"/>
  <c r="AE21" i="8" s="1"/>
  <c r="AY21" i="8" s="1"/>
  <c r="O11" i="8"/>
  <c r="T11" i="8" s="1"/>
  <c r="Y11" i="8" s="1"/>
  <c r="AG11" i="8" s="1"/>
  <c r="BA11" i="8" s="1"/>
  <c r="M39" i="8"/>
  <c r="R39" i="8" s="1"/>
  <c r="W39" i="8" s="1"/>
  <c r="AE39" i="8" s="1"/>
  <c r="AY39" i="8" s="1"/>
  <c r="O41" i="8"/>
  <c r="T41" i="8" s="1"/>
  <c r="Y41" i="8" s="1"/>
  <c r="AG41" i="8" s="1"/>
  <c r="BA41" i="8" s="1"/>
  <c r="X3" i="8"/>
  <c r="L18" i="8"/>
  <c r="Q18" i="8" s="1"/>
  <c r="V18" i="8" s="1"/>
  <c r="AD18" i="8" s="1"/>
  <c r="AX18" i="8" s="1"/>
  <c r="N39" i="8"/>
  <c r="S39" i="8" s="1"/>
  <c r="X39" i="8" s="1"/>
  <c r="AF39" i="8" s="1"/>
  <c r="AZ39" i="8" s="1"/>
  <c r="M11" i="8"/>
  <c r="O37" i="8"/>
  <c r="T37" i="8" s="1"/>
  <c r="Y37" i="8" s="1"/>
  <c r="AG37" i="8" s="1"/>
  <c r="BA37" i="8" s="1"/>
  <c r="L15" i="8"/>
  <c r="Q15" i="8" s="1"/>
  <c r="V15" i="8" s="1"/>
  <c r="AD15" i="8" s="1"/>
  <c r="AX15" i="8" s="1"/>
  <c r="O43" i="8"/>
  <c r="T43" i="8" s="1"/>
  <c r="Y43" i="8" s="1"/>
  <c r="AG43" i="8" s="1"/>
  <c r="BA43" i="8" s="1"/>
  <c r="L45" i="8"/>
  <c r="Q45" i="8" s="1"/>
  <c r="V45" i="8" s="1"/>
  <c r="AD45" i="8" s="1"/>
  <c r="AX45" i="8" s="1"/>
  <c r="M15" i="8"/>
  <c r="R15" i="8" s="1"/>
  <c r="W15" i="8" s="1"/>
  <c r="AE15" i="8" s="1"/>
  <c r="AY15" i="8" s="1"/>
  <c r="M23" i="8"/>
  <c r="R23" i="8" s="1"/>
  <c r="W23" i="8" s="1"/>
  <c r="AE23" i="8" s="1"/>
  <c r="AY23" i="8" s="1"/>
  <c r="M13" i="8"/>
  <c r="R13" i="8" s="1"/>
  <c r="W13" i="8" s="1"/>
  <c r="AE13" i="8" s="1"/>
  <c r="AY13" i="8" s="1"/>
  <c r="N18" i="8"/>
  <c r="S18" i="8" s="1"/>
  <c r="X18" i="8" s="1"/>
  <c r="AF18" i="8" s="1"/>
  <c r="AZ18" i="8" s="1"/>
  <c r="N11" i="8"/>
  <c r="S11" i="8" s="1"/>
  <c r="X11" i="8" s="1"/>
  <c r="AF11" i="8" s="1"/>
  <c r="AZ11" i="8" s="1"/>
  <c r="L43" i="8"/>
  <c r="Q43" i="8" s="1"/>
  <c r="V43" i="8" s="1"/>
  <c r="O21" i="8"/>
  <c r="T21" i="8" s="1"/>
  <c r="Y21" i="8" s="1"/>
  <c r="AG21" i="8" s="1"/>
  <c r="BA21" i="8" s="1"/>
  <c r="L23" i="8"/>
  <c r="Q23" i="8" s="1"/>
  <c r="V23" i="8" s="1"/>
  <c r="AD23" i="8" s="1"/>
  <c r="AX23" i="8" s="1"/>
  <c r="M18" i="8"/>
  <c r="R18" i="8" s="1"/>
  <c r="W18" i="8" s="1"/>
  <c r="AE18" i="8" s="1"/>
  <c r="AY18" i="8" s="1"/>
  <c r="O15" i="8"/>
  <c r="T15" i="8" s="1"/>
  <c r="Y15" i="8" s="1"/>
  <c r="AG15" i="8" s="1"/>
  <c r="BA15" i="8" s="1"/>
  <c r="O23" i="8"/>
  <c r="T23" i="8" s="1"/>
  <c r="Y23" i="8" s="1"/>
  <c r="AG23" i="8" s="1"/>
  <c r="BA23" i="8" s="1"/>
  <c r="N13" i="8"/>
  <c r="S13" i="8" s="1"/>
  <c r="X13" i="8" s="1"/>
  <c r="AF13" i="8" s="1"/>
  <c r="AZ13" i="8" s="1"/>
  <c r="AD41" i="8"/>
  <c r="AX41" i="8" s="1"/>
  <c r="BG11" i="8"/>
  <c r="AD11" i="8"/>
  <c r="AX11" i="8" s="1"/>
  <c r="AE41" i="8"/>
  <c r="AY41" i="8" s="1"/>
  <c r="BC51" i="8"/>
  <c r="BI44" i="8"/>
  <c r="BH33" i="8"/>
  <c r="BJ46" i="8"/>
  <c r="BH44" i="8"/>
  <c r="BI46" i="8"/>
  <c r="BG46" i="8"/>
  <c r="BI33" i="8"/>
  <c r="AI51" i="8"/>
  <c r="AJ51" i="8" s="1"/>
  <c r="BE51" i="8" s="1"/>
  <c r="BJ33" i="8"/>
  <c r="BJ44" i="8"/>
  <c r="BG33" i="8"/>
  <c r="BH46" i="8"/>
  <c r="AA4" i="8"/>
  <c r="AB4" i="8" s="1"/>
  <c r="BD4" i="8" s="1"/>
  <c r="AG26" i="8"/>
  <c r="BA26" i="8" s="1"/>
  <c r="AF22" i="8"/>
  <c r="AZ22" i="8" s="1"/>
  <c r="AF24" i="8"/>
  <c r="AZ24" i="8" s="1"/>
  <c r="AF20" i="8"/>
  <c r="AZ20" i="8" s="1"/>
  <c r="AG24" i="8"/>
  <c r="BA24" i="8" s="1"/>
  <c r="AE30" i="8"/>
  <c r="AY30" i="8" s="1"/>
  <c r="AF30" i="8"/>
  <c r="AZ30" i="8" s="1"/>
  <c r="AE24" i="8"/>
  <c r="AY24" i="8" s="1"/>
  <c r="AE25" i="8"/>
  <c r="AY25" i="8" s="1"/>
  <c r="AG27" i="8"/>
  <c r="BA27" i="8" s="1"/>
  <c r="AF35" i="8"/>
  <c r="AZ35" i="8" s="1"/>
  <c r="AG28" i="8"/>
  <c r="BA28" i="8" s="1"/>
  <c r="AG18" i="8"/>
  <c r="BA18" i="8" s="1"/>
  <c r="AD25" i="8"/>
  <c r="AX25" i="8" s="1"/>
  <c r="AE34" i="8"/>
  <c r="AY34" i="8" s="1"/>
  <c r="AG35" i="8"/>
  <c r="BA35" i="8" s="1"/>
  <c r="AD30" i="8"/>
  <c r="AX30" i="8" s="1"/>
  <c r="AF34" i="8"/>
  <c r="AZ34" i="8" s="1"/>
  <c r="AF26" i="8"/>
  <c r="AZ26" i="8" s="1"/>
  <c r="AF16" i="8"/>
  <c r="AZ16" i="8" s="1"/>
  <c r="AD22" i="8"/>
  <c r="AX22" i="8" s="1"/>
  <c r="AD17" i="8"/>
  <c r="AX17" i="8" s="1"/>
  <c r="AE22" i="8"/>
  <c r="AY22" i="8" s="1"/>
  <c r="AF31" i="8"/>
  <c r="AZ31" i="8" s="1"/>
  <c r="AG25" i="8"/>
  <c r="BA25" i="8" s="1"/>
  <c r="AG12" i="8"/>
  <c r="BA12" i="8" s="1"/>
  <c r="AG34" i="8"/>
  <c r="BA34" i="8" s="1"/>
  <c r="AE32" i="8"/>
  <c r="AY32" i="8" s="1"/>
  <c r="AE27" i="8"/>
  <c r="AY27" i="8" s="1"/>
  <c r="AD36" i="8"/>
  <c r="AX36" i="8" s="1"/>
  <c r="AF32" i="8"/>
  <c r="AZ32" i="8" s="1"/>
  <c r="AG29" i="8"/>
  <c r="BA29" i="8" s="1"/>
  <c r="AD14" i="8"/>
  <c r="AX14" i="8" s="1"/>
  <c r="AE29" i="8"/>
  <c r="AY29" i="8" s="1"/>
  <c r="AG32" i="8"/>
  <c r="BA32" i="8" s="1"/>
  <c r="AD31" i="8"/>
  <c r="AX31" i="8" s="1"/>
  <c r="AF25" i="8"/>
  <c r="AZ25" i="8" s="1"/>
  <c r="AF17" i="8"/>
  <c r="AZ17" i="8" s="1"/>
  <c r="AG31" i="8"/>
  <c r="BA31" i="8" s="1"/>
  <c r="AF29" i="8"/>
  <c r="AZ29" i="8" s="1"/>
  <c r="AF36" i="8"/>
  <c r="AZ36" i="8" s="1"/>
  <c r="AG17" i="8"/>
  <c r="BA17" i="8" s="1"/>
  <c r="AD34" i="8"/>
  <c r="AX34" i="8" s="1"/>
  <c r="AE31" i="8"/>
  <c r="AY31" i="8" s="1"/>
  <c r="AG36" i="8"/>
  <c r="BA36" i="8" s="1"/>
  <c r="AD16" i="8"/>
  <c r="AX16" i="8" s="1"/>
  <c r="AG14" i="8"/>
  <c r="BA14" i="8" s="1"/>
  <c r="AE26" i="8"/>
  <c r="AY26" i="8" s="1"/>
  <c r="AE12" i="8"/>
  <c r="AY12" i="8" s="1"/>
  <c r="AE28" i="8"/>
  <c r="AY28" i="8" s="1"/>
  <c r="AG20" i="8"/>
  <c r="BA20" i="8" s="1"/>
  <c r="AG22" i="8"/>
  <c r="BA22" i="8" s="1"/>
  <c r="AG16" i="8"/>
  <c r="BA16" i="8" s="1"/>
  <c r="AE20" i="8"/>
  <c r="AY20" i="8" s="1"/>
  <c r="AD26" i="8"/>
  <c r="AX26" i="8" s="1"/>
  <c r="AE36" i="8"/>
  <c r="AY36" i="8" s="1"/>
  <c r="AD20" i="8"/>
  <c r="AX20" i="8" s="1"/>
  <c r="AD24" i="8"/>
  <c r="AX24" i="8" s="1"/>
  <c r="AD28" i="8"/>
  <c r="AX28" i="8" s="1"/>
  <c r="AF12" i="8"/>
  <c r="AZ12" i="8" s="1"/>
  <c r="AE14" i="8"/>
  <c r="AY14" i="8" s="1"/>
  <c r="AF28" i="8"/>
  <c r="AZ28" i="8" s="1"/>
  <c r="AE16" i="8"/>
  <c r="AY16" i="8" s="1"/>
  <c r="AG30" i="8"/>
  <c r="BA30" i="8" s="1"/>
  <c r="AD29" i="8"/>
  <c r="AX29" i="8" s="1"/>
  <c r="AE17" i="8"/>
  <c r="AY17" i="8" s="1"/>
  <c r="AD35" i="8"/>
  <c r="AX35" i="8" s="1"/>
  <c r="AF27" i="8"/>
  <c r="AZ27" i="8" s="1"/>
  <c r="AE35" i="8"/>
  <c r="AY35" i="8" s="1"/>
  <c r="AD32" i="8"/>
  <c r="AX32" i="8" s="1"/>
  <c r="AF14" i="8"/>
  <c r="AZ14" i="8" s="1"/>
  <c r="AD27" i="8"/>
  <c r="AX27" i="8" s="1"/>
  <c r="AA48" i="8"/>
  <c r="AB48" i="8" s="1"/>
  <c r="BD48" i="8" s="1"/>
  <c r="AA5" i="8"/>
  <c r="AB5" i="8" s="1"/>
  <c r="BD5" i="8" s="1"/>
  <c r="AA6" i="8"/>
  <c r="AB6" i="8" s="1"/>
  <c r="BD6" i="8" s="1"/>
  <c r="AA33" i="8"/>
  <c r="AB33" i="8" s="1"/>
  <c r="BD33" i="8" s="1"/>
  <c r="AA46" i="8"/>
  <c r="AB46" i="8" s="1"/>
  <c r="BD46" i="8" s="1"/>
  <c r="AA47" i="8"/>
  <c r="AB47" i="8" s="1"/>
  <c r="BD47" i="8" s="1"/>
  <c r="AA44" i="8"/>
  <c r="AB44" i="8" s="1"/>
  <c r="BD44" i="8" s="1"/>
  <c r="C101" i="8"/>
  <c r="E101" i="8"/>
  <c r="B101" i="8"/>
  <c r="D101" i="8"/>
  <c r="AA23" i="8" l="1"/>
  <c r="AB23" i="8" s="1"/>
  <c r="BD23" i="8" s="1"/>
  <c r="AA38" i="8"/>
  <c r="AB38" i="8" s="1"/>
  <c r="BD38" i="8" s="1"/>
  <c r="BC42" i="8"/>
  <c r="AA3" i="8"/>
  <c r="AB3" i="8" s="1"/>
  <c r="BD3" i="8" s="1"/>
  <c r="BJ11" i="8"/>
  <c r="AA37" i="8"/>
  <c r="AB37" i="8" s="1"/>
  <c r="BD37" i="8" s="1"/>
  <c r="AA43" i="8"/>
  <c r="AB43" i="8" s="1"/>
  <c r="BD43" i="8" s="1"/>
  <c r="N101" i="8"/>
  <c r="AA39" i="8"/>
  <c r="AB39" i="8" s="1"/>
  <c r="BD39" i="8" s="1"/>
  <c r="AA13" i="8"/>
  <c r="AB13" i="8" s="1"/>
  <c r="BD13" i="8" s="1"/>
  <c r="AA40" i="8"/>
  <c r="AB40" i="8" s="1"/>
  <c r="BD40" i="8" s="1"/>
  <c r="O101" i="8"/>
  <c r="S101" i="8"/>
  <c r="AD43" i="8"/>
  <c r="AX43" i="8" s="1"/>
  <c r="BC43" i="8" s="1"/>
  <c r="BI11" i="8"/>
  <c r="X101" i="8"/>
  <c r="AF3" i="8"/>
  <c r="AZ3" i="8" s="1"/>
  <c r="AA15" i="8"/>
  <c r="AB15" i="8" s="1"/>
  <c r="BD15" i="8" s="1"/>
  <c r="AA45" i="8"/>
  <c r="AB45" i="8" s="1"/>
  <c r="BD45" i="8" s="1"/>
  <c r="AD37" i="8"/>
  <c r="AX37" i="8" s="1"/>
  <c r="BC37" i="8" s="1"/>
  <c r="AD21" i="8"/>
  <c r="AX21" i="8" s="1"/>
  <c r="BC21" i="8" s="1"/>
  <c r="AF41" i="8"/>
  <c r="AZ41" i="8" s="1"/>
  <c r="BC41" i="8" s="1"/>
  <c r="Q12" i="8"/>
  <c r="L101" i="8"/>
  <c r="T101" i="8"/>
  <c r="AD39" i="8"/>
  <c r="AX39" i="8" s="1"/>
  <c r="BC39" i="8" s="1"/>
  <c r="Y101" i="8"/>
  <c r="AG3" i="8"/>
  <c r="BA3" i="8" s="1"/>
  <c r="AE3" i="8"/>
  <c r="AY3" i="8" s="1"/>
  <c r="AI42" i="8"/>
  <c r="AJ42" i="8" s="1"/>
  <c r="BE42" i="8" s="1"/>
  <c r="R11" i="8"/>
  <c r="M101" i="8"/>
  <c r="BJ12" i="8"/>
  <c r="BI31" i="8"/>
  <c r="BG31" i="8"/>
  <c r="BH12" i="8"/>
  <c r="BJ31" i="8"/>
  <c r="BJ35" i="8"/>
  <c r="BI29" i="8"/>
  <c r="AI40" i="8"/>
  <c r="AJ40" i="8" s="1"/>
  <c r="BE40" i="8" s="1"/>
  <c r="BH29" i="8"/>
  <c r="BG29" i="8"/>
  <c r="BJ29" i="8"/>
  <c r="BG35" i="8"/>
  <c r="BH31" i="8"/>
  <c r="BI12" i="8"/>
  <c r="BH35" i="8"/>
  <c r="BI35" i="8"/>
  <c r="BC38" i="8"/>
  <c r="AI38" i="8"/>
  <c r="AJ38" i="8" s="1"/>
  <c r="BE38" i="8" s="1"/>
  <c r="AI33" i="8"/>
  <c r="AJ33" i="8" s="1"/>
  <c r="BE33" i="8" s="1"/>
  <c r="AI15" i="8"/>
  <c r="AJ15" i="8" s="1"/>
  <c r="BE15" i="8" s="1"/>
  <c r="BC44" i="8"/>
  <c r="AI13" i="8"/>
  <c r="AJ13" i="8" s="1"/>
  <c r="BE13" i="8" s="1"/>
  <c r="AI46" i="8"/>
  <c r="AJ46" i="8" s="1"/>
  <c r="BE46" i="8" s="1"/>
  <c r="BC33" i="8"/>
  <c r="AI44" i="8"/>
  <c r="AJ44" i="8" s="1"/>
  <c r="BE44" i="8" s="1"/>
  <c r="AI48" i="8"/>
  <c r="AJ48" i="8" s="1"/>
  <c r="BE48" i="8" s="1"/>
  <c r="BC15" i="8"/>
  <c r="BC13" i="8"/>
  <c r="BC48" i="8"/>
  <c r="BC46" i="8"/>
  <c r="AA16" i="8"/>
  <c r="AB16" i="8" s="1"/>
  <c r="BD16" i="8" s="1"/>
  <c r="AA18" i="8"/>
  <c r="AB18" i="8" s="1"/>
  <c r="BD18" i="8" s="1"/>
  <c r="AA32" i="8"/>
  <c r="AB32" i="8" s="1"/>
  <c r="BD32" i="8" s="1"/>
  <c r="AA30" i="8"/>
  <c r="AB30" i="8" s="1"/>
  <c r="BD30" i="8" s="1"/>
  <c r="AA26" i="8"/>
  <c r="AB26" i="8" s="1"/>
  <c r="BD26" i="8" s="1"/>
  <c r="AA7" i="8"/>
  <c r="AB7" i="8" s="1"/>
  <c r="BD7" i="8" s="1"/>
  <c r="AA31" i="8"/>
  <c r="AB31" i="8" s="1"/>
  <c r="BD31" i="8" s="1"/>
  <c r="AA24" i="8"/>
  <c r="AB24" i="8" s="1"/>
  <c r="BD24" i="8" s="1"/>
  <c r="AA17" i="8"/>
  <c r="AB17" i="8" s="1"/>
  <c r="BD17" i="8" s="1"/>
  <c r="AA36" i="8"/>
  <c r="AB36" i="8" s="1"/>
  <c r="BD36" i="8" s="1"/>
  <c r="AA34" i="8"/>
  <c r="AB34" i="8" s="1"/>
  <c r="BD34" i="8" s="1"/>
  <c r="AA20" i="8"/>
  <c r="AB20" i="8" s="1"/>
  <c r="BD20" i="8" s="1"/>
  <c r="AA35" i="8"/>
  <c r="AB35" i="8" s="1"/>
  <c r="BD35" i="8" s="1"/>
  <c r="AA14" i="8"/>
  <c r="AB14" i="8" s="1"/>
  <c r="BD14" i="8" s="1"/>
  <c r="AA29" i="8"/>
  <c r="AB29" i="8" s="1"/>
  <c r="BD29" i="8" s="1"/>
  <c r="AA27" i="8"/>
  <c r="AB27" i="8" s="1"/>
  <c r="BD27" i="8" s="1"/>
  <c r="AA25" i="8"/>
  <c r="AB25" i="8" s="1"/>
  <c r="BD25" i="8" s="1"/>
  <c r="AA28" i="8"/>
  <c r="AB28" i="8" s="1"/>
  <c r="BD28" i="8" s="1"/>
  <c r="AA22" i="8"/>
  <c r="AB22" i="8" s="1"/>
  <c r="BD22" i="8" s="1"/>
  <c r="BC23" i="8"/>
  <c r="AI23" i="8"/>
  <c r="AJ23" i="8" s="1"/>
  <c r="BE23" i="8" s="1"/>
  <c r="AI45" i="8"/>
  <c r="AJ45" i="8" s="1"/>
  <c r="BE45" i="8" s="1"/>
  <c r="BC45" i="8"/>
  <c r="AI47" i="8"/>
  <c r="AJ47" i="8" s="1"/>
  <c r="BE47" i="8" s="1"/>
  <c r="BC47" i="8"/>
  <c r="B102" i="8"/>
  <c r="L102" i="8" l="1"/>
  <c r="BC3" i="8"/>
  <c r="AI21" i="8"/>
  <c r="AJ21" i="8" s="1"/>
  <c r="BE21" i="8" s="1"/>
  <c r="AI41" i="8"/>
  <c r="AJ41" i="8" s="1"/>
  <c r="BE41" i="8" s="1"/>
  <c r="V12" i="8"/>
  <c r="Q101" i="8"/>
  <c r="AI39" i="8"/>
  <c r="AJ39" i="8" s="1"/>
  <c r="BE39" i="8" s="1"/>
  <c r="AI37" i="8"/>
  <c r="AJ37" i="8" s="1"/>
  <c r="BE37" i="8" s="1"/>
  <c r="AI3" i="8"/>
  <c r="AJ3" i="8" s="1"/>
  <c r="BE3" i="8" s="1"/>
  <c r="AI43" i="8"/>
  <c r="AJ43" i="8" s="1"/>
  <c r="BE43" i="8" s="1"/>
  <c r="W11" i="8"/>
  <c r="R101" i="8"/>
  <c r="AI36" i="8"/>
  <c r="AJ36" i="8" s="1"/>
  <c r="BE36" i="8" s="1"/>
  <c r="AI27" i="8"/>
  <c r="AJ27" i="8" s="1"/>
  <c r="BE27" i="8" s="1"/>
  <c r="AI22" i="8"/>
  <c r="AJ22" i="8" s="1"/>
  <c r="BE22" i="8" s="1"/>
  <c r="AI25" i="8"/>
  <c r="AJ25" i="8" s="1"/>
  <c r="BE25" i="8" s="1"/>
  <c r="AI14" i="8"/>
  <c r="AJ14" i="8" s="1"/>
  <c r="BE14" i="8" s="1"/>
  <c r="AI29" i="8"/>
  <c r="AJ29" i="8" s="1"/>
  <c r="BE29" i="8" s="1"/>
  <c r="BC25" i="8"/>
  <c r="BC29" i="8"/>
  <c r="BC27" i="8"/>
  <c r="AI30" i="8"/>
  <c r="AJ30" i="8" s="1"/>
  <c r="BE30" i="8" s="1"/>
  <c r="BC14" i="8"/>
  <c r="AI26" i="8"/>
  <c r="AJ26" i="8" s="1"/>
  <c r="BE26" i="8" s="1"/>
  <c r="AI28" i="8"/>
  <c r="AJ28" i="8" s="1"/>
  <c r="BE28" i="8" s="1"/>
  <c r="BC30" i="8"/>
  <c r="BC28" i="8"/>
  <c r="BC26" i="8"/>
  <c r="BC22" i="8"/>
  <c r="AI34" i="8"/>
  <c r="AJ34" i="8" s="1"/>
  <c r="BE34" i="8" s="1"/>
  <c r="BC34" i="8"/>
  <c r="BC17" i="8"/>
  <c r="AI17" i="8"/>
  <c r="AJ17" i="8" s="1"/>
  <c r="BE17" i="8" s="1"/>
  <c r="BC32" i="8"/>
  <c r="AI32" i="8"/>
  <c r="AJ32" i="8" s="1"/>
  <c r="BE32" i="8" s="1"/>
  <c r="AI16" i="8"/>
  <c r="AJ16" i="8" s="1"/>
  <c r="BE16" i="8" s="1"/>
  <c r="AI31" i="8"/>
  <c r="AJ31" i="8" s="1"/>
  <c r="BE31" i="8" s="1"/>
  <c r="AI24" i="8"/>
  <c r="AJ24" i="8" s="1"/>
  <c r="BE24" i="8" s="1"/>
  <c r="BC16" i="8"/>
  <c r="AI35" i="8"/>
  <c r="AJ35" i="8" s="1"/>
  <c r="BE35" i="8" s="1"/>
  <c r="BC31" i="8"/>
  <c r="BC35" i="8"/>
  <c r="BC24" i="8"/>
  <c r="BC18" i="8"/>
  <c r="AI18" i="8"/>
  <c r="AJ18" i="8" s="1"/>
  <c r="BE18" i="8" s="1"/>
  <c r="BC20" i="8"/>
  <c r="AI20" i="8"/>
  <c r="AJ20" i="8" s="1"/>
  <c r="BE20" i="8" s="1"/>
  <c r="AA19" i="8"/>
  <c r="AB19" i="8" s="1"/>
  <c r="BD19" i="8" s="1"/>
  <c r="AA8" i="8"/>
  <c r="AB8" i="8" s="1"/>
  <c r="BD8" i="8" s="1"/>
  <c r="AE11" i="8" l="1"/>
  <c r="BH11" i="8"/>
  <c r="AA11" i="8"/>
  <c r="AB11" i="8" s="1"/>
  <c r="BD11" i="8" s="1"/>
  <c r="W101" i="8"/>
  <c r="Q102" i="8"/>
  <c r="V101" i="8"/>
  <c r="AD12" i="8"/>
  <c r="BG12" i="8"/>
  <c r="AA12" i="8"/>
  <c r="AB12" i="8" s="1"/>
  <c r="BD12" i="8" s="1"/>
  <c r="BD1" i="8"/>
  <c r="Y13" i="9" s="1"/>
  <c r="BC36" i="8"/>
  <c r="AI19" i="8"/>
  <c r="AJ19" i="8" s="1"/>
  <c r="BE19" i="8" s="1"/>
  <c r="BC19" i="8"/>
  <c r="AA102" i="8"/>
  <c r="V102" i="8" l="1"/>
  <c r="AX12" i="8"/>
  <c r="BC12" i="8" s="1"/>
  <c r="AI12" i="8"/>
  <c r="AJ12" i="8" s="1"/>
  <c r="BE12" i="8" s="1"/>
  <c r="AY11" i="8"/>
  <c r="BC11" i="8" s="1"/>
  <c r="AI11" i="8"/>
  <c r="AJ11" i="8" s="1"/>
  <c r="BE11" i="8" s="1"/>
  <c r="AB3" i="9"/>
  <c r="BJ48" i="8" l="1"/>
  <c r="BJ21" i="8"/>
  <c r="BJ23" i="8"/>
  <c r="BJ43" i="8"/>
  <c r="BJ16" i="8"/>
  <c r="BJ38" i="8"/>
  <c r="BJ24" i="8"/>
  <c r="BJ51" i="8"/>
  <c r="BJ41" i="8"/>
  <c r="BJ28" i="8"/>
  <c r="BJ39" i="8"/>
  <c r="BJ45" i="8"/>
  <c r="BJ15" i="8"/>
  <c r="BJ37" i="8"/>
  <c r="BJ32" i="8"/>
  <c r="BJ27" i="8"/>
  <c r="BJ22" i="8"/>
  <c r="BJ17" i="8"/>
  <c r="BJ19" i="8"/>
  <c r="BJ40" i="8"/>
  <c r="BJ18" i="8"/>
  <c r="BJ30" i="8"/>
  <c r="BJ13" i="8"/>
  <c r="BJ49" i="8"/>
  <c r="BJ14" i="8"/>
  <c r="BJ25" i="8"/>
  <c r="BJ36" i="8"/>
  <c r="BJ26" i="8"/>
  <c r="BJ20" i="8"/>
  <c r="BJ3" i="8"/>
  <c r="BJ47" i="8"/>
  <c r="BJ34" i="8"/>
  <c r="BI39" i="8"/>
  <c r="BI22" i="8"/>
  <c r="BI34" i="8"/>
  <c r="BI17" i="8"/>
  <c r="BI26" i="8"/>
  <c r="BI37" i="8"/>
  <c r="BI27" i="8"/>
  <c r="BI24" i="8"/>
  <c r="BI19" i="8"/>
  <c r="BI51" i="8"/>
  <c r="BI14" i="8"/>
  <c r="BI41" i="8"/>
  <c r="BI47" i="8"/>
  <c r="BI32" i="8"/>
  <c r="BI36" i="8"/>
  <c r="BI25" i="8"/>
  <c r="BI3" i="8"/>
  <c r="BI15" i="8"/>
  <c r="BI48" i="8"/>
  <c r="BI21" i="8"/>
  <c r="BI43" i="8"/>
  <c r="BI16" i="8"/>
  <c r="BI38" i="8"/>
  <c r="BI23" i="8"/>
  <c r="BI40" i="8"/>
  <c r="BI13" i="8"/>
  <c r="BI20" i="8"/>
  <c r="BI49" i="8"/>
  <c r="BI28" i="8"/>
  <c r="BI45" i="8"/>
  <c r="BI18" i="8"/>
  <c r="BI30" i="8"/>
  <c r="BH30" i="8"/>
  <c r="BH13" i="8"/>
  <c r="BH25" i="8"/>
  <c r="BH20" i="8"/>
  <c r="BH3" i="8"/>
  <c r="BH15" i="8"/>
  <c r="BH47" i="8"/>
  <c r="BH49" i="8"/>
  <c r="BH37" i="8"/>
  <c r="BH32" i="8"/>
  <c r="BH23" i="8"/>
  <c r="BH45" i="8"/>
  <c r="BH27" i="8"/>
  <c r="BH39" i="8"/>
  <c r="BH22" i="8"/>
  <c r="BH38" i="8"/>
  <c r="BH43" i="8"/>
  <c r="BH34" i="8"/>
  <c r="BH17" i="8"/>
  <c r="BH36" i="8"/>
  <c r="BH48" i="8"/>
  <c r="BH24" i="8"/>
  <c r="BH28" i="8"/>
  <c r="BH18" i="8"/>
  <c r="BH19" i="8"/>
  <c r="BH51" i="8"/>
  <c r="BH21" i="8"/>
  <c r="BH16" i="8"/>
  <c r="BH14" i="8"/>
  <c r="BH41" i="8"/>
  <c r="BH26" i="8"/>
  <c r="BH40" i="8"/>
  <c r="AJ3" i="9"/>
  <c r="BG40" i="8"/>
  <c r="BG18" i="8"/>
  <c r="BG30" i="8"/>
  <c r="BG13" i="8"/>
  <c r="BG25" i="8"/>
  <c r="BG32" i="8"/>
  <c r="BG20" i="8"/>
  <c r="BG47" i="8"/>
  <c r="BG37" i="8"/>
  <c r="BG28" i="8"/>
  <c r="BG15" i="8"/>
  <c r="BG27" i="8"/>
  <c r="BG49" i="8"/>
  <c r="BG22" i="8"/>
  <c r="BG24" i="8"/>
  <c r="BG19" i="8"/>
  <c r="BG14" i="8"/>
  <c r="BG36" i="8"/>
  <c r="BG43" i="8"/>
  <c r="BG38" i="8"/>
  <c r="BG23" i="8"/>
  <c r="BG39" i="8"/>
  <c r="BG17" i="8"/>
  <c r="BG48" i="8"/>
  <c r="BG16" i="8"/>
  <c r="BG3" i="8"/>
  <c r="BG34" i="8"/>
  <c r="BG26" i="8"/>
  <c r="BG51" i="8"/>
  <c r="BG41" i="8"/>
  <c r="BG21" i="8"/>
  <c r="BG45" i="8"/>
  <c r="AN7" i="8"/>
  <c r="AN6" i="8"/>
  <c r="AN5" i="8"/>
  <c r="AP7" i="8"/>
  <c r="AU7" i="8"/>
  <c r="BI7" i="8" s="1"/>
  <c r="AN8" i="8"/>
  <c r="AO7" i="8"/>
  <c r="AT7" i="8"/>
  <c r="BH7" i="8" s="1"/>
  <c r="AQ7" i="8"/>
  <c r="AV7" i="8"/>
  <c r="BJ7" i="8" s="1"/>
  <c r="AS7" i="8"/>
  <c r="AS6" i="8"/>
  <c r="AQ6" i="8"/>
  <c r="AV6" i="8"/>
  <c r="BJ6" i="8" s="1"/>
  <c r="AP6" i="8"/>
  <c r="AU6" i="8"/>
  <c r="BI6" i="8" s="1"/>
  <c r="AQ5" i="8"/>
  <c r="AV5" i="8"/>
  <c r="BJ5" i="8" s="1"/>
  <c r="AO6" i="8"/>
  <c r="AT6" i="8"/>
  <c r="BH6" i="8" s="1"/>
  <c r="AN9" i="8"/>
  <c r="AO5" i="8"/>
  <c r="AT5" i="8"/>
  <c r="BH5" i="8" s="1"/>
  <c r="AS5" i="8"/>
  <c r="BG5" i="8" s="1"/>
  <c r="AN10" i="8"/>
  <c r="AP5" i="8"/>
  <c r="AU5" i="8"/>
  <c r="BI5" i="8" s="1"/>
  <c r="AO8" i="8"/>
  <c r="AT8" i="8"/>
  <c r="BH8" i="8" s="1"/>
  <c r="AO10" i="8"/>
  <c r="AT10" i="8"/>
  <c r="BH10" i="8" s="1"/>
  <c r="AQ9" i="8"/>
  <c r="AV9" i="8"/>
  <c r="BJ9" i="8" s="1"/>
  <c r="AS8" i="8"/>
  <c r="BG8" i="8" s="1"/>
  <c r="AQ8" i="8"/>
  <c r="AV8" i="8"/>
  <c r="BJ8" i="8" s="1"/>
  <c r="AO9" i="8"/>
  <c r="AT9" i="8"/>
  <c r="BH9" i="8" s="1"/>
  <c r="AS9" i="8"/>
  <c r="AP9" i="8"/>
  <c r="AU9" i="8"/>
  <c r="AP8" i="8"/>
  <c r="AU8" i="8"/>
  <c r="BI8" i="8" s="1"/>
  <c r="AS10" i="8"/>
  <c r="AP10" i="8"/>
  <c r="AU10" i="8"/>
  <c r="BI10" i="8" s="1"/>
  <c r="AQ10" i="8"/>
  <c r="AV10" i="8"/>
  <c r="AG10" i="8" l="1"/>
  <c r="BA10" i="8" s="1"/>
  <c r="AF9" i="8"/>
  <c r="AZ9" i="8" s="1"/>
  <c r="AD10" i="8"/>
  <c r="AX10" i="8" s="1"/>
  <c r="AF8" i="8"/>
  <c r="AZ8" i="8" s="1"/>
  <c r="AD9" i="8"/>
  <c r="AX9" i="8" s="1"/>
  <c r="AE7" i="8"/>
  <c r="AY7" i="8" s="1"/>
  <c r="AD7" i="8"/>
  <c r="AX7" i="8" s="1"/>
  <c r="AD6" i="8"/>
  <c r="AX6" i="8" s="1"/>
  <c r="AG6" i="8"/>
  <c r="BA6" i="8" s="1"/>
  <c r="O8" i="13"/>
  <c r="BG9" i="8"/>
  <c r="AE5" i="8"/>
  <c r="AY5" i="8" s="1"/>
  <c r="AF10" i="8"/>
  <c r="AZ10" i="8" s="1"/>
  <c r="AE9" i="8"/>
  <c r="AY9" i="8" s="1"/>
  <c r="AG8" i="8"/>
  <c r="BA8" i="8" s="1"/>
  <c r="AG5" i="8"/>
  <c r="BA5" i="8" s="1"/>
  <c r="AD5" i="8"/>
  <c r="AX5" i="8" s="1"/>
  <c r="AF6" i="8"/>
  <c r="AZ6" i="8" s="1"/>
  <c r="AG7" i="8"/>
  <c r="BA7" i="8" s="1"/>
  <c r="AE8" i="8"/>
  <c r="AY8" i="8" s="1"/>
  <c r="BG6" i="8"/>
  <c r="BG10" i="8"/>
  <c r="AE10" i="8"/>
  <c r="BI9" i="8"/>
  <c r="O13" i="13"/>
  <c r="O10" i="13"/>
  <c r="AF5" i="8"/>
  <c r="AF7" i="8"/>
  <c r="AD8" i="8"/>
  <c r="AE6" i="8"/>
  <c r="BJ10" i="8"/>
  <c r="AG9" i="8"/>
  <c r="BG7" i="8"/>
  <c r="AI9" i="8" l="1"/>
  <c r="AJ9" i="8" s="1"/>
  <c r="BE9" i="8" s="1"/>
  <c r="O11" i="13"/>
  <c r="AI10" i="8"/>
  <c r="AJ10" i="8" s="1"/>
  <c r="BE10" i="8" s="1"/>
  <c r="AI7" i="8"/>
  <c r="AJ7" i="8" s="1"/>
  <c r="BE7" i="8" s="1"/>
  <c r="AI6" i="8"/>
  <c r="AJ6" i="8" s="1"/>
  <c r="BE6" i="8" s="1"/>
  <c r="AI5" i="8"/>
  <c r="AJ5" i="8" s="1"/>
  <c r="BE5" i="8" s="1"/>
  <c r="AY6" i="8"/>
  <c r="BC6" i="8" s="1"/>
  <c r="AZ7" i="8"/>
  <c r="BC7" i="8" s="1"/>
  <c r="AZ5" i="8"/>
  <c r="BC5" i="8" s="1"/>
  <c r="AY10" i="8"/>
  <c r="BC10" i="8" s="1"/>
  <c r="AX8" i="8"/>
  <c r="BC8" i="8" s="1"/>
  <c r="AI8" i="8"/>
  <c r="AJ8" i="8" s="1"/>
  <c r="BE8" i="8" s="1"/>
  <c r="BA9" i="8"/>
  <c r="BC9" i="8" s="1"/>
  <c r="O9" i="13"/>
  <c r="O12" i="13"/>
  <c r="AN4" i="8"/>
  <c r="AO4" i="8"/>
  <c r="AP4" i="8"/>
  <c r="AU4" i="8"/>
  <c r="AQ4" i="8"/>
  <c r="AV4" i="8"/>
  <c r="AS4" i="8"/>
  <c r="AT4" i="8"/>
  <c r="BJ4" i="8" l="1"/>
  <c r="AE4" i="8"/>
  <c r="AY4" i="8" s="1"/>
  <c r="AD4" i="8"/>
  <c r="AX4" i="8" s="1"/>
  <c r="AF4" i="8"/>
  <c r="AZ4" i="8" s="1"/>
  <c r="BG4" i="8"/>
  <c r="BH4" i="8"/>
  <c r="BI4" i="8"/>
  <c r="H4" i="13"/>
  <c r="G4" i="13"/>
  <c r="AG4" i="8"/>
  <c r="AI4" i="8" l="1"/>
  <c r="O7" i="13"/>
  <c r="O4" i="13" s="1"/>
  <c r="BA4" i="8"/>
  <c r="BC4" i="8" s="1"/>
  <c r="AX52" i="8"/>
  <c r="AN90" i="8"/>
  <c r="AX90" i="8" s="1"/>
  <c r="AN82" i="8"/>
  <c r="AX82" i="8" s="1"/>
  <c r="AN53" i="8"/>
  <c r="AN83" i="8"/>
  <c r="AX83" i="8" s="1"/>
  <c r="AN98" i="8"/>
  <c r="AX98" i="8" s="1"/>
  <c r="AN65" i="8"/>
  <c r="AX65" i="8" s="1"/>
  <c r="AN97" i="8"/>
  <c r="AX97" i="8" s="1"/>
  <c r="AN86" i="8"/>
  <c r="AX86" i="8" s="1"/>
  <c r="AN95" i="8"/>
  <c r="AX95" i="8" s="1"/>
  <c r="AN67" i="8"/>
  <c r="AX67" i="8" s="1"/>
  <c r="AN70" i="8"/>
  <c r="AX70" i="8" s="1"/>
  <c r="AN71" i="8"/>
  <c r="AX71" i="8" s="1"/>
  <c r="AN66" i="8"/>
  <c r="AX66" i="8" s="1"/>
  <c r="AN91" i="8"/>
  <c r="AX91" i="8" s="1"/>
  <c r="AN77" i="8"/>
  <c r="AX77" i="8" s="1"/>
  <c r="AN55" i="8"/>
  <c r="AX55" i="8" s="1"/>
  <c r="AN96" i="8"/>
  <c r="AX96" i="8" s="1"/>
  <c r="AN63" i="8"/>
  <c r="AX63" i="8" s="1"/>
  <c r="AN89" i="8"/>
  <c r="AX89" i="8" s="1"/>
  <c r="AN76" i="8"/>
  <c r="AX76" i="8" s="1"/>
  <c r="AN74" i="8"/>
  <c r="AX74" i="8" s="1"/>
  <c r="AN61" i="8"/>
  <c r="AX61" i="8" s="1"/>
  <c r="AN62" i="8"/>
  <c r="AX62" i="8" s="1"/>
  <c r="AN81" i="8"/>
  <c r="AX81" i="8" s="1"/>
  <c r="AN57" i="8"/>
  <c r="AX57" i="8" s="1"/>
  <c r="AN75" i="8"/>
  <c r="AX75" i="8" s="1"/>
  <c r="AN79" i="8"/>
  <c r="AX79" i="8" s="1"/>
  <c r="AN92" i="8"/>
  <c r="AX92" i="8" s="1"/>
  <c r="AN100" i="8"/>
  <c r="AX100" i="8" s="1"/>
  <c r="AN93" i="8"/>
  <c r="AX93" i="8" s="1"/>
  <c r="AN68" i="8"/>
  <c r="AX68" i="8" s="1"/>
  <c r="AN87" i="8"/>
  <c r="AX87" i="8" s="1"/>
  <c r="AN99" i="8"/>
  <c r="AX99" i="8" s="1"/>
  <c r="AN60" i="8"/>
  <c r="AX60" i="8" s="1"/>
  <c r="AN64" i="8"/>
  <c r="AX64" i="8" s="1"/>
  <c r="AN69" i="8"/>
  <c r="AX69" i="8" s="1"/>
  <c r="AN78" i="8"/>
  <c r="AX78" i="8" s="1"/>
  <c r="AN73" i="8"/>
  <c r="AX73" i="8" s="1"/>
  <c r="AN59" i="8"/>
  <c r="AX59" i="8" s="1"/>
  <c r="AN72" i="8"/>
  <c r="AX72" i="8" s="1"/>
  <c r="AN94" i="8"/>
  <c r="AX94" i="8" s="1"/>
  <c r="AN56" i="8"/>
  <c r="AX56" i="8" s="1"/>
  <c r="AN80" i="8"/>
  <c r="AX80" i="8" s="1"/>
  <c r="AN58" i="8"/>
  <c r="AX58" i="8" s="1"/>
  <c r="AN88" i="8"/>
  <c r="AX88" i="8" s="1"/>
  <c r="AN84" i="8"/>
  <c r="AX84" i="8" s="1"/>
  <c r="AN54" i="8"/>
  <c r="AX54" i="8" s="1"/>
  <c r="AN85" i="8"/>
  <c r="AX85" i="8" s="1"/>
  <c r="AP78" i="8"/>
  <c r="AZ78" i="8" s="1"/>
  <c r="AP56" i="8"/>
  <c r="AZ56" i="8" s="1"/>
  <c r="AQ64" i="8"/>
  <c r="BA64" i="8" s="1"/>
  <c r="AP76" i="8"/>
  <c r="AZ76" i="8" s="1"/>
  <c r="AQ78" i="8"/>
  <c r="BA78" i="8" s="1"/>
  <c r="AP73" i="8"/>
  <c r="AZ73" i="8" s="1"/>
  <c r="AQ81" i="8"/>
  <c r="BA81" i="8" s="1"/>
  <c r="AP81" i="8"/>
  <c r="AZ81" i="8" s="1"/>
  <c r="AO81" i="8"/>
  <c r="AY81" i="8" s="1"/>
  <c r="AV81" i="8"/>
  <c r="AU81" i="8"/>
  <c r="AT81" i="8"/>
  <c r="AS81" i="8"/>
  <c r="AP58" i="8"/>
  <c r="AZ58" i="8" s="1"/>
  <c r="AQ99" i="8"/>
  <c r="BA99" i="8" s="1"/>
  <c r="AP86" i="8"/>
  <c r="AZ86" i="8" s="1"/>
  <c r="AS86" i="8"/>
  <c r="AQ86" i="8"/>
  <c r="BA86" i="8" s="1"/>
  <c r="AV86" i="8"/>
  <c r="AT86" i="8"/>
  <c r="AO86" i="8"/>
  <c r="AY86" i="8" s="1"/>
  <c r="AU86" i="8"/>
  <c r="AS60" i="8"/>
  <c r="AQ60" i="8"/>
  <c r="BA60" i="8" s="1"/>
  <c r="AO60" i="8"/>
  <c r="AY60" i="8" s="1"/>
  <c r="AT60" i="8"/>
  <c r="AP60" i="8"/>
  <c r="AZ60" i="8" s="1"/>
  <c r="AV60" i="8"/>
  <c r="AU60" i="8"/>
  <c r="AS56" i="8"/>
  <c r="AV56" i="8"/>
  <c r="AT56" i="8"/>
  <c r="AU56" i="8"/>
  <c r="AU72" i="8"/>
  <c r="AS72" i="8"/>
  <c r="AT72" i="8"/>
  <c r="AQ72" i="8"/>
  <c r="BA72" i="8" s="1"/>
  <c r="AP72" i="8"/>
  <c r="AZ72" i="8" s="1"/>
  <c r="AO72" i="8"/>
  <c r="AY72" i="8" s="1"/>
  <c r="AV72" i="8"/>
  <c r="AP71" i="8"/>
  <c r="AZ71" i="8" s="1"/>
  <c r="AO71" i="8"/>
  <c r="AY71" i="8" s="1"/>
  <c r="AT74" i="8"/>
  <c r="AQ74" i="8"/>
  <c r="BA74" i="8" s="1"/>
  <c r="AP74" i="8"/>
  <c r="AZ74" i="8" s="1"/>
  <c r="AS74" i="8"/>
  <c r="AO74" i="8"/>
  <c r="AY74" i="8" s="1"/>
  <c r="AV74" i="8"/>
  <c r="AU74" i="8"/>
  <c r="AV58" i="8"/>
  <c r="AU58" i="8"/>
  <c r="AT58" i="8"/>
  <c r="AS58" i="8"/>
  <c r="AO73" i="8"/>
  <c r="AY73" i="8" s="1"/>
  <c r="AS62" i="8"/>
  <c r="AQ62" i="8"/>
  <c r="BA62" i="8" s="1"/>
  <c r="AV62" i="8"/>
  <c r="AU62" i="8"/>
  <c r="AT62" i="8"/>
  <c r="AP62" i="8"/>
  <c r="AZ62" i="8" s="1"/>
  <c r="AO62" i="8"/>
  <c r="AY62" i="8" s="1"/>
  <c r="AV97" i="8"/>
  <c r="AU97" i="8"/>
  <c r="AT97" i="8"/>
  <c r="AS97" i="8"/>
  <c r="AQ97" i="8"/>
  <c r="BA97" i="8" s="1"/>
  <c r="AP97" i="8"/>
  <c r="AZ97" i="8" s="1"/>
  <c r="AO97" i="8"/>
  <c r="AY97" i="8" s="1"/>
  <c r="AP88" i="8"/>
  <c r="AZ88" i="8" s="1"/>
  <c r="AV88" i="8"/>
  <c r="AU88" i="8"/>
  <c r="AT88" i="8"/>
  <c r="AS88" i="8"/>
  <c r="AQ88" i="8"/>
  <c r="BA88" i="8" s="1"/>
  <c r="AO88" i="8"/>
  <c r="AY88" i="8" s="1"/>
  <c r="AV76" i="8"/>
  <c r="AU76" i="8"/>
  <c r="AS76" i="8"/>
  <c r="AQ76" i="8"/>
  <c r="BA76" i="8" s="1"/>
  <c r="AT76" i="8"/>
  <c r="AO76" i="8"/>
  <c r="AY76" i="8" s="1"/>
  <c r="AU67" i="8"/>
  <c r="AV67" i="8"/>
  <c r="AT67" i="8"/>
  <c r="AS67" i="8"/>
  <c r="AQ67" i="8"/>
  <c r="BA67" i="8" s="1"/>
  <c r="AP67" i="8"/>
  <c r="AZ67" i="8" s="1"/>
  <c r="AO67" i="8"/>
  <c r="AY67" i="8" s="1"/>
  <c r="AT53" i="8"/>
  <c r="AU53" i="8"/>
  <c r="AV53" i="8"/>
  <c r="AS53" i="8"/>
  <c r="AQ53" i="8"/>
  <c r="BA53" i="8" s="1"/>
  <c r="AP53" i="8"/>
  <c r="AZ53" i="8" s="1"/>
  <c r="AO53" i="8"/>
  <c r="AY53" i="8" s="1"/>
  <c r="AU90" i="8"/>
  <c r="AT90" i="8"/>
  <c r="AV90" i="8"/>
  <c r="AS90" i="8"/>
  <c r="AQ90" i="8"/>
  <c r="BA90" i="8" s="1"/>
  <c r="AP90" i="8"/>
  <c r="AZ90" i="8" s="1"/>
  <c r="AO90" i="8"/>
  <c r="AY90" i="8" s="1"/>
  <c r="AV94" i="8"/>
  <c r="AU94" i="8"/>
  <c r="AT94" i="8"/>
  <c r="AQ94" i="8"/>
  <c r="BA94" i="8" s="1"/>
  <c r="AP94" i="8"/>
  <c r="AZ94" i="8" s="1"/>
  <c r="AO94" i="8"/>
  <c r="AY94" i="8" s="1"/>
  <c r="AS94" i="8"/>
  <c r="AV99" i="8"/>
  <c r="AU99" i="8"/>
  <c r="AT99" i="8"/>
  <c r="AS99" i="8"/>
  <c r="AP99" i="8"/>
  <c r="AZ99" i="8" s="1"/>
  <c r="AO99" i="8"/>
  <c r="AY99" i="8" s="1"/>
  <c r="AV92" i="8"/>
  <c r="AU92" i="8"/>
  <c r="AT92" i="8"/>
  <c r="AS92" i="8"/>
  <c r="AQ92" i="8"/>
  <c r="BA92" i="8" s="1"/>
  <c r="AP92" i="8"/>
  <c r="AZ92" i="8" s="1"/>
  <c r="AO92" i="8"/>
  <c r="AY92" i="8" s="1"/>
  <c r="AU69" i="8"/>
  <c r="AT69" i="8"/>
  <c r="AV69" i="8"/>
  <c r="AS69" i="8"/>
  <c r="AQ69" i="8"/>
  <c r="BA69" i="8" s="1"/>
  <c r="AP69" i="8"/>
  <c r="AZ69" i="8" s="1"/>
  <c r="AO69" i="8"/>
  <c r="AY69" i="8" s="1"/>
  <c r="AQ93" i="8"/>
  <c r="BA93" i="8" s="1"/>
  <c r="AQ91" i="8"/>
  <c r="BA91" i="8" s="1"/>
  <c r="AQ89" i="8"/>
  <c r="BA89" i="8" s="1"/>
  <c r="AV85" i="8"/>
  <c r="AU85" i="8"/>
  <c r="AS85" i="8"/>
  <c r="AQ85" i="8"/>
  <c r="BA85" i="8" s="1"/>
  <c r="AP85" i="8"/>
  <c r="AZ85" i="8" s="1"/>
  <c r="AO85" i="8"/>
  <c r="AY85" i="8" s="1"/>
  <c r="AT85" i="8"/>
  <c r="AU78" i="8"/>
  <c r="AV78" i="8"/>
  <c r="AT78" i="8"/>
  <c r="AS78" i="8"/>
  <c r="AO78" i="8"/>
  <c r="AY78" i="8" s="1"/>
  <c r="AV64" i="8"/>
  <c r="AU64" i="8"/>
  <c r="AT64" i="8"/>
  <c r="AS64" i="8"/>
  <c r="AO64" i="8"/>
  <c r="AY64" i="8" s="1"/>
  <c r="AP64" i="8"/>
  <c r="AZ64" i="8" s="1"/>
  <c r="AT83" i="8"/>
  <c r="AS83" i="8"/>
  <c r="AQ83" i="8"/>
  <c r="BA83" i="8" s="1"/>
  <c r="AV83" i="8"/>
  <c r="AU83" i="8"/>
  <c r="AO83" i="8"/>
  <c r="AY83" i="8" s="1"/>
  <c r="AP83" i="8"/>
  <c r="AZ83" i="8" s="1"/>
  <c r="AP93" i="8"/>
  <c r="AZ93" i="8" s="1"/>
  <c r="AP91" i="8"/>
  <c r="AZ91" i="8" s="1"/>
  <c r="AQ84" i="8"/>
  <c r="BA84" i="8" s="1"/>
  <c r="AV80" i="8"/>
  <c r="AU80" i="8"/>
  <c r="AT80" i="8"/>
  <c r="AS80" i="8"/>
  <c r="AQ80" i="8"/>
  <c r="BA80" i="8" s="1"/>
  <c r="AP80" i="8"/>
  <c r="AZ80" i="8" s="1"/>
  <c r="AO80" i="8"/>
  <c r="AY80" i="8" s="1"/>
  <c r="AV59" i="8"/>
  <c r="AU59" i="8"/>
  <c r="AT59" i="8"/>
  <c r="AS59" i="8"/>
  <c r="AP59" i="8"/>
  <c r="AZ59" i="8" s="1"/>
  <c r="AQ59" i="8"/>
  <c r="BA59" i="8" s="1"/>
  <c r="AO59" i="8"/>
  <c r="AY59" i="8" s="1"/>
  <c r="AV57" i="8"/>
  <c r="AT57" i="8"/>
  <c r="AS57" i="8"/>
  <c r="AU57" i="8"/>
  <c r="AQ57" i="8"/>
  <c r="BA57" i="8" s="1"/>
  <c r="AP57" i="8"/>
  <c r="AZ57" i="8" s="1"/>
  <c r="AO57" i="8"/>
  <c r="AY57" i="8" s="1"/>
  <c r="AV55" i="8"/>
  <c r="AT55" i="8"/>
  <c r="AS55" i="8"/>
  <c r="AP55" i="8"/>
  <c r="AZ55" i="8" s="1"/>
  <c r="AU55" i="8"/>
  <c r="AQ55" i="8"/>
  <c r="BA55" i="8" s="1"/>
  <c r="AO55" i="8"/>
  <c r="AY55" i="8" s="1"/>
  <c r="AV96" i="8"/>
  <c r="AU96" i="8"/>
  <c r="AS96" i="8"/>
  <c r="AT96" i="8"/>
  <c r="AQ96" i="8"/>
  <c r="BA96" i="8" s="1"/>
  <c r="AP96" i="8"/>
  <c r="AZ96" i="8" s="1"/>
  <c r="AO96" i="8"/>
  <c r="AY96" i="8" s="1"/>
  <c r="AO93" i="8"/>
  <c r="AY93" i="8" s="1"/>
  <c r="AO91" i="8"/>
  <c r="AY91" i="8" s="1"/>
  <c r="AQ79" i="8"/>
  <c r="BA79" i="8" s="1"/>
  <c r="AV71" i="8"/>
  <c r="AU71" i="8"/>
  <c r="AT71" i="8"/>
  <c r="AS71" i="8"/>
  <c r="AQ71" i="8"/>
  <c r="BA71" i="8" s="1"/>
  <c r="AV66" i="8"/>
  <c r="AU66" i="8"/>
  <c r="AT66" i="8"/>
  <c r="AS66" i="8"/>
  <c r="AQ66" i="8"/>
  <c r="BA66" i="8" s="1"/>
  <c r="AP66" i="8"/>
  <c r="AZ66" i="8" s="1"/>
  <c r="AO66" i="8"/>
  <c r="AY66" i="8" s="1"/>
  <c r="AQ58" i="8"/>
  <c r="BA58" i="8" s="1"/>
  <c r="AQ56" i="8"/>
  <c r="BA56" i="8" s="1"/>
  <c r="AQ54" i="8"/>
  <c r="BA54" i="8" s="1"/>
  <c r="AV100" i="8"/>
  <c r="AT100" i="8"/>
  <c r="AS100" i="8"/>
  <c r="AQ100" i="8"/>
  <c r="BA100" i="8" s="1"/>
  <c r="AO100" i="8"/>
  <c r="AY100" i="8" s="1"/>
  <c r="AP100" i="8"/>
  <c r="AZ100" i="8" s="1"/>
  <c r="AU100" i="8"/>
  <c r="AO98" i="8"/>
  <c r="AY98" i="8" s="1"/>
  <c r="AS98" i="8"/>
  <c r="AP98" i="8"/>
  <c r="AZ98" i="8" s="1"/>
  <c r="AV98" i="8"/>
  <c r="AU98" i="8"/>
  <c r="AT98" i="8"/>
  <c r="AQ98" i="8"/>
  <c r="BA98" i="8" s="1"/>
  <c r="AO95" i="8"/>
  <c r="AY95" i="8" s="1"/>
  <c r="AQ95" i="8"/>
  <c r="BA95" i="8" s="1"/>
  <c r="AP95" i="8"/>
  <c r="AZ95" i="8" s="1"/>
  <c r="AS95" i="8"/>
  <c r="AU95" i="8"/>
  <c r="AT95" i="8"/>
  <c r="AV95" i="8"/>
  <c r="AS93" i="8"/>
  <c r="AT93" i="8"/>
  <c r="AU93" i="8"/>
  <c r="AV93" i="8"/>
  <c r="AS91" i="8"/>
  <c r="AT91" i="8"/>
  <c r="AU91" i="8"/>
  <c r="AV91" i="8"/>
  <c r="AT89" i="8"/>
  <c r="AP89" i="8"/>
  <c r="AZ89" i="8" s="1"/>
  <c r="AO89" i="8"/>
  <c r="AY89" i="8" s="1"/>
  <c r="AV89" i="8"/>
  <c r="AU89" i="8"/>
  <c r="AS89" i="8"/>
  <c r="AO87" i="8"/>
  <c r="AY87" i="8" s="1"/>
  <c r="AV87" i="8"/>
  <c r="AT87" i="8"/>
  <c r="AU87" i="8"/>
  <c r="AS87" i="8"/>
  <c r="AQ87" i="8"/>
  <c r="BA87" i="8" s="1"/>
  <c r="AP87" i="8"/>
  <c r="AZ87" i="8" s="1"/>
  <c r="AU84" i="8"/>
  <c r="AS84" i="8"/>
  <c r="AP84" i="8"/>
  <c r="AZ84" i="8" s="1"/>
  <c r="AO84" i="8"/>
  <c r="AY84" i="8" s="1"/>
  <c r="AV84" i="8"/>
  <c r="AT84" i="8"/>
  <c r="AP82" i="8"/>
  <c r="AZ82" i="8" s="1"/>
  <c r="AU82" i="8"/>
  <c r="AV82" i="8"/>
  <c r="AT82" i="8"/>
  <c r="AS82" i="8"/>
  <c r="AQ82" i="8"/>
  <c r="BA82" i="8" s="1"/>
  <c r="AO82" i="8"/>
  <c r="AY82" i="8" s="1"/>
  <c r="AV79" i="8"/>
  <c r="AT79" i="8"/>
  <c r="AS79" i="8"/>
  <c r="AP79" i="8"/>
  <c r="AZ79" i="8" s="1"/>
  <c r="AO79" i="8"/>
  <c r="AY79" i="8" s="1"/>
  <c r="AU79" i="8"/>
  <c r="AQ77" i="8"/>
  <c r="BA77" i="8" s="1"/>
  <c r="AP77" i="8"/>
  <c r="AZ77" i="8" s="1"/>
  <c r="AO77" i="8"/>
  <c r="AY77" i="8" s="1"/>
  <c r="AT77" i="8"/>
  <c r="AV77" i="8"/>
  <c r="AU77" i="8"/>
  <c r="AS77" i="8"/>
  <c r="AP75" i="8"/>
  <c r="AZ75" i="8" s="1"/>
  <c r="AV75" i="8"/>
  <c r="AU75" i="8"/>
  <c r="AT75" i="8"/>
  <c r="AS75" i="8"/>
  <c r="AQ75" i="8"/>
  <c r="BA75" i="8" s="1"/>
  <c r="AO75" i="8"/>
  <c r="AY75" i="8" s="1"/>
  <c r="AV73" i="8"/>
  <c r="AT73" i="8"/>
  <c r="AU73" i="8"/>
  <c r="AS73" i="8"/>
  <c r="AQ73" i="8"/>
  <c r="BA73" i="8" s="1"/>
  <c r="AP70" i="8"/>
  <c r="AZ70" i="8" s="1"/>
  <c r="AQ70" i="8"/>
  <c r="BA70" i="8" s="1"/>
  <c r="AS70" i="8"/>
  <c r="AO70" i="8"/>
  <c r="AY70" i="8" s="1"/>
  <c r="AT70" i="8"/>
  <c r="AU70" i="8"/>
  <c r="AV70" i="8"/>
  <c r="AS68" i="8"/>
  <c r="AP68" i="8"/>
  <c r="AZ68" i="8" s="1"/>
  <c r="AO68" i="8"/>
  <c r="AY68" i="8" s="1"/>
  <c r="AV68" i="8"/>
  <c r="AU68" i="8"/>
  <c r="AT68" i="8"/>
  <c r="AQ68" i="8"/>
  <c r="BA68" i="8" s="1"/>
  <c r="AS65" i="8"/>
  <c r="AQ65" i="8"/>
  <c r="BA65" i="8" s="1"/>
  <c r="AO65" i="8"/>
  <c r="AY65" i="8" s="1"/>
  <c r="AP65" i="8"/>
  <c r="AZ65" i="8" s="1"/>
  <c r="AU65" i="8"/>
  <c r="AT65" i="8"/>
  <c r="AV65" i="8"/>
  <c r="AU63" i="8"/>
  <c r="AS63" i="8"/>
  <c r="AP63" i="8"/>
  <c r="AZ63" i="8" s="1"/>
  <c r="AO63" i="8"/>
  <c r="AY63" i="8" s="1"/>
  <c r="AQ63" i="8"/>
  <c r="BA63" i="8" s="1"/>
  <c r="AV63" i="8"/>
  <c r="AT63" i="8"/>
  <c r="AP61" i="8"/>
  <c r="AZ61" i="8" s="1"/>
  <c r="AV61" i="8"/>
  <c r="AU61" i="8"/>
  <c r="AT61" i="8"/>
  <c r="AS61" i="8"/>
  <c r="AQ61" i="8"/>
  <c r="BA61" i="8" s="1"/>
  <c r="AO61" i="8"/>
  <c r="AY61" i="8" s="1"/>
  <c r="AO58" i="8"/>
  <c r="AY58" i="8" s="1"/>
  <c r="AO56" i="8"/>
  <c r="AY56" i="8" s="1"/>
  <c r="AV54" i="8"/>
  <c r="AT54" i="8"/>
  <c r="AS54" i="8"/>
  <c r="AP54" i="8"/>
  <c r="AZ54" i="8" s="1"/>
  <c r="AO54" i="8"/>
  <c r="AY54" i="8" s="1"/>
  <c r="AU54" i="8"/>
  <c r="AO52" i="8"/>
  <c r="AQ52" i="8"/>
  <c r="AV52" i="8"/>
  <c r="AU52" i="8"/>
  <c r="AT52" i="8"/>
  <c r="AS52" i="8"/>
  <c r="Y7" i="9"/>
  <c r="AP52" i="8"/>
  <c r="BA52" i="8" l="1"/>
  <c r="AQ101" i="8"/>
  <c r="AY52" i="8"/>
  <c r="AO101" i="8"/>
  <c r="AX53" i="8"/>
  <c r="BC53" i="8" s="1"/>
  <c r="AN101" i="8"/>
  <c r="AZ52" i="8"/>
  <c r="AP101" i="8"/>
  <c r="AS101" i="8"/>
  <c r="AT101" i="8"/>
  <c r="AU101" i="8"/>
  <c r="AV101" i="8"/>
  <c r="AJ4" i="8"/>
  <c r="BE4" i="8" s="1"/>
  <c r="BE1" i="8" s="1"/>
  <c r="Y14" i="9" s="1"/>
  <c r="AI102" i="8"/>
  <c r="BC88" i="8"/>
  <c r="BC86" i="8"/>
  <c r="BC100" i="8"/>
  <c r="BC70" i="8"/>
  <c r="BC72" i="8"/>
  <c r="BC71" i="8"/>
  <c r="BC84" i="8"/>
  <c r="BC67" i="8"/>
  <c r="BC92" i="8"/>
  <c r="BC97" i="8"/>
  <c r="BC79" i="8"/>
  <c r="BC82" i="8"/>
  <c r="BC80" i="8"/>
  <c r="BC56" i="8"/>
  <c r="BC95" i="8"/>
  <c r="BC61" i="8"/>
  <c r="BC77" i="8"/>
  <c r="BC75" i="8"/>
  <c r="BC57" i="8"/>
  <c r="BC65" i="8"/>
  <c r="BC96" i="8"/>
  <c r="BC99" i="8"/>
  <c r="BC73" i="8"/>
  <c r="BC69" i="8"/>
  <c r="BC76" i="8"/>
  <c r="AP7" i="9"/>
  <c r="AV7" i="9"/>
  <c r="AS7" i="9"/>
  <c r="AM7" i="9"/>
  <c r="BC98" i="8"/>
  <c r="BC89" i="8"/>
  <c r="BC83" i="8"/>
  <c r="BC63" i="8"/>
  <c r="BC78" i="8"/>
  <c r="BC64" i="8"/>
  <c r="BC60" i="8"/>
  <c r="BC90" i="8"/>
  <c r="BC59" i="8"/>
  <c r="BC55" i="8"/>
  <c r="BC87" i="8"/>
  <c r="BC68" i="8"/>
  <c r="BC94" i="8"/>
  <c r="BC85" i="8"/>
  <c r="BC91" i="8"/>
  <c r="BC58" i="8"/>
  <c r="BC81" i="8"/>
  <c r="BC62" i="8"/>
  <c r="BC74" i="8"/>
  <c r="BC54" i="8"/>
  <c r="BC93" i="8"/>
  <c r="BC66" i="8"/>
  <c r="Y5" i="9"/>
  <c r="Y10" i="9"/>
  <c r="Y6" i="9"/>
  <c r="Y8" i="9"/>
  <c r="Y4" i="9"/>
  <c r="Y9" i="9"/>
  <c r="BC52" i="8" l="1"/>
  <c r="BC1" i="8" s="1"/>
  <c r="Y12" i="9" s="1"/>
  <c r="AN102" i="8"/>
  <c r="AS102" i="8"/>
  <c r="AV3" i="9"/>
  <c r="AM3" i="9"/>
  <c r="Y11" i="9"/>
  <c r="AP3" i="9"/>
  <c r="AS3" i="9"/>
  <c r="AV5" i="9"/>
  <c r="AM5" i="9"/>
  <c r="AP5" i="9"/>
  <c r="AS5" i="9"/>
  <c r="AM6" i="9"/>
  <c r="AS6" i="9"/>
  <c r="AP6" i="9"/>
  <c r="AV6" i="9"/>
  <c r="AS9" i="9"/>
  <c r="AM9" i="9"/>
  <c r="AV9" i="9"/>
  <c r="AP9" i="9"/>
  <c r="AS4" i="9"/>
  <c r="AP4" i="9"/>
  <c r="AV4" i="9"/>
  <c r="AM4" i="9"/>
  <c r="AM10" i="9"/>
  <c r="AS10" i="9"/>
  <c r="AP10" i="9"/>
  <c r="AV10" i="9"/>
  <c r="AP8" i="9"/>
  <c r="AS8" i="9"/>
  <c r="AV8" i="9"/>
  <c r="AM8" i="9"/>
  <c r="F30" i="11" l="1"/>
  <c r="F27" i="11"/>
  <c r="F29" i="11"/>
  <c r="F16" i="11"/>
  <c r="F15" i="11"/>
  <c r="F14" i="11"/>
  <c r="F11" i="11"/>
  <c r="F12" i="11"/>
  <c r="F9" i="11"/>
  <c r="F21" i="11"/>
  <c r="F26" i="11"/>
  <c r="F22" i="11"/>
  <c r="F8" i="11"/>
  <c r="F3" i="11"/>
  <c r="F25" i="11"/>
  <c r="F23" i="11"/>
  <c r="F13" i="11"/>
  <c r="F19" i="11"/>
  <c r="F18" i="11"/>
  <c r="F20" i="11"/>
  <c r="F24" i="11"/>
  <c r="F10" i="11"/>
  <c r="F5" i="11"/>
  <c r="F17" i="11"/>
  <c r="F4" i="11"/>
  <c r="F28" i="11"/>
  <c r="F6" i="11"/>
</calcChain>
</file>

<file path=xl/sharedStrings.xml><?xml version="1.0" encoding="utf-8"?>
<sst xmlns="http://schemas.openxmlformats.org/spreadsheetml/2006/main" count="1532" uniqueCount="423">
  <si>
    <t>PLC</t>
  </si>
  <si>
    <t>Area</t>
  </si>
  <si>
    <t>ROM</t>
  </si>
  <si>
    <t>DI</t>
  </si>
  <si>
    <t>AI</t>
  </si>
  <si>
    <t>DO</t>
  </si>
  <si>
    <t>AO</t>
  </si>
  <si>
    <t>Crushing</t>
  </si>
  <si>
    <t>Screening</t>
  </si>
  <si>
    <t>PLC / AREA Cross Reference</t>
  </si>
  <si>
    <t>IO</t>
  </si>
  <si>
    <t>PLC List</t>
  </si>
  <si>
    <t>Area List</t>
  </si>
  <si>
    <t>PLC
Duty</t>
  </si>
  <si>
    <t>Area
Description</t>
  </si>
  <si>
    <t>Fire</t>
  </si>
  <si>
    <t>Primary Mill</t>
  </si>
  <si>
    <t>Regrind / Flotation</t>
  </si>
  <si>
    <t>Regrind Milling</t>
  </si>
  <si>
    <t>Concentrate Thickener</t>
  </si>
  <si>
    <t>Concetrate Filtration</t>
  </si>
  <si>
    <t>Sand Filter</t>
  </si>
  <si>
    <t>Potable Water</t>
  </si>
  <si>
    <t>Process Water</t>
  </si>
  <si>
    <t>Fire Water</t>
  </si>
  <si>
    <t>Collector Dosing</t>
  </si>
  <si>
    <t>Promotor</t>
  </si>
  <si>
    <t>Frother Dosing</t>
  </si>
  <si>
    <t>Flocculant</t>
  </si>
  <si>
    <t>ROM/Crush/Screen</t>
  </si>
  <si>
    <t>Primary Crushing</t>
  </si>
  <si>
    <t>Secondary Crushing</t>
  </si>
  <si>
    <t>Primary Mill / Mill Feed / Ball Loading</t>
  </si>
  <si>
    <t>Mill Feed &amp; Ball Loader</t>
  </si>
  <si>
    <t>Regrind Mill</t>
  </si>
  <si>
    <t>Jameson Cell</t>
  </si>
  <si>
    <t>Frother</t>
  </si>
  <si>
    <t>Collector</t>
  </si>
  <si>
    <t>Depressant</t>
  </si>
  <si>
    <t>Lime Plant</t>
  </si>
  <si>
    <t>Air Blower</t>
  </si>
  <si>
    <t>Thickener</t>
  </si>
  <si>
    <t>Tailings / Thickener Services</t>
  </si>
  <si>
    <t>Duty</t>
  </si>
  <si>
    <t>Level</t>
  </si>
  <si>
    <t>Flow</t>
  </si>
  <si>
    <t>Lime</t>
  </si>
  <si>
    <t>V1</t>
  </si>
  <si>
    <t>V2</t>
  </si>
  <si>
    <t>Spray Water</t>
  </si>
  <si>
    <t>Flotation Cell</t>
  </si>
  <si>
    <t>Bus</t>
  </si>
  <si>
    <t>Feed Flow</t>
  </si>
  <si>
    <t>Sump</t>
  </si>
  <si>
    <t>Feed ConditionerTank</t>
  </si>
  <si>
    <t>3 way valve</t>
  </si>
  <si>
    <t>Primary Sampler</t>
  </si>
  <si>
    <t>Secondary Sampler</t>
  </si>
  <si>
    <t>Control Valve with ANA FB</t>
  </si>
  <si>
    <t>Qty</t>
  </si>
  <si>
    <t>Device Type</t>
  </si>
  <si>
    <t>Safety Shower</t>
  </si>
  <si>
    <t>Switch</t>
  </si>
  <si>
    <t>Safety Shower Flow</t>
  </si>
  <si>
    <t>Spillage Level</t>
  </si>
  <si>
    <t>Transmitter</t>
  </si>
  <si>
    <t>Intelligent Meter</t>
  </si>
  <si>
    <t>Pressure</t>
  </si>
  <si>
    <t>Valve no FB</t>
  </si>
  <si>
    <t>RIO</t>
  </si>
  <si>
    <t>Flotation Peripherals</t>
  </si>
  <si>
    <t>QTY</t>
  </si>
  <si>
    <t>Slurry Distributer Pressure</t>
  </si>
  <si>
    <t>Slurry Dsitributer</t>
  </si>
  <si>
    <t>Flow Control</t>
  </si>
  <si>
    <t>Jameson Cell Perripherals</t>
  </si>
  <si>
    <t>Spillage Sump</t>
  </si>
  <si>
    <t>Tailings Sump</t>
  </si>
  <si>
    <t>Concentrate Sump</t>
  </si>
  <si>
    <t>Feed Sump</t>
  </si>
  <si>
    <t>Slurry Distributer</t>
  </si>
  <si>
    <t>Feed Pump</t>
  </si>
  <si>
    <t>Main</t>
  </si>
  <si>
    <t>Valve with FB &amp; Failsafe</t>
  </si>
  <si>
    <t>Valve with FB &amp; No Failsafe</t>
  </si>
  <si>
    <t>Pump 1 and 2</t>
  </si>
  <si>
    <t>Pump 1 and 2 inline</t>
  </si>
  <si>
    <t>Density</t>
  </si>
  <si>
    <t>Position</t>
  </si>
  <si>
    <t>Alarm</t>
  </si>
  <si>
    <t>Tail &amp; ConcentratePump 1 and 2</t>
  </si>
  <si>
    <t>Temperature</t>
  </si>
  <si>
    <t>Vibration</t>
  </si>
  <si>
    <t>Source</t>
  </si>
  <si>
    <t>Day Tank</t>
  </si>
  <si>
    <t>Low</t>
  </si>
  <si>
    <t>Water Valve to Sump</t>
  </si>
  <si>
    <t>Valves</t>
  </si>
  <si>
    <t>Manual Feedback</t>
  </si>
  <si>
    <t>Aeration/Rougher/HG Flotation</t>
  </si>
  <si>
    <t>MG/Cleaner/Scavenger Flotation</t>
  </si>
  <si>
    <t>2 tanlks and a hopper</t>
  </si>
  <si>
    <t>Delivery Feed</t>
  </si>
  <si>
    <t>Sand Filter Peripherals</t>
  </si>
  <si>
    <t>Lime Plant Delivery</t>
  </si>
  <si>
    <t>Collector Dosing Delivery</t>
  </si>
  <si>
    <t>Promotor Delivery</t>
  </si>
  <si>
    <t>Frother Delivery</t>
  </si>
  <si>
    <t>Depressant Delivery</t>
  </si>
  <si>
    <t>Air Blower Delivery</t>
  </si>
  <si>
    <t>Bed Level</t>
  </si>
  <si>
    <t>Hydraulic oil</t>
  </si>
  <si>
    <t>Rake Torque</t>
  </si>
  <si>
    <t>Bed Mass</t>
  </si>
  <si>
    <t>Torque</t>
  </si>
  <si>
    <t>Mass</t>
  </si>
  <si>
    <t>Mixer</t>
  </si>
  <si>
    <t>Discharge Flow and Water</t>
  </si>
  <si>
    <t>Thickener Peripherals</t>
  </si>
  <si>
    <t>Oil Cooler</t>
  </si>
  <si>
    <t>Rake Forward</t>
  </si>
  <si>
    <t>Rake Reverse</t>
  </si>
  <si>
    <t>Rake Raise</t>
  </si>
  <si>
    <t>Rake Lower</t>
  </si>
  <si>
    <t>Intermediate Thickener</t>
  </si>
  <si>
    <t>Tailings/Pyrrhotite Thickener</t>
  </si>
  <si>
    <t>Pyrrhotite Flotation</t>
  </si>
  <si>
    <t>H2SO4</t>
  </si>
  <si>
    <t>CuSO4</t>
  </si>
  <si>
    <t>CuSo4</t>
  </si>
  <si>
    <t>CuSo4 Delivery</t>
  </si>
  <si>
    <t>Water Valve</t>
  </si>
  <si>
    <t>H2SO4 Delivery</t>
  </si>
  <si>
    <t>Flocculant Delivery</t>
  </si>
  <si>
    <t>Water</t>
  </si>
  <si>
    <t>Bin</t>
  </si>
  <si>
    <t>Bin Delivery</t>
  </si>
  <si>
    <t>Area
Code</t>
  </si>
  <si>
    <t>Area
Type</t>
  </si>
  <si>
    <t>Rio
Num</t>
  </si>
  <si>
    <t>RIO-3131-1</t>
  </si>
  <si>
    <t>RIO-3131-2</t>
  </si>
  <si>
    <t>RIO-3131-3</t>
  </si>
  <si>
    <t>RIO-3131-4</t>
  </si>
  <si>
    <t>RIO-3122-1</t>
  </si>
  <si>
    <t>RIO-3131-5</t>
  </si>
  <si>
    <t>RIO-3131-6</t>
  </si>
  <si>
    <t>RIO-3132-1</t>
  </si>
  <si>
    <t>RIO-3132-2</t>
  </si>
  <si>
    <t>RIO-3132-3</t>
  </si>
  <si>
    <t>RIO-3132-4</t>
  </si>
  <si>
    <t>RIO-3132-5</t>
  </si>
  <si>
    <t>RIO-3171-1</t>
  </si>
  <si>
    <t>RIO-3176-1</t>
  </si>
  <si>
    <t>RIO-3173-1</t>
  </si>
  <si>
    <t>RIO-3172-1</t>
  </si>
  <si>
    <t>RIO-3177-1</t>
  </si>
  <si>
    <t>RIO-3177-2</t>
  </si>
  <si>
    <t>RIO-3167-1</t>
  </si>
  <si>
    <t>RIO-3141-1</t>
  </si>
  <si>
    <t>RIO-3141-2</t>
  </si>
  <si>
    <t>RIO-3142-1</t>
  </si>
  <si>
    <t>RIO-3142-2</t>
  </si>
  <si>
    <t>RIO-3142-3</t>
  </si>
  <si>
    <t>RIO-3142-4</t>
  </si>
  <si>
    <t>RIO-3133-1</t>
  </si>
  <si>
    <t>RIO-3174-1</t>
  </si>
  <si>
    <t>RIO-3175-1</t>
  </si>
  <si>
    <t>RIO-3178-1</t>
  </si>
  <si>
    <t>Differential</t>
  </si>
  <si>
    <t>Duty feed and del</t>
  </si>
  <si>
    <t>Recycle valve</t>
  </si>
  <si>
    <t>Larox Filter Peripherals</t>
  </si>
  <si>
    <t>Feed and del</t>
  </si>
  <si>
    <t>Tank Feed</t>
  </si>
  <si>
    <t>Sample box</t>
  </si>
  <si>
    <t>Duty Pumps</t>
  </si>
  <si>
    <t>Water in and recycle</t>
  </si>
  <si>
    <t>Water Distribution</t>
  </si>
  <si>
    <t>Raw Water</t>
  </si>
  <si>
    <t>Process Water / Dam / Sand Filter</t>
  </si>
  <si>
    <t>Process Water Dam</t>
  </si>
  <si>
    <t>Water Treatment Plant</t>
  </si>
  <si>
    <t>Instrument Air</t>
  </si>
  <si>
    <t>RIO-3151-1</t>
  </si>
  <si>
    <t>RIO-3151-2</t>
  </si>
  <si>
    <t>RIO-3152-1</t>
  </si>
  <si>
    <t>RIO-3161-1</t>
  </si>
  <si>
    <t>RIO-3162-1</t>
  </si>
  <si>
    <t>RIO-3163-1</t>
  </si>
  <si>
    <t>RIO-3163-2</t>
  </si>
  <si>
    <t>RIO-3165-1</t>
  </si>
  <si>
    <t>3184-PLC-001</t>
  </si>
  <si>
    <t>3184-PLC-002</t>
  </si>
  <si>
    <t>3184-PLC-003</t>
  </si>
  <si>
    <t>3184-PLC-004</t>
  </si>
  <si>
    <t>3184-PLC-005</t>
  </si>
  <si>
    <t>_General AO</t>
  </si>
  <si>
    <t>_General AI</t>
  </si>
  <si>
    <t>_General DI</t>
  </si>
  <si>
    <t>_General DO</t>
  </si>
  <si>
    <t>Justification</t>
  </si>
  <si>
    <t>Logic</t>
  </si>
  <si>
    <t>Kabanga PFD's</t>
  </si>
  <si>
    <t>Kamoa Instrument List</t>
  </si>
  <si>
    <t>RIO-3111-1</t>
  </si>
  <si>
    <t>RIO-3112-1</t>
  </si>
  <si>
    <t>RIO-3114-1</t>
  </si>
  <si>
    <t>RIO-3113-1</t>
  </si>
  <si>
    <t>RIO-3115-1</t>
  </si>
  <si>
    <t>RIO-3121-1</t>
  </si>
  <si>
    <t>RIO-3121-2</t>
  </si>
  <si>
    <t>RIO-3121-3</t>
  </si>
  <si>
    <t>3184-PLC-006</t>
  </si>
  <si>
    <t>Ball Mill Feed</t>
  </si>
  <si>
    <t>Ball Mill Services</t>
  </si>
  <si>
    <t>Ball Mill LHS</t>
  </si>
  <si>
    <t>Ball Mill RHS</t>
  </si>
  <si>
    <t>Balls</t>
  </si>
  <si>
    <t>Product Bin</t>
  </si>
  <si>
    <t>Vendor Conveyor</t>
  </si>
  <si>
    <t>Conveyor System</t>
  </si>
  <si>
    <t>3 way Valve</t>
  </si>
  <si>
    <t>Open Feedback</t>
  </si>
  <si>
    <t>Closed Feedback</t>
  </si>
  <si>
    <t>Feedback</t>
  </si>
  <si>
    <t>Output</t>
  </si>
  <si>
    <t>Output A</t>
  </si>
  <si>
    <t>Position A</t>
  </si>
  <si>
    <t>Chutes</t>
  </si>
  <si>
    <t>Device Picklist</t>
  </si>
  <si>
    <t>Drive Command</t>
  </si>
  <si>
    <t>Valve Drive (2)</t>
  </si>
  <si>
    <t>Valve Feedback</t>
  </si>
  <si>
    <t>Dust Supression</t>
  </si>
  <si>
    <t>Tank Level</t>
  </si>
  <si>
    <t>Feed Valve</t>
  </si>
  <si>
    <t>FSL</t>
  </si>
  <si>
    <t>Block Chute 1&amp;2</t>
  </si>
  <si>
    <t>Weigh Scales 1&amp;2</t>
  </si>
  <si>
    <t>LSH &amp; LSL</t>
  </si>
  <si>
    <t>Oversize</t>
  </si>
  <si>
    <t>Conveyor 1 &amp; 2</t>
  </si>
  <si>
    <t>Bin Level</t>
  </si>
  <si>
    <t>Start Alarm</t>
  </si>
  <si>
    <t>Traffic Lights</t>
  </si>
  <si>
    <t>Equipment Modules</t>
  </si>
  <si>
    <t>Module</t>
  </si>
  <si>
    <t>Spare
Capacity</t>
  </si>
  <si>
    <t>Feasability
Factor</t>
  </si>
  <si>
    <t>Aeration</t>
  </si>
  <si>
    <t>Rougher</t>
  </si>
  <si>
    <t>HG</t>
  </si>
  <si>
    <t>Services</t>
  </si>
  <si>
    <t>LHS</t>
  </si>
  <si>
    <t>RHS</t>
  </si>
  <si>
    <t>Sub Area
Description</t>
  </si>
  <si>
    <t>Sub Area</t>
  </si>
  <si>
    <t>MG</t>
  </si>
  <si>
    <t>Cleaner</t>
  </si>
  <si>
    <t>Scavenger</t>
  </si>
  <si>
    <t>Air Blower / Plant &amp; Instrument Air</t>
  </si>
  <si>
    <t>Tailings</t>
  </si>
  <si>
    <t>Pyrrhotite</t>
  </si>
  <si>
    <t>Dam</t>
  </si>
  <si>
    <t>Water Treatment</t>
  </si>
  <si>
    <t>RIO-3132-6</t>
  </si>
  <si>
    <t>3184-PLC-007</t>
  </si>
  <si>
    <t>Concentrate</t>
  </si>
  <si>
    <t>Sand Filter / Water / Air</t>
  </si>
  <si>
    <t>Counts</t>
  </si>
  <si>
    <t>Cables per RIO</t>
  </si>
  <si>
    <t>Cards</t>
  </si>
  <si>
    <t>&lt;</t>
  </si>
  <si>
    <t>Spare capacity</t>
  </si>
  <si>
    <t>=</t>
  </si>
  <si>
    <t>%</t>
  </si>
  <si>
    <t>Cables</t>
  </si>
  <si>
    <t>IO Per RIO</t>
  </si>
  <si>
    <t>Units</t>
  </si>
  <si>
    <t>Con</t>
  </si>
  <si>
    <t>Parameter</t>
  </si>
  <si>
    <t>Limit</t>
  </si>
  <si>
    <t>RIO / Thickener</t>
  </si>
  <si>
    <t>RIOS</t>
  </si>
  <si>
    <t>Feasability Factor</t>
  </si>
  <si>
    <t>IO
Spill
Over</t>
  </si>
  <si>
    <t>TSH</t>
  </si>
  <si>
    <t>PSL</t>
  </si>
  <si>
    <t>Control Valve without FB</t>
  </si>
  <si>
    <t>Notes</t>
  </si>
  <si>
    <t>From Kamoa IO List</t>
  </si>
  <si>
    <t>Exist at reagent area</t>
  </si>
  <si>
    <t>Card
Spill
Over</t>
  </si>
  <si>
    <t>Proposed
Layout</t>
  </si>
  <si>
    <t>Proposed
Card
Layout</t>
  </si>
  <si>
    <t>Max IO
Count
for Layout</t>
  </si>
  <si>
    <t>Standard</t>
  </si>
  <si>
    <t>Card
Overrun</t>
  </si>
  <si>
    <t>RIO
Qty</t>
  </si>
  <si>
    <t>Type</t>
  </si>
  <si>
    <t>Proposed
Layout
Capacity</t>
  </si>
  <si>
    <t>Feed Distribution</t>
  </si>
  <si>
    <t>Cyclone Valves</t>
  </si>
  <si>
    <t>Cyclone Periperals</t>
  </si>
  <si>
    <t>Feed Pump 1</t>
  </si>
  <si>
    <t>Feed Pump 2</t>
  </si>
  <si>
    <t>Feed Pump 3</t>
  </si>
  <si>
    <t>Cyclone Cluster</t>
  </si>
  <si>
    <t>Underflow Box</t>
  </si>
  <si>
    <t>Density Source</t>
  </si>
  <si>
    <t>Source position</t>
  </si>
  <si>
    <t>Inline Solenoid for 3 pumps</t>
  </si>
  <si>
    <t>Pump2</t>
  </si>
  <si>
    <t>pump1</t>
  </si>
  <si>
    <t>Estop</t>
  </si>
  <si>
    <t>Regrind Mill Peripherals</t>
  </si>
  <si>
    <t>_Bus</t>
  </si>
  <si>
    <t>Drive Open</t>
  </si>
  <si>
    <t>Drive Close</t>
  </si>
  <si>
    <t>Control Valve with ana FB</t>
  </si>
  <si>
    <t>Control Valve with dig FB</t>
  </si>
  <si>
    <t>Valve Manual</t>
  </si>
  <si>
    <t>Basic Devices</t>
  </si>
  <si>
    <t>Systems</t>
  </si>
  <si>
    <t>Complex IO</t>
  </si>
  <si>
    <t>RIO-3122-2</t>
  </si>
  <si>
    <t>RIO-3122-3</t>
  </si>
  <si>
    <t>RIO-3122-4</t>
  </si>
  <si>
    <t>Digital Bias</t>
  </si>
  <si>
    <t>Cyclones</t>
  </si>
  <si>
    <t>IO Short</t>
  </si>
  <si>
    <t>Exception</t>
  </si>
  <si>
    <t>Total RIOS</t>
  </si>
  <si>
    <t>Analog Bias</t>
  </si>
  <si>
    <t>Equipment Modules / Areas</t>
  </si>
  <si>
    <r>
      <t xml:space="preserve">Calculated / Estimated IO
</t>
    </r>
    <r>
      <rPr>
        <b/>
        <sz val="8"/>
        <color rgb="FFFF0000"/>
        <rFont val="Calibri"/>
        <family val="2"/>
        <scheme val="minor"/>
      </rPr>
      <t>PER AREA</t>
    </r>
  </si>
  <si>
    <r>
      <t xml:space="preserve">Calculated / Estimated IO
</t>
    </r>
    <r>
      <rPr>
        <b/>
        <sz val="8"/>
        <color rgb="FFFF0000"/>
        <rFont val="Calibri"/>
        <family val="2"/>
        <scheme val="minor"/>
      </rPr>
      <t>PER RIO</t>
    </r>
  </si>
  <si>
    <t>Card Count High</t>
  </si>
  <si>
    <t>Too many IO on a card</t>
  </si>
  <si>
    <t>IO Count High</t>
  </si>
  <si>
    <t>Bits</t>
  </si>
  <si>
    <t>Part Num</t>
  </si>
  <si>
    <t>Ch</t>
  </si>
  <si>
    <t>6ES7531-7KF00-0AB0</t>
  </si>
  <si>
    <t>6ES7532-5HF00-0AB0</t>
  </si>
  <si>
    <t>6ES7521-1BH00-0AB0</t>
  </si>
  <si>
    <t>6ES7522-1BH01-0AB0</t>
  </si>
  <si>
    <t>6ES7522-1BL01-0AB0</t>
  </si>
  <si>
    <t>Number
of Cards
Needed</t>
  </si>
  <si>
    <t>bits</t>
  </si>
  <si>
    <t>Address Space per RIO</t>
  </si>
  <si>
    <t>Bits
Req</t>
  </si>
  <si>
    <t>Rio
Req</t>
  </si>
  <si>
    <t>Total Number
of RIOS
On Plant</t>
  </si>
  <si>
    <t>ET200</t>
  </si>
  <si>
    <t>IO Part Numbers</t>
  </si>
  <si>
    <t>Other Part Numbers</t>
  </si>
  <si>
    <t>6ES7155-5AA00-0AA0</t>
  </si>
  <si>
    <t>Max address space per Unit = 64</t>
  </si>
  <si>
    <t>SIMATIC ET 200MP PROFINET IO device Interface module IM 155-5 PN BA for ET 200MP electronic modules; up to 12 IO modules; Integrated 2-port switch; RJ45 Shared Device with 2 IO controllers, MRP; FW update; I&amp;M0...3</t>
  </si>
  <si>
    <t>Siemens description</t>
  </si>
  <si>
    <t>6ES7155-5AA00-0AC0</t>
  </si>
  <si>
    <t>ET200-HF</t>
  </si>
  <si>
    <t>Proposed</t>
  </si>
  <si>
    <t>ü</t>
  </si>
  <si>
    <t>x</t>
  </si>
  <si>
    <t>Max address space per Unit = 256</t>
  </si>
  <si>
    <t>6ES7590-1AE80-0AA0</t>
  </si>
  <si>
    <t>6ES7592-1AM00-0XB0</t>
  </si>
  <si>
    <t>6ES7590-1AC40-0AA0</t>
  </si>
  <si>
    <t>6ES7518-4AP00-0AB0</t>
  </si>
  <si>
    <t>6ES7954-8LT03-0AA0</t>
  </si>
  <si>
    <t>Based on Kamoa Architecture</t>
  </si>
  <si>
    <t>Total
Allocated</t>
  </si>
  <si>
    <t>6GK5206-2BB00-2AC2</t>
  </si>
  <si>
    <t>SCALANCE XC206-2 manageable Layer 2 IE switch; IEC 62443-4-2 certified; 6x 100 Mbit/s RJ45 ports; 2x 100 Mbit/s ST/BFOC ports; 1x console port; diagnostics LED; redundant power supply; temperature range -40 °C to +70 °C; assembly: DIN rail/S7 mounting rail/wall redundancy functions; office features (RSTP, VLAN,...); PROFINET IO device; Ethernet/IP-compliant C-PLUG slot;</t>
  </si>
  <si>
    <t>?</t>
  </si>
  <si>
    <t>6GK5206-2BS00-2AC2</t>
  </si>
  <si>
    <t>XC206-2SFP</t>
  </si>
  <si>
    <t>XC206-ST/BFOC</t>
  </si>
  <si>
    <t>SCALANCE XC206-2SFP manageable Layer 2 IE switch; IEC 62443-4-2 certified; 6x 10/100 MBit/s RJ45 ports; 2x 100/1000 Mbit/s SFP; 1x console port; diagnostics LED; redundant power supply; temperature range -40 °C to +70 °C; assembly: DIN rail/S7 mounting rail/wall Office redundancy functions features (RSTP, VLAN,...); PROFINET IO device; Ethernet/IP-compliant; C-plug slot;</t>
  </si>
  <si>
    <t>SIMATIC S7-1500, mounting rail 482.6 mm (approx. 19 inch); incl. grounding screw, integrated DIN rail for mounting of incidentals such as terminals, automatic circuit breakers and relays</t>
  </si>
  <si>
    <t>SIMATIC S7-1500, Front connector Screw-type connection system, 40-pole for 35 mm wide modules incl. 4 potential bridges, and cable ties</t>
  </si>
  <si>
    <t>Front Connector</t>
  </si>
  <si>
    <t>Scalance</t>
  </si>
  <si>
    <t>Rail</t>
  </si>
  <si>
    <t>SIMATIC S7-1500, CPU 1518-4 PN/DP, central processing unit with 6 MB work memory for program and 60 MB for data, 1st interface: PROFINET IRT with 2-port switch, 2nd interface: PROFINET RT, 3rd interface: Ethernet, 4th interface: PROFIBUS, 1 ns bit-performance, SIMATIC Memory Card required</t>
  </si>
  <si>
    <t>SIMATIC S7-1500, mounting rail 245 mm (approx. 9.6 inch); incl. grounding screw, integrated DIN rail for mounting of incidentals such as terminals, automatic circuit breakers and relays</t>
  </si>
  <si>
    <t>1518</t>
  </si>
  <si>
    <t>Mem Card</t>
  </si>
  <si>
    <t xml:space="preserve">	SIMATIC S7, memory cards for S7-1x 00 CPU, 3, 3V Flash, 32 GB</t>
  </si>
  <si>
    <t>32GB</t>
  </si>
  <si>
    <t>COUNTS</t>
  </si>
  <si>
    <t>With an A/B RIO, a scalance is added to both Rios even though it is not necessary. This is to keep the standard RIO, standard</t>
  </si>
  <si>
    <t>6ES7505-0KA00-0AB0</t>
  </si>
  <si>
    <t>SIMATIC S7-1500, System power supply PS 25W 24 V DC, supplies the backplane bus of the S7-1500 with operating voltage</t>
  </si>
  <si>
    <t>PS-25W</t>
  </si>
  <si>
    <t>6GK5991-1AD00-8AA0</t>
  </si>
  <si>
    <t>SFP</t>
  </si>
  <si>
    <t>Multimode</t>
  </si>
  <si>
    <t>6GK5991-1AF00-8AA0</t>
  </si>
  <si>
    <t>Can buy 10 pack for cheaper R/unit</t>
  </si>
  <si>
    <t>SCALANCE X accessory; Plug-in transceiver SFP991-1; 1x 100 Mbit/s LC port, optical; multimode optical up to max. 5 km.</t>
  </si>
  <si>
    <t>SCALANCE X accessory; SFP991-1LD; 1x 100 Mbit/s LC port, optical; single-mode optical up to max. 26 km</t>
  </si>
  <si>
    <t>SingleMode</t>
  </si>
  <si>
    <t>6GK5206-2GS00-2AC2</t>
  </si>
  <si>
    <t xml:space="preserve">	SCALANCE XC206-2SFP G manageable Layer 2 IE switch; IEC 62443-4-2 certified; 6x 10/100/1000 Mbps RJ45 ports; 2x 1000 Mbps SFP; 1x console port; diagnostics LED; redundant power supply; temperature range -40 °C to +70 °C; assembly: DIN rail/S7 mounting rail/wall; redundancy functions; office features (RSTP, VLAN,...); PROFINET IO device; Ethernet/IP-compliant; C-PLUG slot; IEEE 1588v2 PTP</t>
  </si>
  <si>
    <t>Fire system</t>
  </si>
  <si>
    <t>19"</t>
  </si>
  <si>
    <t>Screw</t>
  </si>
  <si>
    <t>9.6"</t>
  </si>
  <si>
    <t>6EP1333-4BA00</t>
  </si>
  <si>
    <t>PM</t>
  </si>
  <si>
    <t>PS</t>
  </si>
  <si>
    <t>8A</t>
  </si>
  <si>
    <t>SIMATIC PM 1507 24 V/8 A Regulated power supply for SIMATIC S7-1500 input: 120/230 V AC, output: 24 V DC/8 A</t>
  </si>
  <si>
    <t>6ES7922-5BF00-0AB0</t>
  </si>
  <si>
    <t>Front connector for SIMATIC S7-1500 40 pole (6ES7592-1AM00-0XB0) with 20 single cores 0.5 mm2 (1-20) Core type H05V-K Screw version L = 5.0 m</t>
  </si>
  <si>
    <t>20 core-5m</t>
  </si>
  <si>
    <t>Loom</t>
  </si>
  <si>
    <t>Standard-Small</t>
  </si>
  <si>
    <t>IJB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</si>
</sst>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"/>
      <color theme="1"/>
      <name val="Arial Narrow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8"/>
      <color theme="0" tint="-0.249977111117893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FAFE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5">
    <xf numFmtId="0" fontId="0" fillId="0" borderId="0" xfId="0"/>
    <xf numFmtId="0" fontId="0" fillId="6" borderId="2" xfId="0" applyFill="1" applyBorder="1"/>
    <xf numFmtId="0" fontId="0" fillId="6" borderId="2" xfId="0" applyFill="1" applyBorder="1" applyAlignment="1">
      <alignment wrapText="1"/>
    </xf>
    <xf numFmtId="0" fontId="0" fillId="6" borderId="3" xfId="0" applyFill="1" applyBorder="1" applyAlignment="1">
      <alignment horizontal="left" wrapText="1"/>
    </xf>
    <xf numFmtId="0" fontId="0" fillId="0" borderId="1" xfId="0" applyBorder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left" wrapText="1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left" vertical="center"/>
    </xf>
    <xf numFmtId="0" fontId="0" fillId="7" borderId="0" xfId="0" applyFill="1" applyAlignment="1">
      <alignment horizontal="left"/>
    </xf>
    <xf numFmtId="0" fontId="0" fillId="10" borderId="0" xfId="0" applyFill="1"/>
    <xf numFmtId="0" fontId="0" fillId="4" borderId="4" xfId="0" applyFill="1" applyBorder="1" applyAlignment="1">
      <alignment horizontal="left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0" fillId="6" borderId="3" xfId="0" applyFill="1" applyBorder="1" applyAlignment="1">
      <alignment horizontal="center" wrapText="1"/>
    </xf>
    <xf numFmtId="0" fontId="3" fillId="0" borderId="0" xfId="0" applyFont="1" applyAlignment="1">
      <alignment horizontal="center" vertical="center"/>
    </xf>
    <xf numFmtId="0" fontId="0" fillId="6" borderId="3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11" borderId="1" xfId="0" applyFill="1" applyBorder="1" applyAlignment="1">
      <alignment horizontal="center"/>
    </xf>
    <xf numFmtId="0" fontId="4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6" borderId="2" xfId="0" applyFill="1" applyBorder="1" applyAlignment="1">
      <alignment horizontal="center" wrapText="1"/>
    </xf>
    <xf numFmtId="0" fontId="5" fillId="10" borderId="0" xfId="0" applyFont="1" applyFill="1"/>
    <xf numFmtId="0" fontId="0" fillId="8" borderId="0" xfId="0" applyFill="1" applyAlignment="1">
      <alignment horizontal="center"/>
    </xf>
    <xf numFmtId="0" fontId="4" fillId="8" borderId="0" xfId="0" applyFont="1" applyFill="1"/>
    <xf numFmtId="0" fontId="4" fillId="0" borderId="0" xfId="0" applyFont="1"/>
    <xf numFmtId="0" fontId="0" fillId="5" borderId="6" xfId="0" applyFill="1" applyBorder="1"/>
    <xf numFmtId="0" fontId="0" fillId="5" borderId="7" xfId="0" applyFill="1" applyBorder="1"/>
    <xf numFmtId="0" fontId="4" fillId="6" borderId="3" xfId="0" applyFont="1" applyFill="1" applyBorder="1" applyAlignment="1">
      <alignment horizontal="left" wrapText="1"/>
    </xf>
    <xf numFmtId="0" fontId="7" fillId="8" borderId="0" xfId="0" applyFont="1" applyFill="1" applyAlignment="1">
      <alignment horizontal="left" vertical="center"/>
    </xf>
    <xf numFmtId="0" fontId="7" fillId="7" borderId="0" xfId="0" applyFont="1" applyFill="1" applyAlignment="1">
      <alignment horizontal="left" vertical="center"/>
    </xf>
    <xf numFmtId="0" fontId="0" fillId="4" borderId="0" xfId="0" applyFill="1" applyAlignment="1">
      <alignment horizontal="center"/>
    </xf>
    <xf numFmtId="0" fontId="4" fillId="4" borderId="0" xfId="0" applyFont="1" applyFill="1"/>
    <xf numFmtId="0" fontId="0" fillId="0" borderId="0" xfId="0" applyAlignment="1" applyProtection="1">
      <alignment horizontal="center"/>
      <protection locked="0"/>
    </xf>
    <xf numFmtId="0" fontId="0" fillId="9" borderId="0" xfId="0" applyFill="1"/>
    <xf numFmtId="0" fontId="0" fillId="0" borderId="0" xfId="0" applyAlignment="1">
      <alignment horizontal="center" wrapText="1"/>
    </xf>
    <xf numFmtId="0" fontId="0" fillId="10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8" fillId="0" borderId="0" xfId="0" applyFont="1" applyAlignment="1">
      <alignment horizontal="center"/>
    </xf>
    <xf numFmtId="0" fontId="4" fillId="8" borderId="0" xfId="0" applyFont="1" applyFill="1" applyAlignment="1">
      <alignment horizontal="center"/>
    </xf>
    <xf numFmtId="0" fontId="0" fillId="0" borderId="0" xfId="0" applyAlignment="1">
      <alignment horizontal="left" wrapText="1"/>
    </xf>
    <xf numFmtId="0" fontId="10" fillId="0" borderId="0" xfId="0" applyFont="1" applyAlignment="1">
      <alignment horizontal="center"/>
    </xf>
    <xf numFmtId="0" fontId="6" fillId="0" borderId="0" xfId="0" applyFont="1"/>
    <xf numFmtId="0" fontId="0" fillId="0" borderId="0" xfId="0" applyProtection="1">
      <protection locked="0"/>
    </xf>
    <xf numFmtId="0" fontId="11" fillId="0" borderId="0" xfId="0" applyFont="1" applyAlignment="1">
      <alignment horizontal="left"/>
    </xf>
    <xf numFmtId="0" fontId="4" fillId="4" borderId="4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4" fillId="8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9" fontId="4" fillId="5" borderId="2" xfId="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left"/>
    </xf>
    <xf numFmtId="0" fontId="4" fillId="5" borderId="1" xfId="0" applyFont="1" applyFill="1" applyBorder="1" applyAlignment="1">
      <alignment horizontal="center" wrapText="1"/>
    </xf>
    <xf numFmtId="0" fontId="0" fillId="0" borderId="1" xfId="0" applyBorder="1"/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4" fillId="0" borderId="0" xfId="0" applyFont="1" applyAlignment="1">
      <alignment horizontal="right"/>
    </xf>
    <xf numFmtId="0" fontId="15" fillId="7" borderId="1" xfId="0" applyFont="1" applyFill="1" applyBorder="1" applyAlignment="1">
      <alignment horizontal="center"/>
    </xf>
    <xf numFmtId="0" fontId="15" fillId="7" borderId="12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4" borderId="7" xfId="0" applyFill="1" applyBorder="1"/>
    <xf numFmtId="0" fontId="16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0" fillId="9" borderId="0" xfId="0" applyFill="1" applyAlignment="1">
      <alignment horizontal="center"/>
    </xf>
    <xf numFmtId="0" fontId="4" fillId="9" borderId="0" xfId="0" applyFont="1" applyFill="1"/>
    <xf numFmtId="0" fontId="0" fillId="4" borderId="0" xfId="0" applyFill="1" applyAlignment="1">
      <alignment horizontal="center" wrapText="1"/>
    </xf>
    <xf numFmtId="0" fontId="4" fillId="4" borderId="1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4" borderId="7" xfId="0" applyFont="1" applyFill="1" applyBorder="1"/>
    <xf numFmtId="0" fontId="4" fillId="0" borderId="1" xfId="0" applyFont="1" applyBorder="1"/>
    <xf numFmtId="0" fontId="4" fillId="4" borderId="1" xfId="0" applyFont="1" applyFill="1" applyBorder="1"/>
    <xf numFmtId="0" fontId="4" fillId="5" borderId="0" xfId="0" applyFont="1" applyFill="1" applyAlignment="1">
      <alignment horizontal="center" wrapText="1"/>
    </xf>
    <xf numFmtId="0" fontId="4" fillId="14" borderId="0" xfId="0" applyFont="1" applyFill="1" applyAlignment="1">
      <alignment horizontal="center" wrapText="1"/>
    </xf>
    <xf numFmtId="0" fontId="0" fillId="15" borderId="0" xfId="0" applyFill="1"/>
    <xf numFmtId="0" fontId="0" fillId="15" borderId="0" xfId="0" applyFill="1" applyAlignment="1">
      <alignment horizontal="left"/>
    </xf>
    <xf numFmtId="0" fontId="0" fillId="0" borderId="1" xfId="0" quotePrefix="1" applyBorder="1"/>
    <xf numFmtId="0" fontId="4" fillId="14" borderId="1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center"/>
    </xf>
    <xf numFmtId="0" fontId="4" fillId="16" borderId="0" xfId="0" applyFont="1" applyFill="1" applyAlignment="1">
      <alignment horizontal="center" wrapText="1"/>
    </xf>
    <xf numFmtId="0" fontId="17" fillId="0" borderId="0" xfId="0" applyFont="1" applyAlignment="1">
      <alignment horizontal="center" wrapText="1"/>
    </xf>
    <xf numFmtId="0" fontId="17" fillId="9" borderId="0" xfId="0" applyFont="1" applyFill="1"/>
    <xf numFmtId="0" fontId="17" fillId="10" borderId="0" xfId="0" applyFont="1" applyFill="1"/>
    <xf numFmtId="0" fontId="18" fillId="2" borderId="0" xfId="0" applyFont="1" applyFill="1" applyAlignment="1">
      <alignment horizontal="center" vertical="center"/>
    </xf>
    <xf numFmtId="0" fontId="17" fillId="15" borderId="0" xfId="0" applyFont="1" applyFill="1"/>
    <xf numFmtId="0" fontId="0" fillId="4" borderId="1" xfId="0" applyFill="1" applyBorder="1" applyAlignment="1">
      <alignment wrapText="1"/>
    </xf>
    <xf numFmtId="0" fontId="6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4" fillId="6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17" fillId="0" borderId="0" xfId="0" applyFont="1" applyAlignment="1">
      <alignment horizontal="right"/>
    </xf>
    <xf numFmtId="0" fontId="0" fillId="0" borderId="0" xfId="0" applyAlignment="1" applyProtection="1">
      <alignment horizontal="left"/>
      <protection locked="0"/>
    </xf>
    <xf numFmtId="0" fontId="0" fillId="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9" fillId="0" borderId="0" xfId="0" applyFont="1" applyAlignment="1">
      <alignment horizontal="center" wrapText="1"/>
    </xf>
    <xf numFmtId="0" fontId="15" fillId="10" borderId="0" xfId="0" applyFont="1" applyFill="1"/>
    <xf numFmtId="0" fontId="4" fillId="14" borderId="0" xfId="0" applyFont="1" applyFill="1" applyAlignment="1">
      <alignment horizontal="center"/>
    </xf>
    <xf numFmtId="0" fontId="20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9" xfId="0" applyFill="1" applyBorder="1" applyAlignment="1">
      <alignment horizontal="center"/>
    </xf>
    <xf numFmtId="0" fontId="9" fillId="10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0" fontId="9" fillId="13" borderId="9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6" fillId="0" borderId="0" xfId="0" applyFont="1" applyAlignment="1">
      <alignment horizontal="right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0" fontId="0" fillId="7" borderId="8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0" xfId="0" applyFont="1" applyAlignment="1">
      <alignment horizontal="center" wrapText="1"/>
    </xf>
    <xf numFmtId="0" fontId="0" fillId="8" borderId="8" xfId="0" applyFill="1" applyBorder="1" applyAlignment="1">
      <alignment horizontal="center" wrapText="1"/>
    </xf>
    <xf numFmtId="0" fontId="0" fillId="4" borderId="8" xfId="0" applyFill="1" applyBorder="1" applyAlignment="1">
      <alignment horizontal="center"/>
    </xf>
    <xf numFmtId="0" fontId="0" fillId="0" borderId="1" xfId="0" applyBorder="1" applyAlignment="1">
      <alignment horizontal="center" textRotation="45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5" borderId="2" xfId="0" applyFont="1" applyFill="1" applyBorder="1" applyAlignment="1">
      <alignment horizontal="center" wrapText="1"/>
    </xf>
    <xf numFmtId="0" fontId="4" fillId="5" borderId="2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wrapText="1"/>
    </xf>
    <xf numFmtId="0" fontId="4" fillId="5" borderId="1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8" xfId="0" applyBorder="1" applyAlignment="1">
      <alignment horizontal="center"/>
    </xf>
    <xf numFmtId="9" fontId="4" fillId="5" borderId="3" xfId="0" applyNumberFormat="1" applyFont="1" applyFill="1" applyBorder="1" applyAlignment="1">
      <alignment horizontal="left" wrapText="1"/>
    </xf>
    <xf numFmtId="9" fontId="4" fillId="5" borderId="10" xfId="0" applyNumberFormat="1" applyFont="1" applyFill="1" applyBorder="1" applyAlignment="1">
      <alignment horizontal="left"/>
    </xf>
    <xf numFmtId="9" fontId="4" fillId="5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right"/>
    </xf>
  </cellXfs>
  <cellStyles count="2">
    <cellStyle name="Normal" xfId="0" builtinId="0"/>
    <cellStyle name="Normal 2 2" xfId="1" xr:uid="{7CAC0E4C-88F1-4A67-81C2-781028342A18}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A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742950</xdr:colOff>
      <xdr:row>0</xdr:row>
      <xdr:rowOff>28575</xdr:rowOff>
    </xdr:from>
    <xdr:to>
      <xdr:col>7</xdr:col>
      <xdr:colOff>2032000</xdr:colOff>
      <xdr:row>0</xdr:row>
      <xdr:rowOff>320675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131B5FB-70A2-4A49-AB21-4B4831D7C4BA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cmFnbG9iYWwtbXkuc2hhcmVwb2ludC5jb20vOnU6L3AvZ3JhaGFtX2F1ZG91aW4vRVotX3JiTW1wcVpOcHBHRGFRMHQ4WUVCMExNZmRGa2lfdUJUNE9uaWVQbkY2dw&quot;}"/>
            </a:ext>
          </a:extLst>
        </xdr:cNvPr>
        <xdr:cNvSpPr/>
      </xdr:nvSpPr>
      <xdr:spPr>
        <a:xfrm>
          <a:off x="5581650" y="28575"/>
          <a:ext cx="1289050" cy="292100"/>
        </a:xfrm>
        <a:prstGeom prst="roundRect">
          <a:avLst/>
        </a:prstGeom>
        <a:solidFill>
          <a:srgbClr val="107C4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/>
            <a:t>Create RIO Count</a:t>
          </a:r>
        </a:p>
      </xdr:txBody>
    </xdr:sp>
    <xdr:clientData/>
  </xdr:twoCellAnchor>
  <xdr:oneCellAnchor>
    <xdr:from>
      <xdr:col>35</xdr:col>
      <xdr:colOff>152400</xdr:colOff>
      <xdr:row>12</xdr:row>
      <xdr:rowOff>57150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CF9A1F3-F11C-C24C-EBF5-970E8C35BB76}"/>
            </a:ext>
          </a:extLst>
        </xdr:cNvPr>
        <xdr:cNvSpPr txBox="1"/>
      </xdr:nvSpPr>
      <xdr:spPr>
        <a:xfrm>
          <a:off x="12858750" y="2724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ZA" sz="1100"/>
        </a:p>
      </xdr:txBody>
    </xdr:sp>
    <xdr:clientData/>
  </xdr:oneCellAnchor>
  <xdr:twoCellAnchor>
    <xdr:from>
      <xdr:col>54</xdr:col>
      <xdr:colOff>66674</xdr:colOff>
      <xdr:row>0</xdr:row>
      <xdr:rowOff>190499</xdr:rowOff>
    </xdr:from>
    <xdr:to>
      <xdr:col>55</xdr:col>
      <xdr:colOff>9525</xdr:colOff>
      <xdr:row>0</xdr:row>
      <xdr:rowOff>504824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C7AF20-2E27-4BCB-8100-BE1EA9EF373A}"/>
            </a:ext>
          </a:extLst>
        </xdr:cNvPr>
        <xdr:cNvSpPr txBox="1"/>
      </xdr:nvSpPr>
      <xdr:spPr>
        <a:xfrm>
          <a:off x="15985848" y="190499"/>
          <a:ext cx="613742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RIO SIze</a:t>
          </a:r>
        </a:p>
      </xdr:txBody>
    </xdr:sp>
    <xdr:clientData/>
  </xdr:twoCellAnchor>
  <xdr:twoCellAnchor>
    <xdr:from>
      <xdr:col>55</xdr:col>
      <xdr:colOff>57149</xdr:colOff>
      <xdr:row>0</xdr:row>
      <xdr:rowOff>180974</xdr:rowOff>
    </xdr:from>
    <xdr:to>
      <xdr:col>56</xdr:col>
      <xdr:colOff>17859</xdr:colOff>
      <xdr:row>0</xdr:row>
      <xdr:rowOff>495299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1C0C591-AAA7-49CF-B8C4-89981EAC07F6}"/>
            </a:ext>
          </a:extLst>
        </xdr:cNvPr>
        <xdr:cNvSpPr txBox="1"/>
      </xdr:nvSpPr>
      <xdr:spPr>
        <a:xfrm>
          <a:off x="16624696" y="180974"/>
          <a:ext cx="62746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IO Count</a:t>
          </a:r>
        </a:p>
      </xdr:txBody>
    </xdr:sp>
    <xdr:clientData/>
  </xdr:twoCellAnchor>
  <xdr:twoCellAnchor>
    <xdr:from>
      <xdr:col>53</xdr:col>
      <xdr:colOff>47625</xdr:colOff>
      <xdr:row>0</xdr:row>
      <xdr:rowOff>13782</xdr:rowOff>
    </xdr:from>
    <xdr:to>
      <xdr:col>57</xdr:col>
      <xdr:colOff>5603</xdr:colOff>
      <xdr:row>0</xdr:row>
      <xdr:rowOff>175706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1E3216A-97DD-427C-A242-F669C0E520AA}"/>
            </a:ext>
          </a:extLst>
        </xdr:cNvPr>
        <xdr:cNvSpPr txBox="1"/>
      </xdr:nvSpPr>
      <xdr:spPr>
        <a:xfrm>
          <a:off x="15845118" y="13782"/>
          <a:ext cx="1347507" cy="16192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>
              <a:solidFill>
                <a:srgbClr val="FF0000"/>
              </a:solidFill>
            </a:rPr>
            <a:t>ISSUES</a:t>
          </a:r>
        </a:p>
      </xdr:txBody>
    </xdr:sp>
    <xdr:clientData/>
  </xdr:twoCellAnchor>
  <xdr:twoCellAnchor>
    <xdr:from>
      <xdr:col>52</xdr:col>
      <xdr:colOff>57149</xdr:colOff>
      <xdr:row>0</xdr:row>
      <xdr:rowOff>180974</xdr:rowOff>
    </xdr:from>
    <xdr:to>
      <xdr:col>53</xdr:col>
      <xdr:colOff>9525</xdr:colOff>
      <xdr:row>0</xdr:row>
      <xdr:rowOff>495299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EC0D7B-E358-47C5-8096-59ABD0587ECC}"/>
            </a:ext>
          </a:extLst>
        </xdr:cNvPr>
        <xdr:cNvSpPr txBox="1"/>
      </xdr:nvSpPr>
      <xdr:spPr>
        <a:xfrm>
          <a:off x="16614505" y="180974"/>
          <a:ext cx="62074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IO Count</a:t>
          </a:r>
        </a:p>
      </xdr:txBody>
    </xdr:sp>
    <xdr:clientData/>
  </xdr:twoCellAnchor>
  <xdr:twoCellAnchor>
    <xdr:from>
      <xdr:col>56</xdr:col>
      <xdr:colOff>57149</xdr:colOff>
      <xdr:row>0</xdr:row>
      <xdr:rowOff>180974</xdr:rowOff>
    </xdr:from>
    <xdr:to>
      <xdr:col>57</xdr:col>
      <xdr:colOff>17859</xdr:colOff>
      <xdr:row>0</xdr:row>
      <xdr:rowOff>495299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115CBB4-8495-42DC-92F1-9A83821647A9}"/>
            </a:ext>
          </a:extLst>
        </xdr:cNvPr>
        <xdr:cNvSpPr txBox="1"/>
      </xdr:nvSpPr>
      <xdr:spPr>
        <a:xfrm>
          <a:off x="16647214" y="180974"/>
          <a:ext cx="631602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ZA" sz="800"/>
            <a:t>Card Count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raglobal.sharepoint.com/sites/PCDEBR6450/Teams/EI/30.%20Instrumentation/8.%20Datasheets/Pressure%20&amp;%20Level/PCDEBR6450-ECI-DTS-0070%20KMC-KKP-22-IS331%20-%20Levels.xlsx" TargetMode="External"/><Relationship Id="rId1" Type="http://schemas.openxmlformats.org/officeDocument/2006/relationships/externalLinkPath" Target="https://draglobal.sharepoint.com/sites/PCDEBR6450/Teams/EI/30.%20Instrumentation/8.%20Datasheets/Pressure%20&amp;%20Level/PCDEBR6450-ECI-DTS-0070%20KMC-KKP-22-IS331%20-%20Leve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List"/>
      <sheetName val="IINDEX VS LIST"/>
      <sheetName val="L1"/>
      <sheetName val="L2"/>
      <sheetName val="L3"/>
      <sheetName val="L4"/>
      <sheetName val="L5"/>
      <sheetName val="L6"/>
      <sheetName val="L7"/>
      <sheetName val="L8"/>
      <sheetName val="L9"/>
      <sheetName val="L10"/>
      <sheetName val="L11"/>
      <sheetName val="L12"/>
      <sheetName val="L13"/>
      <sheetName val="L14"/>
      <sheetName val="L15"/>
      <sheetName val="L16"/>
      <sheetName val="L17"/>
      <sheetName val="L18"/>
      <sheetName val="L19"/>
      <sheetName val="L20"/>
      <sheetName val="L21"/>
      <sheetName val="L22"/>
      <sheetName val="L23"/>
      <sheetName val="L24"/>
      <sheetName val="L25"/>
      <sheetName val="L26"/>
      <sheetName val="L27"/>
      <sheetName val="L28"/>
      <sheetName val="L29"/>
      <sheetName val="L30"/>
      <sheetName val="L31"/>
      <sheetName val="L32"/>
      <sheetName val="L33"/>
      <sheetName val="L34"/>
      <sheetName val="L35"/>
      <sheetName val="L36"/>
      <sheetName val="L37"/>
      <sheetName val="L38"/>
      <sheetName val="L39"/>
      <sheetName val="L40"/>
      <sheetName val="L41"/>
      <sheetName val="L42"/>
      <sheetName val="L43"/>
      <sheetName val="L44"/>
      <sheetName val="L45"/>
      <sheetName val="L46"/>
      <sheetName val="L47"/>
      <sheetName val="L48"/>
      <sheetName val="L49"/>
      <sheetName val="L50"/>
      <sheetName val="L51"/>
      <sheetName val="L52"/>
      <sheetName val="L53"/>
      <sheetName val="L54"/>
      <sheetName val="L55"/>
      <sheetName val="L56"/>
      <sheetName val="L57"/>
      <sheetName val="L58"/>
      <sheetName val="L59"/>
      <sheetName val="L60"/>
      <sheetName val="L61"/>
      <sheetName val="L62"/>
      <sheetName val="L63"/>
      <sheetName val="L64"/>
      <sheetName val="L65"/>
      <sheetName val="L66"/>
      <sheetName val="L67"/>
      <sheetName val="L68"/>
      <sheetName val="L69"/>
      <sheetName val="L70"/>
      <sheetName val="L71"/>
      <sheetName val="L72"/>
      <sheetName val="L73"/>
      <sheetName val="L74"/>
      <sheetName val="L75"/>
      <sheetName val="L76"/>
      <sheetName val="L77"/>
      <sheetName val="L78"/>
      <sheetName val="L79"/>
      <sheetName val="L80"/>
      <sheetName val="L81"/>
      <sheetName val="L82"/>
      <sheetName val="L83"/>
      <sheetName val="L84"/>
      <sheetName val="L85"/>
      <sheetName val="L86"/>
      <sheetName val="L87"/>
      <sheetName val="L88"/>
      <sheetName val="L89"/>
      <sheetName val="L90"/>
      <sheetName val="L91"/>
      <sheetName val="L92"/>
      <sheetName val="L93"/>
      <sheetName val="L94"/>
      <sheetName val="L95"/>
      <sheetName val="L96"/>
      <sheetName val="L97"/>
      <sheetName val="L98"/>
      <sheetName val="L99"/>
      <sheetName val="L100"/>
      <sheetName val="L101"/>
      <sheetName val="L102"/>
      <sheetName val="L103"/>
      <sheetName val="L104"/>
      <sheetName val="L105"/>
      <sheetName val="L106"/>
      <sheetName val="L107"/>
      <sheetName val="L108"/>
      <sheetName val="L109"/>
      <sheetName val="L110"/>
      <sheetName val="L111"/>
      <sheetName val="L112"/>
      <sheetName val="L113"/>
      <sheetName val="L114"/>
      <sheetName val="L115"/>
      <sheetName val="L116"/>
      <sheetName val="L117"/>
      <sheetName val="L118"/>
      <sheetName val="L119"/>
      <sheetName val="L12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4D5CE-9E94-4CD3-9DF0-E3B3873CE30F}">
  <sheetPr>
    <tabColor theme="7" tint="0.79998168889431442"/>
  </sheetPr>
  <dimension ref="A1:BX301"/>
  <sheetViews>
    <sheetView workbookViewId="0">
      <pane ySplit="2" topLeftCell="A3" activePane="bottomLeft" state="frozen"/>
      <selection pane="bottomLeft" activeCell="B18" sqref="B18"/>
    </sheetView>
  </sheetViews>
  <sheetFormatPr defaultRowHeight="15" x14ac:dyDescent="0.25"/>
  <cols>
    <col min="1" max="1" width="1" style="21" customWidth="1"/>
    <col min="2" max="2" width="24.28515625" bestFit="1" customWidth="1"/>
    <col min="3" max="3" width="2.7109375" style="25" bestFit="1" customWidth="1"/>
    <col min="4" max="4" width="2.85546875" style="25" bestFit="1" customWidth="1"/>
    <col min="5" max="5" width="2.7109375" style="25" bestFit="1" customWidth="1"/>
    <col min="6" max="6" width="3" style="25" bestFit="1" customWidth="1"/>
    <col min="7" max="7" width="3.42578125" style="25" bestFit="1" customWidth="1"/>
    <col min="8" max="8" width="16.42578125" style="32" bestFit="1" customWidth="1"/>
    <col min="9" max="9" width="1" style="21" customWidth="1"/>
    <col min="10" max="10" width="24.28515625" style="17" bestFit="1" customWidth="1"/>
    <col min="11" max="11" width="19.28515625" style="32" bestFit="1" customWidth="1"/>
    <col min="12" max="12" width="9.85546875" style="32" bestFit="1" customWidth="1"/>
    <col min="13" max="13" width="23" style="40" bestFit="1" customWidth="1"/>
    <col min="14" max="14" width="15" style="40" bestFit="1" customWidth="1"/>
    <col min="15" max="15" width="3.28515625" style="25" bestFit="1" customWidth="1"/>
    <col min="16" max="16" width="2.7109375" style="25" bestFit="1" customWidth="1"/>
    <col min="17" max="17" width="2.85546875" style="25" bestFit="1" customWidth="1"/>
    <col min="18" max="18" width="2.7109375" style="25" bestFit="1" customWidth="1"/>
    <col min="19" max="19" width="3" style="25" bestFit="1" customWidth="1"/>
    <col min="20" max="20" width="3.42578125" style="25" bestFit="1" customWidth="1"/>
    <col min="21" max="21" width="1" style="21" customWidth="1"/>
    <col min="22" max="22" width="1.85546875" style="32" bestFit="1" customWidth="1"/>
    <col min="23" max="23" width="25.7109375" bestFit="1" customWidth="1"/>
    <col min="24" max="25" width="2.85546875" style="40" hidden="1" customWidth="1"/>
    <col min="26" max="26" width="3.28515625" style="25" bestFit="1" customWidth="1"/>
    <col min="27" max="27" width="2.28515625" style="25" bestFit="1" customWidth="1"/>
    <col min="28" max="28" width="2.85546875" style="25" bestFit="1" customWidth="1"/>
    <col min="29" max="29" width="2.7109375" style="25" bestFit="1" customWidth="1"/>
    <col min="30" max="30" width="3" style="25" bestFit="1" customWidth="1"/>
    <col min="31" max="31" width="3.42578125" style="25" bestFit="1" customWidth="1"/>
    <col min="32" max="32" width="1" style="21" customWidth="1"/>
    <col min="33" max="33" width="1.85546875" style="32" bestFit="1" customWidth="1"/>
    <col min="34" max="34" width="25.7109375" bestFit="1" customWidth="1"/>
    <col min="35" max="35" width="19.28515625" style="40" bestFit="1" customWidth="1"/>
    <col min="36" max="36" width="13.140625" style="40" bestFit="1" customWidth="1"/>
    <col min="37" max="37" width="3.28515625" style="25" bestFit="1" customWidth="1"/>
    <col min="38" max="38" width="2.28515625" style="25" bestFit="1" customWidth="1"/>
    <col min="39" max="39" width="2.85546875" style="25" bestFit="1" customWidth="1"/>
    <col min="40" max="40" width="2.42578125" style="25" bestFit="1" customWidth="1"/>
    <col min="41" max="41" width="3" style="25" bestFit="1" customWidth="1"/>
    <col min="42" max="42" width="3.42578125" style="25" bestFit="1" customWidth="1"/>
    <col min="43" max="43" width="1" style="21" customWidth="1"/>
    <col min="44" max="44" width="1.85546875" style="32" bestFit="1" customWidth="1"/>
    <col min="45" max="45" width="25.7109375" bestFit="1" customWidth="1"/>
    <col min="46" max="46" width="11.42578125" style="40" bestFit="1" customWidth="1"/>
    <col min="47" max="47" width="11.7109375" style="40" bestFit="1" customWidth="1"/>
    <col min="48" max="48" width="3.28515625" style="25" bestFit="1" customWidth="1"/>
    <col min="49" max="49" width="2.28515625" style="40" bestFit="1" customWidth="1"/>
    <col min="50" max="50" width="2.85546875" style="40" bestFit="1" customWidth="1"/>
    <col min="51" max="51" width="2.42578125" style="40" bestFit="1" customWidth="1"/>
    <col min="52" max="52" width="3" style="40" bestFit="1" customWidth="1"/>
    <col min="53" max="53" width="3.42578125" style="40" bestFit="1" customWidth="1"/>
    <col min="54" max="54" width="1" style="21" customWidth="1"/>
    <col min="55" max="55" width="1.85546875" style="32" bestFit="1" customWidth="1"/>
    <col min="56" max="56" width="15" bestFit="1" customWidth="1"/>
    <col min="57" max="57" width="9.42578125" style="40" bestFit="1" customWidth="1"/>
    <col min="58" max="58" width="12.28515625" style="40" bestFit="1" customWidth="1"/>
    <col min="59" max="59" width="1.85546875" style="25" bestFit="1" customWidth="1"/>
    <col min="60" max="60" width="2.28515625" style="40" bestFit="1" customWidth="1"/>
    <col min="61" max="61" width="2.85546875" style="40" bestFit="1" customWidth="1"/>
    <col min="62" max="62" width="2.42578125" style="40" bestFit="1" customWidth="1"/>
    <col min="63" max="63" width="3" style="40" bestFit="1" customWidth="1"/>
    <col min="64" max="64" width="3.42578125" style="40" bestFit="1" customWidth="1"/>
    <col min="65" max="65" width="1" style="21" customWidth="1"/>
    <col min="66" max="66" width="1.85546875" style="25" bestFit="1" customWidth="1"/>
    <col min="67" max="67" width="12.140625" bestFit="1" customWidth="1"/>
    <col min="68" max="70" width="2.42578125" hidden="1" customWidth="1"/>
    <col min="71" max="71" width="2.28515625" style="40" bestFit="1" customWidth="1"/>
    <col min="72" max="72" width="2.85546875" style="40" bestFit="1" customWidth="1"/>
    <col min="73" max="73" width="2.42578125" style="40" bestFit="1" customWidth="1"/>
    <col min="74" max="74" width="3" style="40" bestFit="1" customWidth="1"/>
    <col min="75" max="75" width="3.42578125" style="40" bestFit="1" customWidth="1"/>
    <col min="76" max="76" width="1" style="21" customWidth="1"/>
  </cols>
  <sheetData>
    <row r="1" spans="2:75" x14ac:dyDescent="0.25">
      <c r="B1" s="117" t="s">
        <v>335</v>
      </c>
      <c r="C1" s="117"/>
      <c r="D1" s="117"/>
      <c r="E1" s="117"/>
      <c r="F1" s="117"/>
      <c r="G1" s="117"/>
      <c r="H1" s="117"/>
      <c r="J1" s="118" t="s">
        <v>246</v>
      </c>
      <c r="K1" s="118"/>
      <c r="L1" s="118"/>
      <c r="M1" s="118"/>
      <c r="N1" s="118"/>
      <c r="O1" s="118"/>
      <c r="P1" s="118"/>
      <c r="Q1" s="118"/>
      <c r="R1" s="118"/>
      <c r="S1" s="118"/>
      <c r="T1" s="118"/>
      <c r="V1" s="123" t="s">
        <v>230</v>
      </c>
      <c r="W1" s="123"/>
      <c r="X1" s="123"/>
      <c r="Y1" s="123"/>
      <c r="Z1" s="123"/>
      <c r="AA1" s="123"/>
      <c r="AB1" s="123"/>
      <c r="AC1" s="123"/>
      <c r="AD1" s="123"/>
      <c r="AE1" s="124"/>
      <c r="AG1" s="121" t="s">
        <v>324</v>
      </c>
      <c r="AH1" s="121"/>
      <c r="AI1" s="121"/>
      <c r="AJ1" s="121"/>
      <c r="AK1" s="121"/>
      <c r="AL1" s="121"/>
      <c r="AM1" s="121"/>
      <c r="AN1" s="121"/>
      <c r="AO1" s="121"/>
      <c r="AP1" s="122"/>
      <c r="AR1" s="119" t="s">
        <v>323</v>
      </c>
      <c r="AS1" s="119"/>
      <c r="AT1" s="119"/>
      <c r="AU1" s="119"/>
      <c r="AV1" s="119"/>
      <c r="AW1" s="119"/>
      <c r="AX1" s="119"/>
      <c r="AY1" s="119"/>
      <c r="AZ1" s="119"/>
      <c r="BA1" s="120"/>
      <c r="BC1" s="115" t="s">
        <v>325</v>
      </c>
      <c r="BD1" s="115"/>
      <c r="BE1" s="115"/>
      <c r="BF1" s="115"/>
      <c r="BG1" s="115"/>
      <c r="BH1" s="115"/>
      <c r="BI1" s="115"/>
      <c r="BJ1" s="115"/>
      <c r="BK1" s="115"/>
      <c r="BL1" s="116"/>
      <c r="BN1" s="113" t="s">
        <v>10</v>
      </c>
      <c r="BO1" s="113"/>
      <c r="BP1" s="113"/>
      <c r="BQ1" s="113"/>
      <c r="BR1" s="113"/>
      <c r="BS1" s="113"/>
      <c r="BT1" s="113"/>
      <c r="BU1" s="113"/>
      <c r="BV1" s="113"/>
      <c r="BW1" s="114"/>
    </row>
    <row r="2" spans="2:75" x14ac:dyDescent="0.25">
      <c r="C2" s="62" t="s">
        <v>4</v>
      </c>
      <c r="D2" s="62" t="s">
        <v>6</v>
      </c>
      <c r="E2" s="62" t="s">
        <v>3</v>
      </c>
      <c r="F2" s="62" t="s">
        <v>5</v>
      </c>
      <c r="G2" s="62" t="s">
        <v>51</v>
      </c>
      <c r="H2" s="17" t="s">
        <v>201</v>
      </c>
      <c r="J2" s="22" t="s">
        <v>247</v>
      </c>
      <c r="K2" s="60" t="s">
        <v>60</v>
      </c>
      <c r="L2" s="61"/>
      <c r="M2" s="47" t="s">
        <v>43</v>
      </c>
      <c r="N2" s="47" t="s">
        <v>290</v>
      </c>
      <c r="O2" s="24" t="s">
        <v>59</v>
      </c>
      <c r="P2" s="62" t="s">
        <v>4</v>
      </c>
      <c r="Q2" s="62" t="s">
        <v>6</v>
      </c>
      <c r="R2" s="62" t="s">
        <v>3</v>
      </c>
      <c r="S2" s="62" t="s">
        <v>5</v>
      </c>
      <c r="T2" s="62" t="s">
        <v>51</v>
      </c>
      <c r="V2" s="32">
        <f>AG2+1</f>
        <v>5</v>
      </c>
      <c r="Z2" s="25" t="s">
        <v>59</v>
      </c>
      <c r="AA2" s="62" t="s">
        <v>4</v>
      </c>
      <c r="AB2" s="62" t="s">
        <v>6</v>
      </c>
      <c r="AC2" s="62" t="s">
        <v>3</v>
      </c>
      <c r="AD2" s="62" t="s">
        <v>5</v>
      </c>
      <c r="AE2" s="62" t="s">
        <v>51</v>
      </c>
      <c r="AG2" s="32">
        <f>AR2+1</f>
        <v>4</v>
      </c>
      <c r="AK2" s="25" t="s">
        <v>59</v>
      </c>
      <c r="AL2" s="62" t="s">
        <v>4</v>
      </c>
      <c r="AM2" s="62" t="s">
        <v>6</v>
      </c>
      <c r="AN2" s="62" t="s">
        <v>3</v>
      </c>
      <c r="AO2" s="62" t="s">
        <v>5</v>
      </c>
      <c r="AP2" s="62" t="s">
        <v>51</v>
      </c>
      <c r="AR2" s="32">
        <f>BC2+1</f>
        <v>3</v>
      </c>
      <c r="AV2" s="25" t="s">
        <v>59</v>
      </c>
      <c r="AW2" s="62" t="s">
        <v>4</v>
      </c>
      <c r="AX2" s="62" t="s">
        <v>6</v>
      </c>
      <c r="AY2" s="62" t="s">
        <v>3</v>
      </c>
      <c r="AZ2" s="62" t="s">
        <v>5</v>
      </c>
      <c r="BA2" s="62" t="s">
        <v>51</v>
      </c>
      <c r="BC2" s="32">
        <f>BN2+1</f>
        <v>2</v>
      </c>
      <c r="BH2" s="62" t="s">
        <v>4</v>
      </c>
      <c r="BI2" s="62" t="s">
        <v>6</v>
      </c>
      <c r="BJ2" s="62" t="s">
        <v>3</v>
      </c>
      <c r="BK2" s="62" t="s">
        <v>5</v>
      </c>
      <c r="BL2" s="62" t="s">
        <v>51</v>
      </c>
      <c r="BN2" s="25">
        <v>1</v>
      </c>
      <c r="BP2" s="40"/>
      <c r="BQ2" s="40"/>
      <c r="BR2" s="40"/>
      <c r="BS2" s="62" t="s">
        <v>4</v>
      </c>
      <c r="BT2" s="62" t="s">
        <v>6</v>
      </c>
      <c r="BU2" s="62" t="s">
        <v>3</v>
      </c>
      <c r="BV2" s="62" t="s">
        <v>5</v>
      </c>
      <c r="BW2" s="62" t="s">
        <v>51</v>
      </c>
    </row>
    <row r="3" spans="2:75" x14ac:dyDescent="0.25">
      <c r="B3" t="s">
        <v>40</v>
      </c>
      <c r="C3" s="62">
        <f t="shared" ref="C3:C66" si="0">IF($B3&lt;&gt;"",SUMIFS(P:P,$J:$J,$B3),"-")</f>
        <v>4</v>
      </c>
      <c r="D3" s="62">
        <f t="shared" ref="D3:D66" si="1">IF($B3&lt;&gt;"",SUMIFS(Q:Q,$J:$J,$B3),"-")</f>
        <v>3</v>
      </c>
      <c r="E3" s="62">
        <f t="shared" ref="E3:E66" si="2">IF($B3&lt;&gt;"",SUMIFS(R:R,$J:$J,$B3),"-")</f>
        <v>14</v>
      </c>
      <c r="F3" s="62">
        <f t="shared" ref="F3:F66" si="3">IF($B3&lt;&gt;"",SUMIFS(S:S,$J:$J,$B3),"-")</f>
        <v>1</v>
      </c>
      <c r="G3" s="62">
        <f t="shared" ref="G3:G66" si="4">IF($B3&lt;&gt;"",SUMIFS(T:T,$J:$J,$B3),"-")</f>
        <v>0</v>
      </c>
      <c r="H3" s="32" t="s">
        <v>203</v>
      </c>
      <c r="J3" s="17" t="s">
        <v>40</v>
      </c>
      <c r="K3" s="32" t="s">
        <v>58</v>
      </c>
      <c r="L3" s="32" t="s">
        <v>45</v>
      </c>
      <c r="O3" s="25">
        <v>1</v>
      </c>
      <c r="P3" s="62">
        <f t="shared" ref="P3:P66" si="5">IF(SUMIFS(AA:AA,$W:$W,$K3)&gt;0, SUMIFS(AA:AA,$W:$W,$K3)*$O3,"-")</f>
        <v>1</v>
      </c>
      <c r="Q3" s="62">
        <f t="shared" ref="Q3:Q66" si="6">IF(SUMIFS(AB:AB,$W:$W,$K3)&gt;0, SUMIFS(AB:AB,$W:$W,$K3)*$O3,"-")</f>
        <v>1</v>
      </c>
      <c r="R3" s="62" t="str">
        <f t="shared" ref="R3:R66" si="7">IF(SUMIFS(AC:AC,$W:$W,$K3)&gt;0, SUMIFS(AC:AC,$W:$W,$K3)*$O3,"-")</f>
        <v>-</v>
      </c>
      <c r="S3" s="62" t="str">
        <f t="shared" ref="S3:S66" si="8">IF(SUMIFS(AD:AD,$W:$W,$K3)&gt;0, SUMIFS(AD:AD,$W:$W,$K3)*$O3,"-")</f>
        <v>-</v>
      </c>
      <c r="T3" s="62" t="str">
        <f t="shared" ref="T3:T66" si="9">IF(SUMIFS(AE:AE,$W:$W,$K3)&gt;0, SUMIFS(AE:AE,$W:$W,$K3)*$O3,"-")</f>
        <v>-</v>
      </c>
      <c r="V3" s="32">
        <f t="shared" ref="V3:V66" si="10">IF(ISNA(VLOOKUP(W3,AH:AH,1,FALSE)),V$2+1,V$2)</f>
        <v>5</v>
      </c>
      <c r="W3" t="s">
        <v>198</v>
      </c>
      <c r="Z3" s="25">
        <v>1</v>
      </c>
      <c r="AA3" s="54">
        <f t="shared" ref="AA3:AA66" si="11">SUMIFS(AL:AL,AH:AH,W3)*Z3</f>
        <v>1</v>
      </c>
      <c r="AB3" s="54">
        <f t="shared" ref="AB3:AB66" si="12">SUMIFS(AM:AM,AH:AH,W3)*Z3</f>
        <v>0</v>
      </c>
      <c r="AC3" s="54">
        <f t="shared" ref="AC3:AC66" si="13">SUMIFS(AN:AN,AH:AH,W3)*Z3</f>
        <v>0</v>
      </c>
      <c r="AD3" s="54">
        <f t="shared" ref="AD3:AD66" si="14">SUMIFS(AO:AO,AH:AH,W3)*Z3</f>
        <v>0</v>
      </c>
      <c r="AE3" s="54">
        <f t="shared" ref="AE3:AE66" si="15">SUMIFS(AP:AP,AH:AH,W3)*Z3</f>
        <v>0</v>
      </c>
      <c r="AG3" s="32">
        <f t="shared" ref="AG3:AG66" si="16">IF(ISNA(VLOOKUP(AH3,AS:AS,1,FALSE)),AG$2+1,AG$2)</f>
        <v>4</v>
      </c>
      <c r="AH3" t="s">
        <v>317</v>
      </c>
      <c r="AI3" s="40" t="s">
        <v>317</v>
      </c>
      <c r="AK3" s="25">
        <v>1</v>
      </c>
      <c r="AL3" s="54">
        <f t="shared" ref="AL3:AL66" si="17">SUMIFS(AW:AW,$AS:$AS,$AI3)*$AK3</f>
        <v>0</v>
      </c>
      <c r="AM3" s="54">
        <f t="shared" ref="AM3:AM66" si="18">SUMIFS(AX:AX,$AS:$AS,$AI3)*$AK3</f>
        <v>0</v>
      </c>
      <c r="AN3" s="54">
        <f t="shared" ref="AN3:AN66" si="19">SUMIFS(AY:AY,$AS:$AS,$AI3)*$AK3</f>
        <v>0</v>
      </c>
      <c r="AO3" s="54">
        <f t="shared" ref="AO3:AO66" si="20">SUMIFS(AZ:AZ,$AS:$AS,$AI3)*$AK3</f>
        <v>0</v>
      </c>
      <c r="AP3" s="54">
        <f t="shared" ref="AP3:AP66" si="21">SUMIFS(BA:BA,$AS:$AS,$AI3)*$AK3</f>
        <v>1</v>
      </c>
      <c r="AR3" s="32">
        <f t="shared" ref="AR3:AR66" si="22">IF(ISNA(VLOOKUP(AS3,BD:BD,1,FALSE)),AR$2+1,AR$2)</f>
        <v>3</v>
      </c>
      <c r="AS3" t="s">
        <v>317</v>
      </c>
      <c r="AT3" s="40" t="s">
        <v>317</v>
      </c>
      <c r="AV3" s="25">
        <v>1</v>
      </c>
      <c r="AW3" s="54">
        <f t="shared" ref="AW3:AW66" si="23">SUMIFS(BH:BH,BD:BD,AT3)*AV3</f>
        <v>0</v>
      </c>
      <c r="AX3" s="54">
        <f t="shared" ref="AX3:AX66" si="24">SUMIFS(BI:BI,BD:BD,AT3)*AV3</f>
        <v>0</v>
      </c>
      <c r="AY3" s="54">
        <f t="shared" ref="AY3:AY66" si="25">SUMIFS(BJ:BJ,BD:BD,AT3)*AV3</f>
        <v>0</v>
      </c>
      <c r="AZ3" s="54">
        <f t="shared" ref="AZ3:AZ66" si="26">SUMIFS(BK:BK,BD:BD,AT3)*AV3</f>
        <v>0</v>
      </c>
      <c r="BA3" s="54">
        <f t="shared" ref="BA3:BA66" si="27">SUMIFS(BL:BL,BD:BD,AT3)*AV3</f>
        <v>1</v>
      </c>
      <c r="BC3" s="32">
        <f t="shared" ref="BC3:BC66" si="28">IF(ISNA(VLOOKUP(BD3,BO:BO,1,FALSE)),BC$2+1,BC$2)</f>
        <v>2</v>
      </c>
      <c r="BD3" t="s">
        <v>317</v>
      </c>
      <c r="BE3" s="40" t="s">
        <v>317</v>
      </c>
      <c r="BG3" s="25">
        <v>1</v>
      </c>
      <c r="BH3" s="54">
        <f t="shared" ref="BH3:BH66" si="29">SUMIFS(BS:BS,BO:BO,BE3)*BG3</f>
        <v>0</v>
      </c>
      <c r="BI3" s="54">
        <f t="shared" ref="BI3:BI66" si="30">SUMIFS(BT:BT,BO:BO,BE3)*BG3</f>
        <v>0</v>
      </c>
      <c r="BJ3" s="54">
        <f t="shared" ref="BJ3:BJ66" si="31">SUMIFS(BU:BU,BO:BO,BE3)*BG3</f>
        <v>0</v>
      </c>
      <c r="BK3" s="54">
        <f t="shared" ref="BK3:BK66" si="32">SUMIFS(BV:BV,BO:BO,BE3)*BG3</f>
        <v>0</v>
      </c>
      <c r="BL3" s="54">
        <f t="shared" ref="BL3:BL66" si="33">SUMIFS(BW:BW,BO:BO,BE3)*BG3</f>
        <v>1</v>
      </c>
      <c r="BN3" s="25">
        <f>BN$2</f>
        <v>1</v>
      </c>
      <c r="BO3" t="s">
        <v>317</v>
      </c>
      <c r="BP3" s="40"/>
      <c r="BQ3" s="40"/>
      <c r="BR3" s="40"/>
      <c r="BS3" s="54"/>
      <c r="BT3" s="54"/>
      <c r="BU3" s="54"/>
      <c r="BV3" s="54"/>
      <c r="BW3" s="54">
        <v>1</v>
      </c>
    </row>
    <row r="4" spans="2:75" x14ac:dyDescent="0.25">
      <c r="B4" t="s">
        <v>109</v>
      </c>
      <c r="C4" s="62">
        <f t="shared" si="0"/>
        <v>2</v>
      </c>
      <c r="D4" s="62">
        <f t="shared" si="1"/>
        <v>1</v>
      </c>
      <c r="E4" s="62">
        <f t="shared" si="2"/>
        <v>0</v>
      </c>
      <c r="F4" s="62">
        <f t="shared" si="3"/>
        <v>0</v>
      </c>
      <c r="G4" s="62">
        <f t="shared" si="4"/>
        <v>0</v>
      </c>
      <c r="H4" s="32" t="s">
        <v>203</v>
      </c>
      <c r="J4" s="17" t="s">
        <v>40</v>
      </c>
      <c r="K4" s="32" t="s">
        <v>58</v>
      </c>
      <c r="L4" s="32" t="s">
        <v>67</v>
      </c>
      <c r="O4" s="25">
        <v>2</v>
      </c>
      <c r="P4" s="62">
        <f t="shared" si="5"/>
        <v>2</v>
      </c>
      <c r="Q4" s="62">
        <f t="shared" si="6"/>
        <v>2</v>
      </c>
      <c r="R4" s="62" t="str">
        <f t="shared" si="7"/>
        <v>-</v>
      </c>
      <c r="S4" s="62" t="str">
        <f t="shared" si="8"/>
        <v>-</v>
      </c>
      <c r="T4" s="62" t="str">
        <f t="shared" si="9"/>
        <v>-</v>
      </c>
      <c r="V4" s="32">
        <f t="shared" si="10"/>
        <v>5</v>
      </c>
      <c r="W4" t="s">
        <v>197</v>
      </c>
      <c r="Z4" s="25">
        <v>1</v>
      </c>
      <c r="AA4" s="54">
        <f t="shared" si="11"/>
        <v>0</v>
      </c>
      <c r="AB4" s="54">
        <f t="shared" si="12"/>
        <v>1</v>
      </c>
      <c r="AC4" s="54">
        <f t="shared" si="13"/>
        <v>0</v>
      </c>
      <c r="AD4" s="54">
        <f t="shared" si="14"/>
        <v>0</v>
      </c>
      <c r="AE4" s="54">
        <f t="shared" si="15"/>
        <v>0</v>
      </c>
      <c r="AG4" s="32">
        <f t="shared" si="16"/>
        <v>4</v>
      </c>
      <c r="AH4" t="s">
        <v>198</v>
      </c>
      <c r="AI4" s="40" t="s">
        <v>198</v>
      </c>
      <c r="AK4" s="25">
        <v>1</v>
      </c>
      <c r="AL4" s="54">
        <f t="shared" si="17"/>
        <v>1</v>
      </c>
      <c r="AM4" s="54">
        <f t="shared" si="18"/>
        <v>0</v>
      </c>
      <c r="AN4" s="54">
        <f t="shared" si="19"/>
        <v>0</v>
      </c>
      <c r="AO4" s="54">
        <f t="shared" si="20"/>
        <v>0</v>
      </c>
      <c r="AP4" s="54">
        <f t="shared" si="21"/>
        <v>0</v>
      </c>
      <c r="AR4" s="32">
        <f t="shared" si="22"/>
        <v>3</v>
      </c>
      <c r="AS4" t="s">
        <v>198</v>
      </c>
      <c r="AT4" s="40" t="s">
        <v>198</v>
      </c>
      <c r="AV4" s="25">
        <v>1</v>
      </c>
      <c r="AW4" s="54">
        <f t="shared" si="23"/>
        <v>1</v>
      </c>
      <c r="AX4" s="54">
        <f t="shared" si="24"/>
        <v>0</v>
      </c>
      <c r="AY4" s="54">
        <f t="shared" si="25"/>
        <v>0</v>
      </c>
      <c r="AZ4" s="54">
        <f t="shared" si="26"/>
        <v>0</v>
      </c>
      <c r="BA4" s="54">
        <f t="shared" si="27"/>
        <v>0</v>
      </c>
      <c r="BC4" s="32">
        <f t="shared" si="28"/>
        <v>2</v>
      </c>
      <c r="BD4" t="s">
        <v>198</v>
      </c>
      <c r="BE4" s="40" t="s">
        <v>198</v>
      </c>
      <c r="BG4" s="25">
        <v>1</v>
      </c>
      <c r="BH4" s="54">
        <f t="shared" si="29"/>
        <v>1</v>
      </c>
      <c r="BI4" s="54">
        <f t="shared" si="30"/>
        <v>0</v>
      </c>
      <c r="BJ4" s="54">
        <f t="shared" si="31"/>
        <v>0</v>
      </c>
      <c r="BK4" s="54">
        <f t="shared" si="32"/>
        <v>0</v>
      </c>
      <c r="BL4" s="54">
        <f t="shared" si="33"/>
        <v>0</v>
      </c>
      <c r="BN4" s="25">
        <f t="shared" ref="BN4:BN67" si="34">BN$2</f>
        <v>1</v>
      </c>
      <c r="BO4" t="s">
        <v>198</v>
      </c>
      <c r="BP4" s="40"/>
      <c r="BQ4" s="40"/>
      <c r="BR4" s="40"/>
      <c r="BS4" s="54">
        <v>1</v>
      </c>
      <c r="BT4" s="54"/>
      <c r="BU4" s="54"/>
      <c r="BV4" s="54"/>
      <c r="BW4" s="54"/>
    </row>
    <row r="5" spans="2:75" x14ac:dyDescent="0.25">
      <c r="B5" s="17" t="s">
        <v>214</v>
      </c>
      <c r="C5" s="62">
        <f t="shared" si="0"/>
        <v>3</v>
      </c>
      <c r="D5" s="62">
        <f t="shared" si="1"/>
        <v>0</v>
      </c>
      <c r="E5" s="62">
        <f t="shared" si="2"/>
        <v>18</v>
      </c>
      <c r="F5" s="62">
        <f t="shared" si="3"/>
        <v>12</v>
      </c>
      <c r="G5" s="62">
        <f t="shared" si="4"/>
        <v>3</v>
      </c>
      <c r="H5" s="32" t="s">
        <v>203</v>
      </c>
      <c r="J5" s="17" t="s">
        <v>40</v>
      </c>
      <c r="K5" s="32" t="s">
        <v>62</v>
      </c>
      <c r="L5" s="32" t="s">
        <v>67</v>
      </c>
      <c r="O5" s="25">
        <v>2</v>
      </c>
      <c r="P5" s="62" t="str">
        <f t="shared" si="5"/>
        <v>-</v>
      </c>
      <c r="Q5" s="62" t="str">
        <f t="shared" si="6"/>
        <v>-</v>
      </c>
      <c r="R5" s="62">
        <f t="shared" si="7"/>
        <v>4</v>
      </c>
      <c r="S5" s="62" t="str">
        <f t="shared" si="8"/>
        <v>-</v>
      </c>
      <c r="T5" s="62" t="str">
        <f t="shared" si="9"/>
        <v>-</v>
      </c>
      <c r="V5" s="32">
        <f t="shared" si="10"/>
        <v>5</v>
      </c>
      <c r="W5" t="s">
        <v>199</v>
      </c>
      <c r="Z5" s="25">
        <v>1</v>
      </c>
      <c r="AA5" s="54">
        <f t="shared" si="11"/>
        <v>0</v>
      </c>
      <c r="AB5" s="54">
        <f t="shared" si="12"/>
        <v>0</v>
      </c>
      <c r="AC5" s="54">
        <f t="shared" si="13"/>
        <v>1</v>
      </c>
      <c r="AD5" s="54">
        <f t="shared" si="14"/>
        <v>0</v>
      </c>
      <c r="AE5" s="54">
        <f t="shared" si="15"/>
        <v>0</v>
      </c>
      <c r="AG5" s="32">
        <f t="shared" si="16"/>
        <v>4</v>
      </c>
      <c r="AH5" t="s">
        <v>197</v>
      </c>
      <c r="AI5" s="40" t="s">
        <v>197</v>
      </c>
      <c r="AK5" s="25">
        <v>1</v>
      </c>
      <c r="AL5" s="54">
        <f t="shared" si="17"/>
        <v>0</v>
      </c>
      <c r="AM5" s="54">
        <f t="shared" si="18"/>
        <v>1</v>
      </c>
      <c r="AN5" s="54">
        <f t="shared" si="19"/>
        <v>0</v>
      </c>
      <c r="AO5" s="54">
        <f t="shared" si="20"/>
        <v>0</v>
      </c>
      <c r="AP5" s="54">
        <f t="shared" si="21"/>
        <v>0</v>
      </c>
      <c r="AR5" s="32">
        <f t="shared" si="22"/>
        <v>3</v>
      </c>
      <c r="AS5" t="s">
        <v>197</v>
      </c>
      <c r="AT5" s="40" t="s">
        <v>197</v>
      </c>
      <c r="AV5" s="25">
        <v>1</v>
      </c>
      <c r="AW5" s="54">
        <f t="shared" si="23"/>
        <v>0</v>
      </c>
      <c r="AX5" s="54">
        <f t="shared" si="24"/>
        <v>1</v>
      </c>
      <c r="AY5" s="54">
        <f t="shared" si="25"/>
        <v>0</v>
      </c>
      <c r="AZ5" s="54">
        <f t="shared" si="26"/>
        <v>0</v>
      </c>
      <c r="BA5" s="54">
        <f t="shared" si="27"/>
        <v>0</v>
      </c>
      <c r="BC5" s="32">
        <f t="shared" si="28"/>
        <v>2</v>
      </c>
      <c r="BD5" t="s">
        <v>197</v>
      </c>
      <c r="BE5" s="40" t="s">
        <v>197</v>
      </c>
      <c r="BG5" s="25">
        <v>1</v>
      </c>
      <c r="BH5" s="54">
        <f t="shared" si="29"/>
        <v>0</v>
      </c>
      <c r="BI5" s="54">
        <f t="shared" si="30"/>
        <v>1</v>
      </c>
      <c r="BJ5" s="54">
        <f t="shared" si="31"/>
        <v>0</v>
      </c>
      <c r="BK5" s="54">
        <f t="shared" si="32"/>
        <v>0</v>
      </c>
      <c r="BL5" s="54">
        <f t="shared" si="33"/>
        <v>0</v>
      </c>
      <c r="BN5" s="25">
        <f t="shared" si="34"/>
        <v>1</v>
      </c>
      <c r="BO5" t="s">
        <v>197</v>
      </c>
      <c r="BP5" s="40"/>
      <c r="BQ5" s="40"/>
      <c r="BR5" s="40"/>
      <c r="BS5" s="54"/>
      <c r="BT5" s="54">
        <v>1</v>
      </c>
      <c r="BU5" s="54"/>
      <c r="BV5" s="54"/>
      <c r="BW5" s="54"/>
    </row>
    <row r="6" spans="2:75" x14ac:dyDescent="0.25">
      <c r="B6" t="s">
        <v>216</v>
      </c>
      <c r="C6" s="62">
        <f t="shared" si="0"/>
        <v>41</v>
      </c>
      <c r="D6" s="62">
        <f t="shared" si="1"/>
        <v>0</v>
      </c>
      <c r="E6" s="62">
        <f t="shared" si="2"/>
        <v>38</v>
      </c>
      <c r="F6" s="62">
        <f t="shared" si="3"/>
        <v>21</v>
      </c>
      <c r="G6" s="62">
        <f t="shared" si="4"/>
        <v>0</v>
      </c>
      <c r="H6" s="32" t="s">
        <v>204</v>
      </c>
      <c r="J6" s="17" t="s">
        <v>40</v>
      </c>
      <c r="K6" s="32" t="s">
        <v>62</v>
      </c>
      <c r="L6" s="32" t="s">
        <v>97</v>
      </c>
      <c r="M6" s="32" t="s">
        <v>98</v>
      </c>
      <c r="N6" s="32"/>
      <c r="O6" s="25">
        <v>2</v>
      </c>
      <c r="P6" s="62" t="str">
        <f t="shared" si="5"/>
        <v>-</v>
      </c>
      <c r="Q6" s="62" t="str">
        <f t="shared" si="6"/>
        <v>-</v>
      </c>
      <c r="R6" s="62">
        <f t="shared" si="7"/>
        <v>4</v>
      </c>
      <c r="S6" s="62" t="str">
        <f t="shared" si="8"/>
        <v>-</v>
      </c>
      <c r="T6" s="62" t="str">
        <f t="shared" si="9"/>
        <v>-</v>
      </c>
      <c r="V6" s="32">
        <f t="shared" si="10"/>
        <v>5</v>
      </c>
      <c r="W6" t="s">
        <v>200</v>
      </c>
      <c r="Z6" s="25">
        <v>1</v>
      </c>
      <c r="AA6" s="54">
        <f t="shared" si="11"/>
        <v>0</v>
      </c>
      <c r="AB6" s="54">
        <f t="shared" si="12"/>
        <v>0</v>
      </c>
      <c r="AC6" s="54">
        <f t="shared" si="13"/>
        <v>0</v>
      </c>
      <c r="AD6" s="54">
        <f t="shared" si="14"/>
        <v>1</v>
      </c>
      <c r="AE6" s="54">
        <f t="shared" si="15"/>
        <v>0</v>
      </c>
      <c r="AG6" s="32">
        <f t="shared" si="16"/>
        <v>4</v>
      </c>
      <c r="AH6" t="s">
        <v>199</v>
      </c>
      <c r="AI6" s="40" t="s">
        <v>199</v>
      </c>
      <c r="AK6" s="25">
        <v>1</v>
      </c>
      <c r="AL6" s="54">
        <f t="shared" si="17"/>
        <v>0</v>
      </c>
      <c r="AM6" s="54">
        <f t="shared" si="18"/>
        <v>0</v>
      </c>
      <c r="AN6" s="54">
        <f t="shared" si="19"/>
        <v>1</v>
      </c>
      <c r="AO6" s="54">
        <f t="shared" si="20"/>
        <v>0</v>
      </c>
      <c r="AP6" s="54">
        <f t="shared" si="21"/>
        <v>0</v>
      </c>
      <c r="AR6" s="32">
        <f t="shared" si="22"/>
        <v>3</v>
      </c>
      <c r="AS6" t="s">
        <v>199</v>
      </c>
      <c r="AT6" s="40" t="s">
        <v>199</v>
      </c>
      <c r="AV6" s="25">
        <v>1</v>
      </c>
      <c r="AW6" s="54">
        <f t="shared" si="23"/>
        <v>0</v>
      </c>
      <c r="AX6" s="54">
        <f t="shared" si="24"/>
        <v>0</v>
      </c>
      <c r="AY6" s="54">
        <f t="shared" si="25"/>
        <v>1</v>
      </c>
      <c r="AZ6" s="54">
        <f t="shared" si="26"/>
        <v>0</v>
      </c>
      <c r="BA6" s="54">
        <f t="shared" si="27"/>
        <v>0</v>
      </c>
      <c r="BC6" s="32">
        <f t="shared" si="28"/>
        <v>2</v>
      </c>
      <c r="BD6" t="s">
        <v>199</v>
      </c>
      <c r="BE6" s="40" t="s">
        <v>199</v>
      </c>
      <c r="BG6" s="25">
        <v>1</v>
      </c>
      <c r="BH6" s="54">
        <f t="shared" si="29"/>
        <v>0</v>
      </c>
      <c r="BI6" s="54">
        <f t="shared" si="30"/>
        <v>0</v>
      </c>
      <c r="BJ6" s="54">
        <f t="shared" si="31"/>
        <v>1</v>
      </c>
      <c r="BK6" s="54">
        <f t="shared" si="32"/>
        <v>0</v>
      </c>
      <c r="BL6" s="54">
        <f t="shared" si="33"/>
        <v>0</v>
      </c>
      <c r="BN6" s="25">
        <f t="shared" si="34"/>
        <v>1</v>
      </c>
      <c r="BO6" t="s">
        <v>199</v>
      </c>
      <c r="BP6" s="40"/>
      <c r="BQ6" s="40"/>
      <c r="BR6" s="40"/>
      <c r="BS6" s="54"/>
      <c r="BT6" s="54"/>
      <c r="BU6" s="54">
        <v>1</v>
      </c>
      <c r="BV6" s="54"/>
      <c r="BW6" s="54"/>
    </row>
    <row r="7" spans="2:75" x14ac:dyDescent="0.25">
      <c r="B7" t="s">
        <v>217</v>
      </c>
      <c r="C7" s="62">
        <f t="shared" si="0"/>
        <v>41</v>
      </c>
      <c r="D7" s="62">
        <f t="shared" si="1"/>
        <v>0</v>
      </c>
      <c r="E7" s="62">
        <f t="shared" si="2"/>
        <v>38</v>
      </c>
      <c r="F7" s="62">
        <f t="shared" si="3"/>
        <v>21</v>
      </c>
      <c r="G7" s="62">
        <f t="shared" si="4"/>
        <v>0</v>
      </c>
      <c r="H7" s="32" t="s">
        <v>204</v>
      </c>
      <c r="J7" s="17" t="s">
        <v>40</v>
      </c>
      <c r="K7" s="32" t="s">
        <v>62</v>
      </c>
      <c r="L7" s="32" t="s">
        <v>92</v>
      </c>
      <c r="O7" s="25">
        <v>2</v>
      </c>
      <c r="P7" s="62" t="str">
        <f t="shared" si="5"/>
        <v>-</v>
      </c>
      <c r="Q7" s="62" t="str">
        <f t="shared" si="6"/>
        <v>-</v>
      </c>
      <c r="R7" s="62">
        <f t="shared" si="7"/>
        <v>4</v>
      </c>
      <c r="S7" s="62" t="str">
        <f t="shared" si="8"/>
        <v>-</v>
      </c>
      <c r="T7" s="62" t="str">
        <f t="shared" si="9"/>
        <v>-</v>
      </c>
      <c r="V7" s="32">
        <f t="shared" si="10"/>
        <v>5</v>
      </c>
      <c r="W7" t="s">
        <v>55</v>
      </c>
      <c r="Z7" s="25">
        <v>1</v>
      </c>
      <c r="AA7" s="54">
        <f t="shared" si="11"/>
        <v>0</v>
      </c>
      <c r="AB7" s="54">
        <f t="shared" si="12"/>
        <v>0</v>
      </c>
      <c r="AC7" s="54">
        <f t="shared" si="13"/>
        <v>2</v>
      </c>
      <c r="AD7" s="54">
        <f t="shared" si="14"/>
        <v>2</v>
      </c>
      <c r="AE7" s="54">
        <f t="shared" si="15"/>
        <v>0</v>
      </c>
      <c r="AG7" s="32">
        <f t="shared" si="16"/>
        <v>4</v>
      </c>
      <c r="AH7" t="s">
        <v>200</v>
      </c>
      <c r="AI7" s="40" t="s">
        <v>200</v>
      </c>
      <c r="AK7" s="25">
        <v>1</v>
      </c>
      <c r="AL7" s="54">
        <f t="shared" si="17"/>
        <v>0</v>
      </c>
      <c r="AM7" s="54">
        <f t="shared" si="18"/>
        <v>0</v>
      </c>
      <c r="AN7" s="54">
        <f t="shared" si="19"/>
        <v>0</v>
      </c>
      <c r="AO7" s="54">
        <f t="shared" si="20"/>
        <v>1</v>
      </c>
      <c r="AP7" s="54">
        <f t="shared" si="21"/>
        <v>0</v>
      </c>
      <c r="AR7" s="32">
        <f t="shared" si="22"/>
        <v>3</v>
      </c>
      <c r="AS7" t="s">
        <v>200</v>
      </c>
      <c r="AT7" s="40" t="s">
        <v>200</v>
      </c>
      <c r="AV7" s="25">
        <v>1</v>
      </c>
      <c r="AW7" s="54">
        <f t="shared" si="23"/>
        <v>0</v>
      </c>
      <c r="AX7" s="54">
        <f t="shared" si="24"/>
        <v>0</v>
      </c>
      <c r="AY7" s="54">
        <f t="shared" si="25"/>
        <v>0</v>
      </c>
      <c r="AZ7" s="54">
        <f t="shared" si="26"/>
        <v>1</v>
      </c>
      <c r="BA7" s="54">
        <f t="shared" si="27"/>
        <v>0</v>
      </c>
      <c r="BC7" s="32">
        <f t="shared" si="28"/>
        <v>2</v>
      </c>
      <c r="BD7" t="s">
        <v>200</v>
      </c>
      <c r="BE7" s="40" t="s">
        <v>200</v>
      </c>
      <c r="BG7" s="25">
        <v>1</v>
      </c>
      <c r="BH7" s="54">
        <f t="shared" si="29"/>
        <v>0</v>
      </c>
      <c r="BI7" s="54">
        <f t="shared" si="30"/>
        <v>0</v>
      </c>
      <c r="BJ7" s="54">
        <f t="shared" si="31"/>
        <v>0</v>
      </c>
      <c r="BK7" s="54">
        <f t="shared" si="32"/>
        <v>1</v>
      </c>
      <c r="BL7" s="54">
        <f t="shared" si="33"/>
        <v>0</v>
      </c>
      <c r="BN7" s="25">
        <f t="shared" si="34"/>
        <v>1</v>
      </c>
      <c r="BO7" t="s">
        <v>200</v>
      </c>
      <c r="BP7" s="40"/>
      <c r="BQ7" s="40"/>
      <c r="BR7" s="40"/>
      <c r="BS7" s="54"/>
      <c r="BT7" s="54"/>
      <c r="BU7" s="54"/>
      <c r="BV7" s="54">
        <v>1</v>
      </c>
      <c r="BW7" s="54"/>
    </row>
    <row r="8" spans="2:75" x14ac:dyDescent="0.25">
      <c r="B8" t="s">
        <v>215</v>
      </c>
      <c r="C8" s="62">
        <f t="shared" si="0"/>
        <v>41</v>
      </c>
      <c r="D8" s="62">
        <f t="shared" si="1"/>
        <v>3</v>
      </c>
      <c r="E8" s="62">
        <f t="shared" si="2"/>
        <v>38</v>
      </c>
      <c r="F8" s="62">
        <f t="shared" si="3"/>
        <v>21</v>
      </c>
      <c r="G8" s="62">
        <f t="shared" si="4"/>
        <v>0</v>
      </c>
      <c r="H8" s="32" t="s">
        <v>204</v>
      </c>
      <c r="J8" s="17" t="s">
        <v>40</v>
      </c>
      <c r="K8" s="32" t="s">
        <v>65</v>
      </c>
      <c r="L8" s="32" t="s">
        <v>67</v>
      </c>
      <c r="O8" s="25">
        <v>1</v>
      </c>
      <c r="P8" s="62">
        <f t="shared" si="5"/>
        <v>1</v>
      </c>
      <c r="Q8" s="62" t="str">
        <f t="shared" si="6"/>
        <v>-</v>
      </c>
      <c r="R8" s="62" t="str">
        <f t="shared" si="7"/>
        <v>-</v>
      </c>
      <c r="S8" s="62" t="str">
        <f t="shared" si="8"/>
        <v>-</v>
      </c>
      <c r="T8" s="62" t="str">
        <f t="shared" si="9"/>
        <v>-</v>
      </c>
      <c r="V8" s="32">
        <f t="shared" si="10"/>
        <v>5</v>
      </c>
      <c r="W8" t="s">
        <v>89</v>
      </c>
      <c r="Z8" s="25">
        <v>1</v>
      </c>
      <c r="AA8" s="54">
        <f t="shared" si="11"/>
        <v>0</v>
      </c>
      <c r="AB8" s="54">
        <f t="shared" si="12"/>
        <v>0</v>
      </c>
      <c r="AC8" s="54">
        <f t="shared" si="13"/>
        <v>0</v>
      </c>
      <c r="AD8" s="54">
        <f t="shared" si="14"/>
        <v>1</v>
      </c>
      <c r="AE8" s="54">
        <f t="shared" si="15"/>
        <v>0</v>
      </c>
      <c r="AG8" s="32">
        <f t="shared" si="16"/>
        <v>4</v>
      </c>
      <c r="AH8" t="s">
        <v>55</v>
      </c>
      <c r="AI8" s="40" t="s">
        <v>55</v>
      </c>
      <c r="AK8" s="25">
        <v>1</v>
      </c>
      <c r="AL8" s="54">
        <f t="shared" si="17"/>
        <v>0</v>
      </c>
      <c r="AM8" s="54">
        <f t="shared" si="18"/>
        <v>0</v>
      </c>
      <c r="AN8" s="54">
        <f t="shared" si="19"/>
        <v>2</v>
      </c>
      <c r="AO8" s="54">
        <f t="shared" si="20"/>
        <v>2</v>
      </c>
      <c r="AP8" s="54">
        <f t="shared" si="21"/>
        <v>0</v>
      </c>
      <c r="AR8" s="32">
        <f t="shared" si="22"/>
        <v>4</v>
      </c>
      <c r="AS8" t="s">
        <v>55</v>
      </c>
      <c r="AT8" s="40" t="s">
        <v>232</v>
      </c>
      <c r="AU8" s="40" t="s">
        <v>227</v>
      </c>
      <c r="AV8" s="25">
        <v>1</v>
      </c>
      <c r="AW8" s="54">
        <f t="shared" si="23"/>
        <v>0</v>
      </c>
      <c r="AX8" s="54">
        <f t="shared" si="24"/>
        <v>0</v>
      </c>
      <c r="AY8" s="54">
        <f t="shared" si="25"/>
        <v>0</v>
      </c>
      <c r="AZ8" s="54">
        <f t="shared" si="26"/>
        <v>2</v>
      </c>
      <c r="BA8" s="54">
        <f t="shared" si="27"/>
        <v>0</v>
      </c>
      <c r="BC8" s="32">
        <f t="shared" si="28"/>
        <v>3</v>
      </c>
      <c r="BD8" t="s">
        <v>232</v>
      </c>
      <c r="BE8" s="40" t="s">
        <v>200</v>
      </c>
      <c r="BF8" s="40" t="s">
        <v>319</v>
      </c>
      <c r="BG8" s="25">
        <v>1</v>
      </c>
      <c r="BH8" s="54">
        <f t="shared" si="29"/>
        <v>0</v>
      </c>
      <c r="BI8" s="54">
        <f t="shared" si="30"/>
        <v>0</v>
      </c>
      <c r="BJ8" s="54">
        <f t="shared" si="31"/>
        <v>0</v>
      </c>
      <c r="BK8" s="54">
        <f t="shared" si="32"/>
        <v>1</v>
      </c>
      <c r="BL8" s="54">
        <f t="shared" si="33"/>
        <v>0</v>
      </c>
      <c r="BN8" s="25">
        <f t="shared" si="34"/>
        <v>1</v>
      </c>
      <c r="BS8" s="39"/>
      <c r="BT8" s="39"/>
      <c r="BU8" s="39"/>
      <c r="BV8" s="39"/>
      <c r="BW8" s="39"/>
    </row>
    <row r="9" spans="2:75" x14ac:dyDescent="0.25">
      <c r="B9" s="17" t="s">
        <v>25</v>
      </c>
      <c r="C9" s="62">
        <f t="shared" si="0"/>
        <v>1</v>
      </c>
      <c r="D9" s="62">
        <f t="shared" si="1"/>
        <v>0</v>
      </c>
      <c r="E9" s="62">
        <f t="shared" si="2"/>
        <v>2</v>
      </c>
      <c r="F9" s="62">
        <f t="shared" si="3"/>
        <v>0</v>
      </c>
      <c r="G9" s="62">
        <f t="shared" si="4"/>
        <v>0</v>
      </c>
      <c r="H9" s="32" t="s">
        <v>204</v>
      </c>
      <c r="J9" s="17" t="s">
        <v>40</v>
      </c>
      <c r="K9" s="32" t="s">
        <v>83</v>
      </c>
      <c r="O9" s="25">
        <v>1</v>
      </c>
      <c r="P9" s="62" t="str">
        <f t="shared" si="5"/>
        <v>-</v>
      </c>
      <c r="Q9" s="62" t="str">
        <f t="shared" si="6"/>
        <v>-</v>
      </c>
      <c r="R9" s="62">
        <f t="shared" si="7"/>
        <v>2</v>
      </c>
      <c r="S9" s="62">
        <f t="shared" si="8"/>
        <v>1</v>
      </c>
      <c r="T9" s="62" t="str">
        <f t="shared" si="9"/>
        <v>-</v>
      </c>
      <c r="V9" s="32">
        <f t="shared" si="10"/>
        <v>5</v>
      </c>
      <c r="W9" t="s">
        <v>229</v>
      </c>
      <c r="Z9" s="25">
        <v>1</v>
      </c>
      <c r="AA9" s="54">
        <f t="shared" si="11"/>
        <v>0</v>
      </c>
      <c r="AB9" s="54">
        <f t="shared" si="12"/>
        <v>0</v>
      </c>
      <c r="AC9" s="54">
        <f t="shared" si="13"/>
        <v>4</v>
      </c>
      <c r="AD9" s="54">
        <f t="shared" si="14"/>
        <v>2</v>
      </c>
      <c r="AE9" s="54">
        <f t="shared" si="15"/>
        <v>0</v>
      </c>
      <c r="AG9" s="32">
        <f t="shared" si="16"/>
        <v>4</v>
      </c>
      <c r="AH9" t="s">
        <v>89</v>
      </c>
      <c r="AI9" s="40" t="s">
        <v>89</v>
      </c>
      <c r="AK9" s="25">
        <v>1</v>
      </c>
      <c r="AL9" s="54">
        <f t="shared" si="17"/>
        <v>0</v>
      </c>
      <c r="AM9" s="54">
        <f t="shared" si="18"/>
        <v>0</v>
      </c>
      <c r="AN9" s="54">
        <f t="shared" si="19"/>
        <v>0</v>
      </c>
      <c r="AO9" s="54">
        <f t="shared" si="20"/>
        <v>1</v>
      </c>
      <c r="AP9" s="54">
        <f t="shared" si="21"/>
        <v>0</v>
      </c>
      <c r="AR9" s="32">
        <f t="shared" si="22"/>
        <v>4</v>
      </c>
      <c r="AS9" t="s">
        <v>55</v>
      </c>
      <c r="AT9" s="40" t="s">
        <v>233</v>
      </c>
      <c r="AU9" s="40" t="s">
        <v>228</v>
      </c>
      <c r="AV9" s="25">
        <v>1</v>
      </c>
      <c r="AW9" s="54">
        <f t="shared" si="23"/>
        <v>0</v>
      </c>
      <c r="AX9" s="54">
        <f t="shared" si="24"/>
        <v>0</v>
      </c>
      <c r="AY9" s="54">
        <f t="shared" si="25"/>
        <v>2</v>
      </c>
      <c r="AZ9" s="54">
        <f t="shared" si="26"/>
        <v>0</v>
      </c>
      <c r="BA9" s="54">
        <f t="shared" si="27"/>
        <v>0</v>
      </c>
      <c r="BC9" s="32">
        <f t="shared" si="28"/>
        <v>3</v>
      </c>
      <c r="BD9" t="s">
        <v>232</v>
      </c>
      <c r="BE9" s="40" t="s">
        <v>200</v>
      </c>
      <c r="BF9" s="40" t="s">
        <v>318</v>
      </c>
      <c r="BG9" s="25">
        <v>1</v>
      </c>
      <c r="BH9" s="54">
        <f t="shared" si="29"/>
        <v>0</v>
      </c>
      <c r="BI9" s="54">
        <f t="shared" si="30"/>
        <v>0</v>
      </c>
      <c r="BJ9" s="54">
        <f t="shared" si="31"/>
        <v>0</v>
      </c>
      <c r="BK9" s="54">
        <f t="shared" si="32"/>
        <v>1</v>
      </c>
      <c r="BL9" s="54">
        <f t="shared" si="33"/>
        <v>0</v>
      </c>
      <c r="BN9" s="25">
        <f t="shared" si="34"/>
        <v>1</v>
      </c>
      <c r="BS9" s="39"/>
      <c r="BT9" s="39"/>
      <c r="BU9" s="39"/>
      <c r="BV9" s="39"/>
      <c r="BW9" s="39"/>
    </row>
    <row r="10" spans="2:75" x14ac:dyDescent="0.25">
      <c r="B10" s="17" t="s">
        <v>105</v>
      </c>
      <c r="C10" s="62">
        <f t="shared" si="0"/>
        <v>1</v>
      </c>
      <c r="D10" s="62">
        <f t="shared" si="1"/>
        <v>0</v>
      </c>
      <c r="E10" s="62">
        <f t="shared" si="2"/>
        <v>0</v>
      </c>
      <c r="F10" s="62">
        <f t="shared" si="3"/>
        <v>0</v>
      </c>
      <c r="G10" s="62">
        <f t="shared" si="4"/>
        <v>0</v>
      </c>
      <c r="H10" s="32" t="s">
        <v>204</v>
      </c>
      <c r="J10" s="17" t="s">
        <v>109</v>
      </c>
      <c r="K10" s="32" t="s">
        <v>58</v>
      </c>
      <c r="O10" s="25">
        <v>1</v>
      </c>
      <c r="P10" s="62">
        <f t="shared" si="5"/>
        <v>1</v>
      </c>
      <c r="Q10" s="62">
        <f t="shared" si="6"/>
        <v>1</v>
      </c>
      <c r="R10" s="62" t="str">
        <f t="shared" si="7"/>
        <v>-</v>
      </c>
      <c r="S10" s="62" t="str">
        <f t="shared" si="8"/>
        <v>-</v>
      </c>
      <c r="T10" s="62" t="str">
        <f t="shared" si="9"/>
        <v>-</v>
      </c>
      <c r="V10" s="32">
        <f t="shared" si="10"/>
        <v>5</v>
      </c>
      <c r="W10" t="s">
        <v>58</v>
      </c>
      <c r="Z10" s="25">
        <v>1</v>
      </c>
      <c r="AA10" s="54">
        <f t="shared" si="11"/>
        <v>1</v>
      </c>
      <c r="AB10" s="54">
        <f t="shared" si="12"/>
        <v>1</v>
      </c>
      <c r="AC10" s="54">
        <f t="shared" si="13"/>
        <v>0</v>
      </c>
      <c r="AD10" s="54">
        <f t="shared" si="14"/>
        <v>0</v>
      </c>
      <c r="AE10" s="54">
        <f t="shared" si="15"/>
        <v>0</v>
      </c>
      <c r="AG10" s="32">
        <f t="shared" si="16"/>
        <v>4</v>
      </c>
      <c r="AH10" t="s">
        <v>320</v>
      </c>
      <c r="AI10" s="40" t="s">
        <v>320</v>
      </c>
      <c r="AJ10" s="40" t="s">
        <v>225</v>
      </c>
      <c r="AK10" s="25">
        <v>1</v>
      </c>
      <c r="AL10" s="54">
        <f t="shared" si="17"/>
        <v>1</v>
      </c>
      <c r="AM10" s="54">
        <f t="shared" si="18"/>
        <v>1</v>
      </c>
      <c r="AN10" s="54">
        <f t="shared" si="19"/>
        <v>0</v>
      </c>
      <c r="AO10" s="54">
        <f t="shared" si="20"/>
        <v>0</v>
      </c>
      <c r="AP10" s="54">
        <f t="shared" si="21"/>
        <v>0</v>
      </c>
      <c r="AR10" s="32">
        <f t="shared" si="22"/>
        <v>4</v>
      </c>
      <c r="AS10" t="s">
        <v>89</v>
      </c>
      <c r="AT10" s="40" t="s">
        <v>200</v>
      </c>
      <c r="AV10" s="25">
        <v>1</v>
      </c>
      <c r="AW10" s="54">
        <f t="shared" si="23"/>
        <v>0</v>
      </c>
      <c r="AX10" s="54">
        <f t="shared" si="24"/>
        <v>0</v>
      </c>
      <c r="AY10" s="54">
        <f t="shared" si="25"/>
        <v>0</v>
      </c>
      <c r="AZ10" s="54">
        <f t="shared" si="26"/>
        <v>1</v>
      </c>
      <c r="BA10" s="54">
        <f t="shared" si="27"/>
        <v>0</v>
      </c>
      <c r="BC10" s="32">
        <f t="shared" si="28"/>
        <v>3</v>
      </c>
      <c r="BD10" t="s">
        <v>233</v>
      </c>
      <c r="BE10" s="40" t="s">
        <v>199</v>
      </c>
      <c r="BF10" s="40" t="s">
        <v>224</v>
      </c>
      <c r="BG10" s="25">
        <v>1</v>
      </c>
      <c r="BH10" s="54">
        <f t="shared" si="29"/>
        <v>0</v>
      </c>
      <c r="BI10" s="54">
        <f t="shared" si="30"/>
        <v>0</v>
      </c>
      <c r="BJ10" s="54">
        <f t="shared" si="31"/>
        <v>1</v>
      </c>
      <c r="BK10" s="54">
        <f t="shared" si="32"/>
        <v>0</v>
      </c>
      <c r="BL10" s="54">
        <f t="shared" si="33"/>
        <v>0</v>
      </c>
      <c r="BN10" s="25">
        <f t="shared" si="34"/>
        <v>1</v>
      </c>
      <c r="BS10" s="39"/>
      <c r="BT10" s="39"/>
      <c r="BU10" s="39"/>
      <c r="BV10" s="39"/>
      <c r="BW10" s="39"/>
    </row>
    <row r="11" spans="2:75" x14ac:dyDescent="0.25">
      <c r="B11" t="s">
        <v>7</v>
      </c>
      <c r="C11" s="62">
        <f t="shared" si="0"/>
        <v>12</v>
      </c>
      <c r="D11" s="62">
        <f t="shared" si="1"/>
        <v>0</v>
      </c>
      <c r="E11" s="62">
        <f t="shared" si="2"/>
        <v>52</v>
      </c>
      <c r="F11" s="62">
        <f t="shared" si="3"/>
        <v>8</v>
      </c>
      <c r="G11" s="62">
        <f t="shared" si="4"/>
        <v>3</v>
      </c>
      <c r="H11" s="32" t="s">
        <v>204</v>
      </c>
      <c r="J11" s="17" t="s">
        <v>109</v>
      </c>
      <c r="K11" s="32" t="s">
        <v>65</v>
      </c>
      <c r="M11" s="32"/>
      <c r="N11" s="32"/>
      <c r="O11" s="25">
        <v>1</v>
      </c>
      <c r="P11" s="62">
        <f t="shared" si="5"/>
        <v>1</v>
      </c>
      <c r="Q11" s="62" t="str">
        <f t="shared" si="6"/>
        <v>-</v>
      </c>
      <c r="R11" s="62" t="str">
        <f t="shared" si="7"/>
        <v>-</v>
      </c>
      <c r="S11" s="62" t="str">
        <f t="shared" si="8"/>
        <v>-</v>
      </c>
      <c r="T11" s="62" t="str">
        <f t="shared" si="9"/>
        <v>-</v>
      </c>
      <c r="V11" s="32">
        <f t="shared" si="10"/>
        <v>5</v>
      </c>
      <c r="W11" t="s">
        <v>289</v>
      </c>
      <c r="Z11" s="25">
        <v>1</v>
      </c>
      <c r="AA11" s="54">
        <f t="shared" si="11"/>
        <v>0</v>
      </c>
      <c r="AB11" s="54">
        <f t="shared" si="12"/>
        <v>1</v>
      </c>
      <c r="AC11" s="54">
        <f t="shared" si="13"/>
        <v>0</v>
      </c>
      <c r="AD11" s="54">
        <f t="shared" si="14"/>
        <v>0</v>
      </c>
      <c r="AE11" s="54">
        <f t="shared" si="15"/>
        <v>0</v>
      </c>
      <c r="AG11" s="32">
        <f t="shared" si="16"/>
        <v>4</v>
      </c>
      <c r="AH11" t="s">
        <v>289</v>
      </c>
      <c r="AI11" s="40" t="s">
        <v>289</v>
      </c>
      <c r="AK11" s="25">
        <v>1</v>
      </c>
      <c r="AL11" s="54">
        <f t="shared" si="17"/>
        <v>0</v>
      </c>
      <c r="AM11" s="54">
        <f t="shared" si="18"/>
        <v>1</v>
      </c>
      <c r="AN11" s="54">
        <f t="shared" si="19"/>
        <v>0</v>
      </c>
      <c r="AO11" s="54">
        <f t="shared" si="20"/>
        <v>0</v>
      </c>
      <c r="AP11" s="54">
        <f t="shared" si="21"/>
        <v>0</v>
      </c>
      <c r="AR11" s="32">
        <f t="shared" si="22"/>
        <v>4</v>
      </c>
      <c r="AS11" t="s">
        <v>320</v>
      </c>
      <c r="AT11" s="40" t="s">
        <v>198</v>
      </c>
      <c r="AU11" s="40" t="s">
        <v>225</v>
      </c>
      <c r="AV11" s="25">
        <v>1</v>
      </c>
      <c r="AW11" s="54">
        <f t="shared" si="23"/>
        <v>1</v>
      </c>
      <c r="AX11" s="54">
        <f t="shared" si="24"/>
        <v>0</v>
      </c>
      <c r="AY11" s="54">
        <f t="shared" si="25"/>
        <v>0</v>
      </c>
      <c r="AZ11" s="54">
        <f t="shared" si="26"/>
        <v>0</v>
      </c>
      <c r="BA11" s="54">
        <f t="shared" si="27"/>
        <v>0</v>
      </c>
      <c r="BC11" s="32">
        <f t="shared" si="28"/>
        <v>3</v>
      </c>
      <c r="BD11" t="s">
        <v>233</v>
      </c>
      <c r="BE11" s="40" t="s">
        <v>199</v>
      </c>
      <c r="BF11" s="40" t="s">
        <v>223</v>
      </c>
      <c r="BG11" s="25">
        <v>1</v>
      </c>
      <c r="BH11" s="54">
        <f t="shared" si="29"/>
        <v>0</v>
      </c>
      <c r="BI11" s="54">
        <f t="shared" si="30"/>
        <v>0</v>
      </c>
      <c r="BJ11" s="54">
        <f t="shared" si="31"/>
        <v>1</v>
      </c>
      <c r="BK11" s="54">
        <f t="shared" si="32"/>
        <v>0</v>
      </c>
      <c r="BL11" s="54">
        <f t="shared" si="33"/>
        <v>0</v>
      </c>
      <c r="BN11" s="25">
        <f t="shared" si="34"/>
        <v>1</v>
      </c>
      <c r="BS11" s="39"/>
      <c r="BT11" s="39"/>
      <c r="BU11" s="39"/>
      <c r="BV11" s="39"/>
      <c r="BW11" s="39"/>
    </row>
    <row r="12" spans="2:75" x14ac:dyDescent="0.25">
      <c r="B12" t="s">
        <v>129</v>
      </c>
      <c r="C12" s="62">
        <f t="shared" si="0"/>
        <v>2</v>
      </c>
      <c r="D12" s="62">
        <f t="shared" si="1"/>
        <v>0</v>
      </c>
      <c r="E12" s="62">
        <f t="shared" si="2"/>
        <v>8</v>
      </c>
      <c r="F12" s="62">
        <f t="shared" si="3"/>
        <v>4</v>
      </c>
      <c r="G12" s="62">
        <f t="shared" si="4"/>
        <v>0</v>
      </c>
      <c r="H12" s="32" t="s">
        <v>203</v>
      </c>
      <c r="J12" s="17" t="s">
        <v>214</v>
      </c>
      <c r="K12" s="32" t="s">
        <v>229</v>
      </c>
      <c r="O12" s="25">
        <v>3</v>
      </c>
      <c r="P12" s="62" t="str">
        <f t="shared" si="5"/>
        <v>-</v>
      </c>
      <c r="Q12" s="62" t="str">
        <f t="shared" si="6"/>
        <v>-</v>
      </c>
      <c r="R12" s="62">
        <f t="shared" si="7"/>
        <v>12</v>
      </c>
      <c r="S12" s="62">
        <f t="shared" si="8"/>
        <v>6</v>
      </c>
      <c r="T12" s="62" t="str">
        <f t="shared" si="9"/>
        <v>-</v>
      </c>
      <c r="V12" s="32">
        <f t="shared" si="10"/>
        <v>5</v>
      </c>
      <c r="W12" t="s">
        <v>234</v>
      </c>
      <c r="Z12" s="25">
        <v>1</v>
      </c>
      <c r="AA12" s="54">
        <f t="shared" si="11"/>
        <v>2</v>
      </c>
      <c r="AB12" s="54">
        <f t="shared" si="12"/>
        <v>0</v>
      </c>
      <c r="AC12" s="54">
        <f t="shared" si="13"/>
        <v>12</v>
      </c>
      <c r="AD12" s="54">
        <f t="shared" si="14"/>
        <v>4</v>
      </c>
      <c r="AE12" s="54">
        <f t="shared" si="15"/>
        <v>0</v>
      </c>
      <c r="AG12" s="32">
        <f t="shared" si="16"/>
        <v>4</v>
      </c>
      <c r="AH12" t="s">
        <v>322</v>
      </c>
      <c r="AI12" s="40" t="s">
        <v>322</v>
      </c>
      <c r="AK12" s="25">
        <v>1</v>
      </c>
      <c r="AL12" s="54">
        <f t="shared" si="17"/>
        <v>0</v>
      </c>
      <c r="AM12" s="54">
        <f t="shared" si="18"/>
        <v>0</v>
      </c>
      <c r="AN12" s="54">
        <f t="shared" si="19"/>
        <v>2</v>
      </c>
      <c r="AO12" s="54">
        <f t="shared" si="20"/>
        <v>0</v>
      </c>
      <c r="AP12" s="54">
        <f t="shared" si="21"/>
        <v>0</v>
      </c>
      <c r="AR12" s="32">
        <f t="shared" si="22"/>
        <v>4</v>
      </c>
      <c r="AS12" t="s">
        <v>320</v>
      </c>
      <c r="AT12" s="40" t="s">
        <v>197</v>
      </c>
      <c r="AU12" s="40" t="s">
        <v>226</v>
      </c>
      <c r="AV12" s="25">
        <v>1</v>
      </c>
      <c r="AW12" s="54">
        <f t="shared" si="23"/>
        <v>0</v>
      </c>
      <c r="AX12" s="54">
        <f t="shared" si="24"/>
        <v>1</v>
      </c>
      <c r="AY12" s="54">
        <f t="shared" si="25"/>
        <v>0</v>
      </c>
      <c r="AZ12" s="54">
        <f t="shared" si="26"/>
        <v>0</v>
      </c>
      <c r="BA12" s="54">
        <f t="shared" si="27"/>
        <v>0</v>
      </c>
      <c r="BC12" s="32">
        <f t="shared" si="28"/>
        <v>3</v>
      </c>
      <c r="BG12" s="25">
        <v>1</v>
      </c>
      <c r="BH12" s="54">
        <f t="shared" si="29"/>
        <v>0</v>
      </c>
      <c r="BI12" s="54">
        <f t="shared" si="30"/>
        <v>0</v>
      </c>
      <c r="BJ12" s="54">
        <f t="shared" si="31"/>
        <v>0</v>
      </c>
      <c r="BK12" s="54">
        <f t="shared" si="32"/>
        <v>0</v>
      </c>
      <c r="BL12" s="54">
        <f t="shared" si="33"/>
        <v>0</v>
      </c>
      <c r="BN12" s="25">
        <f t="shared" si="34"/>
        <v>1</v>
      </c>
      <c r="BS12" s="39"/>
      <c r="BT12" s="39"/>
      <c r="BU12" s="39"/>
      <c r="BV12" s="39"/>
      <c r="BW12" s="39"/>
    </row>
    <row r="13" spans="2:75" x14ac:dyDescent="0.25">
      <c r="B13" t="s">
        <v>130</v>
      </c>
      <c r="C13" s="62">
        <f t="shared" si="0"/>
        <v>2</v>
      </c>
      <c r="D13" s="62">
        <f t="shared" si="1"/>
        <v>1</v>
      </c>
      <c r="E13" s="62">
        <f t="shared" si="2"/>
        <v>0</v>
      </c>
      <c r="F13" s="62">
        <f t="shared" si="3"/>
        <v>0</v>
      </c>
      <c r="G13" s="62">
        <f t="shared" si="4"/>
        <v>0</v>
      </c>
      <c r="H13" s="32" t="s">
        <v>203</v>
      </c>
      <c r="J13" s="17" t="s">
        <v>214</v>
      </c>
      <c r="K13" s="32" t="s">
        <v>65</v>
      </c>
      <c r="L13" s="32" t="s">
        <v>44</v>
      </c>
      <c r="M13" s="32" t="s">
        <v>218</v>
      </c>
      <c r="N13" s="32"/>
      <c r="O13" s="25">
        <v>2</v>
      </c>
      <c r="P13" s="62">
        <f t="shared" si="5"/>
        <v>2</v>
      </c>
      <c r="Q13" s="62" t="str">
        <f t="shared" si="6"/>
        <v>-</v>
      </c>
      <c r="R13" s="62" t="str">
        <f t="shared" si="7"/>
        <v>-</v>
      </c>
      <c r="S13" s="62" t="str">
        <f t="shared" si="8"/>
        <v>-</v>
      </c>
      <c r="T13" s="62" t="str">
        <f t="shared" si="9"/>
        <v>-</v>
      </c>
      <c r="V13" s="32">
        <f t="shared" si="10"/>
        <v>5</v>
      </c>
      <c r="W13" t="s">
        <v>66</v>
      </c>
      <c r="Z13" s="25">
        <v>1</v>
      </c>
      <c r="AA13" s="54">
        <f t="shared" si="11"/>
        <v>0</v>
      </c>
      <c r="AB13" s="54">
        <f t="shared" si="12"/>
        <v>0</v>
      </c>
      <c r="AC13" s="54">
        <f t="shared" si="13"/>
        <v>0</v>
      </c>
      <c r="AD13" s="54">
        <f t="shared" si="14"/>
        <v>0</v>
      </c>
      <c r="AE13" s="54">
        <f t="shared" si="15"/>
        <v>4</v>
      </c>
      <c r="AG13" s="32">
        <f t="shared" si="16"/>
        <v>4</v>
      </c>
      <c r="AH13" t="s">
        <v>68</v>
      </c>
      <c r="AI13" s="40" t="s">
        <v>68</v>
      </c>
      <c r="AK13" s="25">
        <v>1</v>
      </c>
      <c r="AL13" s="54">
        <f t="shared" si="17"/>
        <v>0</v>
      </c>
      <c r="AM13" s="54">
        <f t="shared" si="18"/>
        <v>0</v>
      </c>
      <c r="AN13" s="54">
        <f t="shared" si="19"/>
        <v>0</v>
      </c>
      <c r="AO13" s="54">
        <f t="shared" si="20"/>
        <v>1</v>
      </c>
      <c r="AP13" s="54">
        <f t="shared" si="21"/>
        <v>0</v>
      </c>
      <c r="AR13" s="32">
        <f t="shared" si="22"/>
        <v>4</v>
      </c>
      <c r="AS13" t="s">
        <v>321</v>
      </c>
      <c r="AT13" s="40" t="s">
        <v>197</v>
      </c>
      <c r="AU13" s="40" t="s">
        <v>226</v>
      </c>
      <c r="AV13" s="25">
        <v>1</v>
      </c>
      <c r="AW13" s="54">
        <f t="shared" si="23"/>
        <v>0</v>
      </c>
      <c r="AX13" s="54">
        <f t="shared" si="24"/>
        <v>1</v>
      </c>
      <c r="AY13" s="54">
        <f t="shared" si="25"/>
        <v>0</v>
      </c>
      <c r="AZ13" s="54">
        <f t="shared" si="26"/>
        <v>0</v>
      </c>
      <c r="BA13" s="54">
        <f t="shared" si="27"/>
        <v>0</v>
      </c>
      <c r="BC13" s="32">
        <f t="shared" si="28"/>
        <v>3</v>
      </c>
      <c r="BG13" s="25">
        <v>1</v>
      </c>
      <c r="BH13" s="54">
        <f t="shared" si="29"/>
        <v>0</v>
      </c>
      <c r="BI13" s="54">
        <f t="shared" si="30"/>
        <v>0</v>
      </c>
      <c r="BJ13" s="54">
        <f t="shared" si="31"/>
        <v>0</v>
      </c>
      <c r="BK13" s="54">
        <f t="shared" si="32"/>
        <v>0</v>
      </c>
      <c r="BL13" s="54">
        <f t="shared" si="33"/>
        <v>0</v>
      </c>
      <c r="BN13" s="25">
        <f t="shared" si="34"/>
        <v>1</v>
      </c>
      <c r="BS13" s="39"/>
      <c r="BT13" s="39"/>
      <c r="BU13" s="39"/>
      <c r="BV13" s="39"/>
      <c r="BW13" s="39"/>
    </row>
    <row r="14" spans="2:75" x14ac:dyDescent="0.25">
      <c r="B14" t="s">
        <v>308</v>
      </c>
      <c r="C14" s="62">
        <f t="shared" si="0"/>
        <v>1</v>
      </c>
      <c r="D14" s="62">
        <f t="shared" si="1"/>
        <v>0</v>
      </c>
      <c r="E14" s="62">
        <f t="shared" si="2"/>
        <v>44</v>
      </c>
      <c r="F14" s="62">
        <f t="shared" si="3"/>
        <v>42</v>
      </c>
      <c r="G14" s="62">
        <f t="shared" si="4"/>
        <v>0</v>
      </c>
      <c r="H14" s="32" t="s">
        <v>204</v>
      </c>
      <c r="J14" s="17" t="s">
        <v>214</v>
      </c>
      <c r="K14" s="32" t="s">
        <v>65</v>
      </c>
      <c r="L14" s="32" t="s">
        <v>44</v>
      </c>
      <c r="M14" s="32" t="s">
        <v>219</v>
      </c>
      <c r="N14" s="32"/>
      <c r="O14" s="25">
        <v>1</v>
      </c>
      <c r="P14" s="62">
        <f t="shared" si="5"/>
        <v>1</v>
      </c>
      <c r="Q14" s="62" t="str">
        <f t="shared" si="6"/>
        <v>-</v>
      </c>
      <c r="R14" s="62" t="str">
        <f t="shared" si="7"/>
        <v>-</v>
      </c>
      <c r="S14" s="62" t="str">
        <f t="shared" si="8"/>
        <v>-</v>
      </c>
      <c r="T14" s="62" t="str">
        <f t="shared" si="9"/>
        <v>-</v>
      </c>
      <c r="V14" s="32">
        <f t="shared" si="10"/>
        <v>5</v>
      </c>
      <c r="W14" t="s">
        <v>53</v>
      </c>
      <c r="Z14" s="25">
        <v>1</v>
      </c>
      <c r="AA14" s="54">
        <f t="shared" si="11"/>
        <v>1</v>
      </c>
      <c r="AB14" s="54">
        <f t="shared" si="12"/>
        <v>0</v>
      </c>
      <c r="AC14" s="54">
        <f t="shared" si="13"/>
        <v>1</v>
      </c>
      <c r="AD14" s="54">
        <f t="shared" si="14"/>
        <v>0</v>
      </c>
      <c r="AE14" s="54">
        <f t="shared" si="15"/>
        <v>0</v>
      </c>
      <c r="AG14" s="32">
        <f t="shared" si="16"/>
        <v>4</v>
      </c>
      <c r="AH14" t="s">
        <v>83</v>
      </c>
      <c r="AI14" s="40" t="s">
        <v>83</v>
      </c>
      <c r="AK14" s="25">
        <v>1</v>
      </c>
      <c r="AL14" s="54">
        <f t="shared" si="17"/>
        <v>0</v>
      </c>
      <c r="AM14" s="54">
        <f t="shared" si="18"/>
        <v>0</v>
      </c>
      <c r="AN14" s="54">
        <f t="shared" si="19"/>
        <v>2</v>
      </c>
      <c r="AO14" s="54">
        <f t="shared" si="20"/>
        <v>1</v>
      </c>
      <c r="AP14" s="54">
        <f t="shared" si="21"/>
        <v>0</v>
      </c>
      <c r="AR14" s="32">
        <f t="shared" si="22"/>
        <v>4</v>
      </c>
      <c r="AS14" t="s">
        <v>321</v>
      </c>
      <c r="AT14" s="40" t="s">
        <v>233</v>
      </c>
      <c r="AU14" s="40" t="s">
        <v>225</v>
      </c>
      <c r="AV14" s="25">
        <v>1</v>
      </c>
      <c r="AW14" s="54">
        <f t="shared" si="23"/>
        <v>0</v>
      </c>
      <c r="AX14" s="54">
        <f t="shared" si="24"/>
        <v>0</v>
      </c>
      <c r="AY14" s="54">
        <f t="shared" si="25"/>
        <v>2</v>
      </c>
      <c r="AZ14" s="54">
        <f t="shared" si="26"/>
        <v>0</v>
      </c>
      <c r="BA14" s="54">
        <f t="shared" si="27"/>
        <v>0</v>
      </c>
      <c r="BC14" s="32">
        <f t="shared" si="28"/>
        <v>3</v>
      </c>
      <c r="BG14" s="25">
        <v>1</v>
      </c>
      <c r="BH14" s="54">
        <f t="shared" si="29"/>
        <v>0</v>
      </c>
      <c r="BI14" s="54">
        <f t="shared" si="30"/>
        <v>0</v>
      </c>
      <c r="BJ14" s="54">
        <f t="shared" si="31"/>
        <v>0</v>
      </c>
      <c r="BK14" s="54">
        <f t="shared" si="32"/>
        <v>0</v>
      </c>
      <c r="BL14" s="54">
        <f t="shared" si="33"/>
        <v>0</v>
      </c>
      <c r="BN14" s="25">
        <f t="shared" si="34"/>
        <v>1</v>
      </c>
      <c r="BS14" s="39"/>
      <c r="BT14" s="39"/>
      <c r="BU14" s="39"/>
      <c r="BV14" s="39"/>
      <c r="BW14" s="39"/>
    </row>
    <row r="15" spans="2:75" x14ac:dyDescent="0.25">
      <c r="B15" t="s">
        <v>304</v>
      </c>
      <c r="C15" s="62">
        <f t="shared" si="0"/>
        <v>0</v>
      </c>
      <c r="D15" s="62">
        <f t="shared" si="1"/>
        <v>0</v>
      </c>
      <c r="E15" s="62">
        <f t="shared" si="2"/>
        <v>38</v>
      </c>
      <c r="F15" s="62">
        <f t="shared" si="3"/>
        <v>22</v>
      </c>
      <c r="G15" s="62">
        <f t="shared" si="4"/>
        <v>16</v>
      </c>
      <c r="H15" s="32" t="s">
        <v>204</v>
      </c>
      <c r="J15" s="17" t="s">
        <v>214</v>
      </c>
      <c r="K15" s="32" t="s">
        <v>84</v>
      </c>
      <c r="O15" s="25">
        <v>3</v>
      </c>
      <c r="P15" s="62" t="str">
        <f t="shared" si="5"/>
        <v>-</v>
      </c>
      <c r="Q15" s="62" t="str">
        <f t="shared" si="6"/>
        <v>-</v>
      </c>
      <c r="R15" s="62">
        <f t="shared" si="7"/>
        <v>6</v>
      </c>
      <c r="S15" s="62">
        <f t="shared" si="8"/>
        <v>6</v>
      </c>
      <c r="T15" s="62" t="str">
        <f t="shared" si="9"/>
        <v>-</v>
      </c>
      <c r="V15" s="32">
        <f t="shared" si="10"/>
        <v>5</v>
      </c>
      <c r="W15" t="s">
        <v>62</v>
      </c>
      <c r="Z15" s="25">
        <v>1</v>
      </c>
      <c r="AA15" s="54">
        <f t="shared" si="11"/>
        <v>0</v>
      </c>
      <c r="AB15" s="54">
        <f t="shared" si="12"/>
        <v>0</v>
      </c>
      <c r="AC15" s="54">
        <f t="shared" si="13"/>
        <v>2</v>
      </c>
      <c r="AD15" s="54">
        <f t="shared" si="14"/>
        <v>0</v>
      </c>
      <c r="AE15" s="54">
        <f t="shared" si="15"/>
        <v>0</v>
      </c>
      <c r="AG15" s="32">
        <f t="shared" si="16"/>
        <v>4</v>
      </c>
      <c r="AH15" t="s">
        <v>84</v>
      </c>
      <c r="AI15" s="40" t="s">
        <v>84</v>
      </c>
      <c r="AK15" s="25">
        <v>1</v>
      </c>
      <c r="AL15" s="54">
        <f t="shared" si="17"/>
        <v>0</v>
      </c>
      <c r="AM15" s="54">
        <f t="shared" si="18"/>
        <v>0</v>
      </c>
      <c r="AN15" s="54">
        <f t="shared" si="19"/>
        <v>2</v>
      </c>
      <c r="AO15" s="54">
        <f t="shared" si="20"/>
        <v>2</v>
      </c>
      <c r="AP15" s="54">
        <f t="shared" si="21"/>
        <v>0</v>
      </c>
      <c r="AR15" s="32">
        <f t="shared" si="22"/>
        <v>4</v>
      </c>
      <c r="AS15" t="s">
        <v>289</v>
      </c>
      <c r="AT15" s="40" t="s">
        <v>197</v>
      </c>
      <c r="AU15" s="40" t="s">
        <v>226</v>
      </c>
      <c r="AV15" s="25">
        <v>1</v>
      </c>
      <c r="AW15" s="54">
        <f t="shared" si="23"/>
        <v>0</v>
      </c>
      <c r="AX15" s="54">
        <f t="shared" si="24"/>
        <v>1</v>
      </c>
      <c r="AY15" s="54">
        <f t="shared" si="25"/>
        <v>0</v>
      </c>
      <c r="AZ15" s="54">
        <f t="shared" si="26"/>
        <v>0</v>
      </c>
      <c r="BA15" s="54">
        <f t="shared" si="27"/>
        <v>0</v>
      </c>
      <c r="BC15" s="32">
        <f t="shared" si="28"/>
        <v>3</v>
      </c>
      <c r="BG15" s="25">
        <v>1</v>
      </c>
      <c r="BH15" s="54">
        <f t="shared" si="29"/>
        <v>0</v>
      </c>
      <c r="BI15" s="54">
        <f t="shared" si="30"/>
        <v>0</v>
      </c>
      <c r="BJ15" s="54">
        <f t="shared" si="31"/>
        <v>0</v>
      </c>
      <c r="BK15" s="54">
        <f t="shared" si="32"/>
        <v>0</v>
      </c>
      <c r="BL15" s="54">
        <f t="shared" si="33"/>
        <v>0</v>
      </c>
      <c r="BN15" s="25">
        <f t="shared" si="34"/>
        <v>1</v>
      </c>
      <c r="BS15" s="39"/>
      <c r="BT15" s="39"/>
      <c r="BU15" s="39"/>
      <c r="BV15" s="39"/>
      <c r="BW15" s="39"/>
    </row>
    <row r="16" spans="2:75" x14ac:dyDescent="0.25">
      <c r="B16" t="s">
        <v>38</v>
      </c>
      <c r="C16" s="62">
        <f t="shared" si="0"/>
        <v>4</v>
      </c>
      <c r="D16" s="62">
        <f t="shared" si="1"/>
        <v>0</v>
      </c>
      <c r="E16" s="62">
        <f t="shared" si="2"/>
        <v>0</v>
      </c>
      <c r="F16" s="62">
        <f t="shared" si="3"/>
        <v>0</v>
      </c>
      <c r="G16" s="62">
        <f t="shared" si="4"/>
        <v>0</v>
      </c>
      <c r="H16" s="32" t="s">
        <v>203</v>
      </c>
      <c r="J16" s="17" t="s">
        <v>214</v>
      </c>
      <c r="K16" s="32" t="s">
        <v>220</v>
      </c>
      <c r="O16" s="25">
        <v>1</v>
      </c>
      <c r="P16" s="62" t="str">
        <f t="shared" si="5"/>
        <v>-</v>
      </c>
      <c r="Q16" s="62" t="str">
        <f t="shared" si="6"/>
        <v>-</v>
      </c>
      <c r="R16" s="62" t="str">
        <f t="shared" si="7"/>
        <v>-</v>
      </c>
      <c r="S16" s="62" t="str">
        <f t="shared" si="8"/>
        <v>-</v>
      </c>
      <c r="T16" s="62">
        <f t="shared" si="9"/>
        <v>3</v>
      </c>
      <c r="V16" s="32">
        <f t="shared" si="10"/>
        <v>5</v>
      </c>
      <c r="W16" t="s">
        <v>65</v>
      </c>
      <c r="Z16" s="25">
        <v>1</v>
      </c>
      <c r="AA16" s="54">
        <f t="shared" si="11"/>
        <v>1</v>
      </c>
      <c r="AB16" s="54">
        <f t="shared" si="12"/>
        <v>0</v>
      </c>
      <c r="AC16" s="54">
        <f t="shared" si="13"/>
        <v>0</v>
      </c>
      <c r="AD16" s="54">
        <f t="shared" si="14"/>
        <v>0</v>
      </c>
      <c r="AE16" s="54">
        <f t="shared" si="15"/>
        <v>0</v>
      </c>
      <c r="AG16" s="32">
        <f t="shared" si="16"/>
        <v>5</v>
      </c>
      <c r="AH16" t="s">
        <v>229</v>
      </c>
      <c r="AI16" s="40" t="s">
        <v>199</v>
      </c>
      <c r="AJ16" s="40" t="s">
        <v>238</v>
      </c>
      <c r="AK16" s="25">
        <v>2</v>
      </c>
      <c r="AL16" s="54">
        <f t="shared" si="17"/>
        <v>0</v>
      </c>
      <c r="AM16" s="54">
        <f t="shared" si="18"/>
        <v>0</v>
      </c>
      <c r="AN16" s="54">
        <f t="shared" si="19"/>
        <v>2</v>
      </c>
      <c r="AO16" s="54">
        <f t="shared" si="20"/>
        <v>0</v>
      </c>
      <c r="AP16" s="54">
        <f t="shared" si="21"/>
        <v>0</v>
      </c>
      <c r="AR16" s="32">
        <f t="shared" si="22"/>
        <v>4</v>
      </c>
      <c r="AS16" t="s">
        <v>322</v>
      </c>
      <c r="AT16" s="40" t="s">
        <v>233</v>
      </c>
      <c r="AU16" s="40" t="s">
        <v>225</v>
      </c>
      <c r="AV16" s="25">
        <v>1</v>
      </c>
      <c r="AW16" s="54">
        <f t="shared" si="23"/>
        <v>0</v>
      </c>
      <c r="AX16" s="54">
        <f t="shared" si="24"/>
        <v>0</v>
      </c>
      <c r="AY16" s="54">
        <f t="shared" si="25"/>
        <v>2</v>
      </c>
      <c r="AZ16" s="54">
        <f t="shared" si="26"/>
        <v>0</v>
      </c>
      <c r="BA16" s="54">
        <f t="shared" si="27"/>
        <v>0</v>
      </c>
      <c r="BC16" s="32">
        <f t="shared" si="28"/>
        <v>3</v>
      </c>
      <c r="BG16" s="25">
        <v>1</v>
      </c>
      <c r="BH16" s="54">
        <f t="shared" si="29"/>
        <v>0</v>
      </c>
      <c r="BI16" s="54">
        <f t="shared" si="30"/>
        <v>0</v>
      </c>
      <c r="BJ16" s="54">
        <f t="shared" si="31"/>
        <v>0</v>
      </c>
      <c r="BK16" s="54">
        <f t="shared" si="32"/>
        <v>0</v>
      </c>
      <c r="BL16" s="54">
        <f t="shared" si="33"/>
        <v>0</v>
      </c>
      <c r="BN16" s="25">
        <f t="shared" si="34"/>
        <v>1</v>
      </c>
      <c r="BS16" s="39"/>
      <c r="BT16" s="39"/>
      <c r="BU16" s="39"/>
      <c r="BV16" s="39"/>
      <c r="BW16" s="39"/>
    </row>
    <row r="17" spans="2:75" x14ac:dyDescent="0.25">
      <c r="B17" t="s">
        <v>108</v>
      </c>
      <c r="C17" s="62">
        <f t="shared" si="0"/>
        <v>2</v>
      </c>
      <c r="D17" s="62">
        <f t="shared" si="1"/>
        <v>1</v>
      </c>
      <c r="E17" s="62">
        <f t="shared" si="2"/>
        <v>0</v>
      </c>
      <c r="F17" s="62">
        <f t="shared" si="3"/>
        <v>0</v>
      </c>
      <c r="G17" s="62">
        <f t="shared" si="4"/>
        <v>0</v>
      </c>
      <c r="H17" s="32" t="s">
        <v>203</v>
      </c>
      <c r="J17" s="17" t="s">
        <v>216</v>
      </c>
      <c r="K17" s="32" t="s">
        <v>198</v>
      </c>
      <c r="O17" s="25">
        <v>41</v>
      </c>
      <c r="P17" s="62">
        <f t="shared" si="5"/>
        <v>41</v>
      </c>
      <c r="Q17" s="62" t="str">
        <f t="shared" si="6"/>
        <v>-</v>
      </c>
      <c r="R17" s="62" t="str">
        <f t="shared" si="7"/>
        <v>-</v>
      </c>
      <c r="S17" s="62" t="str">
        <f t="shared" si="8"/>
        <v>-</v>
      </c>
      <c r="T17" s="62" t="str">
        <f t="shared" si="9"/>
        <v>-</v>
      </c>
      <c r="V17" s="32">
        <f t="shared" si="10"/>
        <v>5</v>
      </c>
      <c r="W17" t="s">
        <v>322</v>
      </c>
      <c r="Z17" s="25">
        <v>1</v>
      </c>
      <c r="AA17" s="54">
        <f t="shared" si="11"/>
        <v>0</v>
      </c>
      <c r="AB17" s="54">
        <f t="shared" si="12"/>
        <v>0</v>
      </c>
      <c r="AC17" s="54">
        <f t="shared" si="13"/>
        <v>2</v>
      </c>
      <c r="AD17" s="54">
        <f t="shared" si="14"/>
        <v>0</v>
      </c>
      <c r="AE17" s="54">
        <f t="shared" si="15"/>
        <v>0</v>
      </c>
      <c r="AG17" s="32">
        <f t="shared" si="16"/>
        <v>5</v>
      </c>
      <c r="AH17" t="s">
        <v>229</v>
      </c>
      <c r="AI17" s="40" t="s">
        <v>222</v>
      </c>
      <c r="AK17" s="25">
        <v>1</v>
      </c>
      <c r="AL17" s="54">
        <f t="shared" si="17"/>
        <v>0</v>
      </c>
      <c r="AM17" s="54">
        <f t="shared" si="18"/>
        <v>0</v>
      </c>
      <c r="AN17" s="54">
        <f t="shared" si="19"/>
        <v>2</v>
      </c>
      <c r="AO17" s="54">
        <f t="shared" si="20"/>
        <v>2</v>
      </c>
      <c r="AP17" s="54">
        <f t="shared" si="21"/>
        <v>0</v>
      </c>
      <c r="AR17" s="32">
        <f t="shared" si="22"/>
        <v>4</v>
      </c>
      <c r="AS17" t="s">
        <v>68</v>
      </c>
      <c r="AT17" s="40" t="s">
        <v>200</v>
      </c>
      <c r="AU17" s="40" t="s">
        <v>231</v>
      </c>
      <c r="AV17" s="25">
        <v>1</v>
      </c>
      <c r="AW17" s="54">
        <f t="shared" si="23"/>
        <v>0</v>
      </c>
      <c r="AX17" s="54">
        <f t="shared" si="24"/>
        <v>0</v>
      </c>
      <c r="AY17" s="54">
        <f t="shared" si="25"/>
        <v>0</v>
      </c>
      <c r="AZ17" s="54">
        <f t="shared" si="26"/>
        <v>1</v>
      </c>
      <c r="BA17" s="54">
        <f t="shared" si="27"/>
        <v>0</v>
      </c>
      <c r="BC17" s="32">
        <f t="shared" si="28"/>
        <v>3</v>
      </c>
      <c r="BG17" s="25">
        <v>1</v>
      </c>
      <c r="BH17" s="54">
        <f t="shared" si="29"/>
        <v>0</v>
      </c>
      <c r="BI17" s="54">
        <f t="shared" si="30"/>
        <v>0</v>
      </c>
      <c r="BJ17" s="54">
        <f t="shared" si="31"/>
        <v>0</v>
      </c>
      <c r="BK17" s="54">
        <f t="shared" si="32"/>
        <v>0</v>
      </c>
      <c r="BL17" s="54">
        <f t="shared" si="33"/>
        <v>0</v>
      </c>
      <c r="BN17" s="25">
        <f t="shared" si="34"/>
        <v>1</v>
      </c>
      <c r="BS17" s="39"/>
      <c r="BT17" s="39"/>
      <c r="BU17" s="39"/>
      <c r="BV17" s="39"/>
      <c r="BW17" s="39"/>
    </row>
    <row r="18" spans="2:75" x14ac:dyDescent="0.25">
      <c r="B18" t="s">
        <v>28</v>
      </c>
      <c r="C18" s="62">
        <f t="shared" si="0"/>
        <v>5</v>
      </c>
      <c r="D18" s="62">
        <f t="shared" si="1"/>
        <v>2</v>
      </c>
      <c r="E18" s="62">
        <f t="shared" si="2"/>
        <v>7</v>
      </c>
      <c r="F18" s="62">
        <f t="shared" si="3"/>
        <v>3</v>
      </c>
      <c r="G18" s="62">
        <f t="shared" si="4"/>
        <v>0</v>
      </c>
      <c r="H18" s="32" t="s">
        <v>204</v>
      </c>
      <c r="J18" s="17" t="s">
        <v>216</v>
      </c>
      <c r="K18" s="32" t="s">
        <v>197</v>
      </c>
      <c r="O18" s="25">
        <v>0</v>
      </c>
      <c r="P18" s="62" t="str">
        <f t="shared" si="5"/>
        <v>-</v>
      </c>
      <c r="Q18" s="62">
        <f t="shared" si="6"/>
        <v>0</v>
      </c>
      <c r="R18" s="62" t="str">
        <f t="shared" si="7"/>
        <v>-</v>
      </c>
      <c r="S18" s="62" t="str">
        <f t="shared" si="8"/>
        <v>-</v>
      </c>
      <c r="T18" s="62" t="str">
        <f t="shared" si="9"/>
        <v>-</v>
      </c>
      <c r="V18" s="32">
        <f t="shared" si="10"/>
        <v>5</v>
      </c>
      <c r="W18" t="s">
        <v>68</v>
      </c>
      <c r="Z18" s="25">
        <v>1</v>
      </c>
      <c r="AA18" s="54">
        <f t="shared" si="11"/>
        <v>0</v>
      </c>
      <c r="AB18" s="54">
        <f t="shared" si="12"/>
        <v>0</v>
      </c>
      <c r="AC18" s="54">
        <f t="shared" si="13"/>
        <v>0</v>
      </c>
      <c r="AD18" s="54">
        <f t="shared" si="14"/>
        <v>1</v>
      </c>
      <c r="AE18" s="54">
        <f t="shared" si="15"/>
        <v>0</v>
      </c>
      <c r="AG18" s="32">
        <f t="shared" si="16"/>
        <v>5</v>
      </c>
      <c r="AH18" t="s">
        <v>234</v>
      </c>
      <c r="AI18" s="40" t="s">
        <v>198</v>
      </c>
      <c r="AJ18" s="40" t="s">
        <v>67</v>
      </c>
      <c r="AK18" s="25">
        <v>1</v>
      </c>
      <c r="AL18" s="54">
        <f t="shared" si="17"/>
        <v>1</v>
      </c>
      <c r="AM18" s="54">
        <f t="shared" si="18"/>
        <v>0</v>
      </c>
      <c r="AN18" s="54">
        <f t="shared" si="19"/>
        <v>0</v>
      </c>
      <c r="AO18" s="54">
        <f t="shared" si="20"/>
        <v>0</v>
      </c>
      <c r="AP18" s="54">
        <f t="shared" si="21"/>
        <v>0</v>
      </c>
      <c r="AR18" s="32">
        <f t="shared" si="22"/>
        <v>4</v>
      </c>
      <c r="AS18" t="s">
        <v>83</v>
      </c>
      <c r="AT18" s="40" t="s">
        <v>200</v>
      </c>
      <c r="AU18" s="40" t="s">
        <v>231</v>
      </c>
      <c r="AV18" s="25">
        <v>1</v>
      </c>
      <c r="AW18" s="54">
        <f t="shared" si="23"/>
        <v>0</v>
      </c>
      <c r="AX18" s="54">
        <f t="shared" si="24"/>
        <v>0</v>
      </c>
      <c r="AY18" s="54">
        <f t="shared" si="25"/>
        <v>0</v>
      </c>
      <c r="AZ18" s="54">
        <f t="shared" si="26"/>
        <v>1</v>
      </c>
      <c r="BA18" s="54">
        <f t="shared" si="27"/>
        <v>0</v>
      </c>
      <c r="BC18" s="32">
        <f t="shared" si="28"/>
        <v>3</v>
      </c>
      <c r="BG18" s="25">
        <v>1</v>
      </c>
      <c r="BH18" s="54">
        <f t="shared" si="29"/>
        <v>0</v>
      </c>
      <c r="BI18" s="54">
        <f t="shared" si="30"/>
        <v>0</v>
      </c>
      <c r="BJ18" s="54">
        <f t="shared" si="31"/>
        <v>0</v>
      </c>
      <c r="BK18" s="54">
        <f t="shared" si="32"/>
        <v>0</v>
      </c>
      <c r="BL18" s="54">
        <f t="shared" si="33"/>
        <v>0</v>
      </c>
      <c r="BN18" s="25">
        <f t="shared" si="34"/>
        <v>1</v>
      </c>
      <c r="BS18" s="39"/>
      <c r="BT18" s="39"/>
      <c r="BU18" s="39"/>
      <c r="BV18" s="39"/>
      <c r="BW18" s="39"/>
    </row>
    <row r="19" spans="2:75" x14ac:dyDescent="0.25">
      <c r="B19" t="s">
        <v>133</v>
      </c>
      <c r="C19" s="62">
        <f t="shared" si="0"/>
        <v>4</v>
      </c>
      <c r="D19" s="62">
        <f t="shared" si="1"/>
        <v>1</v>
      </c>
      <c r="E19" s="62">
        <f t="shared" si="2"/>
        <v>0</v>
      </c>
      <c r="F19" s="62">
        <f t="shared" si="3"/>
        <v>0</v>
      </c>
      <c r="G19" s="62">
        <f t="shared" si="4"/>
        <v>0</v>
      </c>
      <c r="H19" s="32" t="s">
        <v>204</v>
      </c>
      <c r="J19" s="17" t="s">
        <v>216</v>
      </c>
      <c r="K19" s="32" t="s">
        <v>199</v>
      </c>
      <c r="O19" s="25">
        <v>38</v>
      </c>
      <c r="P19" s="62" t="str">
        <f t="shared" si="5"/>
        <v>-</v>
      </c>
      <c r="Q19" s="62" t="str">
        <f t="shared" si="6"/>
        <v>-</v>
      </c>
      <c r="R19" s="62">
        <f t="shared" si="7"/>
        <v>38</v>
      </c>
      <c r="S19" s="62" t="str">
        <f t="shared" si="8"/>
        <v>-</v>
      </c>
      <c r="T19" s="62" t="str">
        <f t="shared" si="9"/>
        <v>-</v>
      </c>
      <c r="V19" s="32">
        <f t="shared" si="10"/>
        <v>5</v>
      </c>
      <c r="W19" t="s">
        <v>83</v>
      </c>
      <c r="Z19" s="25">
        <v>1</v>
      </c>
      <c r="AA19" s="54">
        <f t="shared" si="11"/>
        <v>0</v>
      </c>
      <c r="AB19" s="54">
        <f t="shared" si="12"/>
        <v>0</v>
      </c>
      <c r="AC19" s="54">
        <f t="shared" si="13"/>
        <v>2</v>
      </c>
      <c r="AD19" s="54">
        <f t="shared" si="14"/>
        <v>1</v>
      </c>
      <c r="AE19" s="54">
        <f t="shared" si="15"/>
        <v>0</v>
      </c>
      <c r="AG19" s="32">
        <f t="shared" si="16"/>
        <v>5</v>
      </c>
      <c r="AH19" t="s">
        <v>234</v>
      </c>
      <c r="AI19" s="40" t="s">
        <v>198</v>
      </c>
      <c r="AJ19" s="40" t="s">
        <v>235</v>
      </c>
      <c r="AK19" s="25">
        <v>1</v>
      </c>
      <c r="AL19" s="54">
        <f t="shared" si="17"/>
        <v>1</v>
      </c>
      <c r="AM19" s="54">
        <f t="shared" si="18"/>
        <v>0</v>
      </c>
      <c r="AN19" s="54">
        <f t="shared" si="19"/>
        <v>0</v>
      </c>
      <c r="AO19" s="54">
        <f t="shared" si="20"/>
        <v>0</v>
      </c>
      <c r="AP19" s="54">
        <f t="shared" si="21"/>
        <v>0</v>
      </c>
      <c r="AR19" s="32">
        <f t="shared" si="22"/>
        <v>4</v>
      </c>
      <c r="AS19" t="s">
        <v>83</v>
      </c>
      <c r="AT19" s="40" t="s">
        <v>233</v>
      </c>
      <c r="AU19" s="40" t="s">
        <v>225</v>
      </c>
      <c r="AV19" s="25">
        <v>1</v>
      </c>
      <c r="AW19" s="54">
        <f t="shared" si="23"/>
        <v>0</v>
      </c>
      <c r="AX19" s="54">
        <f t="shared" si="24"/>
        <v>0</v>
      </c>
      <c r="AY19" s="54">
        <f t="shared" si="25"/>
        <v>2</v>
      </c>
      <c r="AZ19" s="54">
        <f t="shared" si="26"/>
        <v>0</v>
      </c>
      <c r="BA19" s="54">
        <f t="shared" si="27"/>
        <v>0</v>
      </c>
      <c r="BC19" s="32">
        <f t="shared" si="28"/>
        <v>3</v>
      </c>
      <c r="BG19" s="25">
        <v>1</v>
      </c>
      <c r="BH19" s="54">
        <f t="shared" si="29"/>
        <v>0</v>
      </c>
      <c r="BI19" s="54">
        <f t="shared" si="30"/>
        <v>0</v>
      </c>
      <c r="BJ19" s="54">
        <f t="shared" si="31"/>
        <v>0</v>
      </c>
      <c r="BK19" s="54">
        <f t="shared" si="32"/>
        <v>0</v>
      </c>
      <c r="BL19" s="54">
        <f t="shared" si="33"/>
        <v>0</v>
      </c>
      <c r="BN19" s="25">
        <f t="shared" si="34"/>
        <v>1</v>
      </c>
      <c r="BS19" s="39"/>
      <c r="BT19" s="39"/>
      <c r="BU19" s="39"/>
      <c r="BV19" s="39"/>
      <c r="BW19" s="39"/>
    </row>
    <row r="20" spans="2:75" x14ac:dyDescent="0.25">
      <c r="B20" t="s">
        <v>50</v>
      </c>
      <c r="C20" s="62">
        <f t="shared" si="0"/>
        <v>7</v>
      </c>
      <c r="D20" s="62">
        <f t="shared" si="1"/>
        <v>4</v>
      </c>
      <c r="E20" s="62">
        <f t="shared" si="2"/>
        <v>4</v>
      </c>
      <c r="F20" s="62">
        <f t="shared" si="3"/>
        <v>0</v>
      </c>
      <c r="G20" s="62">
        <f t="shared" si="4"/>
        <v>0</v>
      </c>
      <c r="H20" s="32" t="s">
        <v>204</v>
      </c>
      <c r="J20" s="17" t="s">
        <v>216</v>
      </c>
      <c r="K20" s="32" t="s">
        <v>200</v>
      </c>
      <c r="O20" s="25">
        <v>21</v>
      </c>
      <c r="P20" s="62" t="str">
        <f t="shared" si="5"/>
        <v>-</v>
      </c>
      <c r="Q20" s="62" t="str">
        <f t="shared" si="6"/>
        <v>-</v>
      </c>
      <c r="R20" s="62" t="str">
        <f t="shared" si="7"/>
        <v>-</v>
      </c>
      <c r="S20" s="62">
        <f t="shared" si="8"/>
        <v>21</v>
      </c>
      <c r="T20" s="62" t="str">
        <f t="shared" si="9"/>
        <v>-</v>
      </c>
      <c r="V20" s="32">
        <f t="shared" si="10"/>
        <v>5</v>
      </c>
      <c r="W20" t="s">
        <v>84</v>
      </c>
      <c r="Z20" s="25">
        <v>1</v>
      </c>
      <c r="AA20" s="54">
        <f t="shared" si="11"/>
        <v>0</v>
      </c>
      <c r="AB20" s="54">
        <f t="shared" si="12"/>
        <v>0</v>
      </c>
      <c r="AC20" s="54">
        <f t="shared" si="13"/>
        <v>2</v>
      </c>
      <c r="AD20" s="54">
        <f t="shared" si="14"/>
        <v>2</v>
      </c>
      <c r="AE20" s="54">
        <f t="shared" si="15"/>
        <v>0</v>
      </c>
      <c r="AG20" s="32">
        <f t="shared" si="16"/>
        <v>5</v>
      </c>
      <c r="AH20" t="s">
        <v>234</v>
      </c>
      <c r="AI20" s="40" t="s">
        <v>199</v>
      </c>
      <c r="AJ20" s="40" t="s">
        <v>237</v>
      </c>
      <c r="AK20" s="25">
        <v>4</v>
      </c>
      <c r="AL20" s="54">
        <f t="shared" si="17"/>
        <v>0</v>
      </c>
      <c r="AM20" s="54">
        <f t="shared" si="18"/>
        <v>0</v>
      </c>
      <c r="AN20" s="54">
        <f t="shared" si="19"/>
        <v>4</v>
      </c>
      <c r="AO20" s="54">
        <f t="shared" si="20"/>
        <v>0</v>
      </c>
      <c r="AP20" s="54">
        <f t="shared" si="21"/>
        <v>0</v>
      </c>
      <c r="AR20" s="32">
        <f t="shared" si="22"/>
        <v>4</v>
      </c>
      <c r="AS20" t="s">
        <v>84</v>
      </c>
      <c r="AT20" s="40" t="s">
        <v>232</v>
      </c>
      <c r="AU20" s="40" t="s">
        <v>231</v>
      </c>
      <c r="AV20" s="25">
        <v>1</v>
      </c>
      <c r="AW20" s="54">
        <f t="shared" si="23"/>
        <v>0</v>
      </c>
      <c r="AX20" s="54">
        <f t="shared" si="24"/>
        <v>0</v>
      </c>
      <c r="AY20" s="54">
        <f t="shared" si="25"/>
        <v>0</v>
      </c>
      <c r="AZ20" s="54">
        <f t="shared" si="26"/>
        <v>2</v>
      </c>
      <c r="BA20" s="54">
        <f t="shared" si="27"/>
        <v>0</v>
      </c>
      <c r="BC20" s="32">
        <f t="shared" si="28"/>
        <v>3</v>
      </c>
      <c r="BG20" s="25">
        <v>1</v>
      </c>
      <c r="BH20" s="54">
        <f t="shared" si="29"/>
        <v>0</v>
      </c>
      <c r="BI20" s="54">
        <f t="shared" si="30"/>
        <v>0</v>
      </c>
      <c r="BJ20" s="54">
        <f t="shared" si="31"/>
        <v>0</v>
      </c>
      <c r="BK20" s="54">
        <f t="shared" si="32"/>
        <v>0</v>
      </c>
      <c r="BL20" s="54">
        <f t="shared" si="33"/>
        <v>0</v>
      </c>
      <c r="BN20" s="25">
        <f t="shared" si="34"/>
        <v>1</v>
      </c>
      <c r="BS20" s="39"/>
      <c r="BT20" s="39"/>
      <c r="BU20" s="39"/>
      <c r="BV20" s="39"/>
      <c r="BW20" s="39"/>
    </row>
    <row r="21" spans="2:75" x14ac:dyDescent="0.25">
      <c r="B21" t="s">
        <v>70</v>
      </c>
      <c r="C21" s="62">
        <f t="shared" si="0"/>
        <v>4</v>
      </c>
      <c r="D21" s="62">
        <f t="shared" si="1"/>
        <v>0</v>
      </c>
      <c r="E21" s="62">
        <f t="shared" si="2"/>
        <v>14</v>
      </c>
      <c r="F21" s="62">
        <f t="shared" si="3"/>
        <v>4</v>
      </c>
      <c r="G21" s="62">
        <f t="shared" si="4"/>
        <v>4</v>
      </c>
      <c r="H21" s="32" t="s">
        <v>204</v>
      </c>
      <c r="J21" s="17" t="s">
        <v>217</v>
      </c>
      <c r="K21" s="32" t="s">
        <v>198</v>
      </c>
      <c r="O21" s="25">
        <v>41</v>
      </c>
      <c r="P21" s="62">
        <f t="shared" si="5"/>
        <v>41</v>
      </c>
      <c r="Q21" s="62" t="str">
        <f t="shared" si="6"/>
        <v>-</v>
      </c>
      <c r="R21" s="62" t="str">
        <f t="shared" si="7"/>
        <v>-</v>
      </c>
      <c r="S21" s="62" t="str">
        <f t="shared" si="8"/>
        <v>-</v>
      </c>
      <c r="T21" s="62" t="str">
        <f t="shared" si="9"/>
        <v>-</v>
      </c>
      <c r="V21" s="32">
        <f t="shared" si="10"/>
        <v>5</v>
      </c>
      <c r="W21" t="s">
        <v>220</v>
      </c>
      <c r="Z21" s="25">
        <v>1</v>
      </c>
      <c r="AA21" s="54">
        <f t="shared" si="11"/>
        <v>0</v>
      </c>
      <c r="AB21" s="54">
        <f t="shared" si="12"/>
        <v>0</v>
      </c>
      <c r="AC21" s="54">
        <f t="shared" si="13"/>
        <v>0</v>
      </c>
      <c r="AD21" s="54">
        <f t="shared" si="14"/>
        <v>0</v>
      </c>
      <c r="AE21" s="54">
        <f t="shared" si="15"/>
        <v>3</v>
      </c>
      <c r="AG21" s="32">
        <f t="shared" si="16"/>
        <v>5</v>
      </c>
      <c r="AH21" t="s">
        <v>234</v>
      </c>
      <c r="AI21" s="40" t="s">
        <v>83</v>
      </c>
      <c r="AJ21" s="40" t="s">
        <v>236</v>
      </c>
      <c r="AK21" s="25">
        <v>4</v>
      </c>
      <c r="AL21" s="54">
        <f t="shared" si="17"/>
        <v>0</v>
      </c>
      <c r="AM21" s="54">
        <f t="shared" si="18"/>
        <v>0</v>
      </c>
      <c r="AN21" s="54">
        <f t="shared" si="19"/>
        <v>8</v>
      </c>
      <c r="AO21" s="54">
        <f t="shared" si="20"/>
        <v>4</v>
      </c>
      <c r="AP21" s="54">
        <f t="shared" si="21"/>
        <v>0</v>
      </c>
      <c r="AR21" s="32">
        <f t="shared" si="22"/>
        <v>4</v>
      </c>
      <c r="AS21" t="s">
        <v>84</v>
      </c>
      <c r="AT21" s="40" t="s">
        <v>233</v>
      </c>
      <c r="AU21" s="40" t="s">
        <v>225</v>
      </c>
      <c r="AV21" s="25">
        <v>1</v>
      </c>
      <c r="AW21" s="54">
        <f t="shared" si="23"/>
        <v>0</v>
      </c>
      <c r="AX21" s="54">
        <f t="shared" si="24"/>
        <v>0</v>
      </c>
      <c r="AY21" s="54">
        <f t="shared" si="25"/>
        <v>2</v>
      </c>
      <c r="AZ21" s="54">
        <f t="shared" si="26"/>
        <v>0</v>
      </c>
      <c r="BA21" s="54">
        <f t="shared" si="27"/>
        <v>0</v>
      </c>
      <c r="BC21" s="32">
        <f t="shared" si="28"/>
        <v>3</v>
      </c>
      <c r="BG21" s="25">
        <v>1</v>
      </c>
      <c r="BH21" s="54">
        <f t="shared" si="29"/>
        <v>0</v>
      </c>
      <c r="BI21" s="54">
        <f t="shared" si="30"/>
        <v>0</v>
      </c>
      <c r="BJ21" s="54">
        <f t="shared" si="31"/>
        <v>0</v>
      </c>
      <c r="BK21" s="54">
        <f t="shared" si="32"/>
        <v>0</v>
      </c>
      <c r="BL21" s="54">
        <f t="shared" si="33"/>
        <v>0</v>
      </c>
      <c r="BN21" s="25">
        <f t="shared" si="34"/>
        <v>1</v>
      </c>
      <c r="BS21" s="39"/>
      <c r="BT21" s="39"/>
      <c r="BU21" s="39"/>
      <c r="BV21" s="39"/>
      <c r="BW21" s="39"/>
    </row>
    <row r="22" spans="2:75" x14ac:dyDescent="0.25">
      <c r="B22" s="17" t="s">
        <v>36</v>
      </c>
      <c r="C22" s="62">
        <f t="shared" si="0"/>
        <v>1</v>
      </c>
      <c r="D22" s="62">
        <f t="shared" si="1"/>
        <v>0</v>
      </c>
      <c r="E22" s="62">
        <f t="shared" si="2"/>
        <v>2</v>
      </c>
      <c r="F22" s="62">
        <f t="shared" si="3"/>
        <v>0</v>
      </c>
      <c r="G22" s="62">
        <f t="shared" si="4"/>
        <v>0</v>
      </c>
      <c r="H22" s="32" t="s">
        <v>204</v>
      </c>
      <c r="J22" s="17" t="s">
        <v>217</v>
      </c>
      <c r="K22" s="32" t="s">
        <v>197</v>
      </c>
      <c r="O22" s="25">
        <v>0</v>
      </c>
      <c r="P22" s="62" t="str">
        <f t="shared" si="5"/>
        <v>-</v>
      </c>
      <c r="Q22" s="62">
        <f t="shared" si="6"/>
        <v>0</v>
      </c>
      <c r="R22" s="62" t="str">
        <f t="shared" si="7"/>
        <v>-</v>
      </c>
      <c r="S22" s="62" t="str">
        <f t="shared" si="8"/>
        <v>-</v>
      </c>
      <c r="T22" s="62" t="str">
        <f t="shared" si="9"/>
        <v>-</v>
      </c>
      <c r="V22" s="32">
        <f t="shared" si="10"/>
        <v>6</v>
      </c>
      <c r="Z22" s="25">
        <v>1</v>
      </c>
      <c r="AA22" s="54">
        <f t="shared" si="11"/>
        <v>0</v>
      </c>
      <c r="AB22" s="54">
        <f t="shared" si="12"/>
        <v>0</v>
      </c>
      <c r="AC22" s="54">
        <f t="shared" si="13"/>
        <v>0</v>
      </c>
      <c r="AD22" s="54">
        <f t="shared" si="14"/>
        <v>0</v>
      </c>
      <c r="AE22" s="54">
        <f t="shared" si="15"/>
        <v>0</v>
      </c>
      <c r="AG22" s="32">
        <f t="shared" si="16"/>
        <v>5</v>
      </c>
      <c r="AH22" t="s">
        <v>66</v>
      </c>
      <c r="AI22" s="40" t="s">
        <v>317</v>
      </c>
      <c r="AK22" s="25">
        <v>4</v>
      </c>
      <c r="AL22" s="54">
        <f t="shared" si="17"/>
        <v>0</v>
      </c>
      <c r="AM22" s="54">
        <f t="shared" si="18"/>
        <v>0</v>
      </c>
      <c r="AN22" s="54">
        <f t="shared" si="19"/>
        <v>0</v>
      </c>
      <c r="AO22" s="54">
        <f t="shared" si="20"/>
        <v>0</v>
      </c>
      <c r="AP22" s="54">
        <f t="shared" si="21"/>
        <v>4</v>
      </c>
      <c r="AR22" s="32">
        <f t="shared" si="22"/>
        <v>4</v>
      </c>
      <c r="AV22" s="25">
        <v>1</v>
      </c>
      <c r="AW22" s="54">
        <f t="shared" si="23"/>
        <v>0</v>
      </c>
      <c r="AX22" s="54">
        <f t="shared" si="24"/>
        <v>0</v>
      </c>
      <c r="AY22" s="54">
        <f t="shared" si="25"/>
        <v>0</v>
      </c>
      <c r="AZ22" s="54">
        <f t="shared" si="26"/>
        <v>0</v>
      </c>
      <c r="BA22" s="54">
        <f t="shared" si="27"/>
        <v>0</v>
      </c>
      <c r="BC22" s="32">
        <f t="shared" si="28"/>
        <v>3</v>
      </c>
      <c r="BG22" s="25">
        <v>1</v>
      </c>
      <c r="BH22" s="54">
        <f t="shared" si="29"/>
        <v>0</v>
      </c>
      <c r="BI22" s="54">
        <f t="shared" si="30"/>
        <v>0</v>
      </c>
      <c r="BJ22" s="54">
        <f t="shared" si="31"/>
        <v>0</v>
      </c>
      <c r="BK22" s="54">
        <f t="shared" si="32"/>
        <v>0</v>
      </c>
      <c r="BL22" s="54">
        <f t="shared" si="33"/>
        <v>0</v>
      </c>
      <c r="BN22" s="25">
        <f t="shared" si="34"/>
        <v>1</v>
      </c>
      <c r="BS22" s="39"/>
      <c r="BT22" s="39"/>
      <c r="BU22" s="39"/>
      <c r="BV22" s="39"/>
      <c r="BW22" s="39"/>
    </row>
    <row r="23" spans="2:75" x14ac:dyDescent="0.25">
      <c r="B23" s="17" t="s">
        <v>107</v>
      </c>
      <c r="C23" s="62">
        <f t="shared" si="0"/>
        <v>1</v>
      </c>
      <c r="D23" s="62">
        <f t="shared" si="1"/>
        <v>0</v>
      </c>
      <c r="E23" s="62">
        <f t="shared" si="2"/>
        <v>0</v>
      </c>
      <c r="F23" s="62">
        <f t="shared" si="3"/>
        <v>0</v>
      </c>
      <c r="G23" s="62">
        <f t="shared" si="4"/>
        <v>0</v>
      </c>
      <c r="H23" s="32" t="s">
        <v>204</v>
      </c>
      <c r="J23" s="17" t="s">
        <v>217</v>
      </c>
      <c r="K23" s="32" t="s">
        <v>199</v>
      </c>
      <c r="O23" s="25">
        <v>38</v>
      </c>
      <c r="P23" s="62" t="str">
        <f t="shared" si="5"/>
        <v>-</v>
      </c>
      <c r="Q23" s="62" t="str">
        <f t="shared" si="6"/>
        <v>-</v>
      </c>
      <c r="R23" s="62">
        <f t="shared" si="7"/>
        <v>38</v>
      </c>
      <c r="S23" s="62" t="str">
        <f t="shared" si="8"/>
        <v>-</v>
      </c>
      <c r="T23" s="62" t="str">
        <f t="shared" si="9"/>
        <v>-</v>
      </c>
      <c r="V23" s="32">
        <f t="shared" si="10"/>
        <v>6</v>
      </c>
      <c r="Z23" s="25">
        <v>1</v>
      </c>
      <c r="AA23" s="54">
        <f t="shared" si="11"/>
        <v>0</v>
      </c>
      <c r="AB23" s="54">
        <f t="shared" si="12"/>
        <v>0</v>
      </c>
      <c r="AC23" s="54">
        <f t="shared" si="13"/>
        <v>0</v>
      </c>
      <c r="AD23" s="54">
        <f t="shared" si="14"/>
        <v>0</v>
      </c>
      <c r="AE23" s="54">
        <f t="shared" si="15"/>
        <v>0</v>
      </c>
      <c r="AG23" s="32">
        <f t="shared" si="16"/>
        <v>5</v>
      </c>
      <c r="AH23" t="s">
        <v>53</v>
      </c>
      <c r="AI23" s="40" t="s">
        <v>198</v>
      </c>
      <c r="AJ23" s="40" t="s">
        <v>44</v>
      </c>
      <c r="AK23" s="25">
        <v>1</v>
      </c>
      <c r="AL23" s="54">
        <f t="shared" si="17"/>
        <v>1</v>
      </c>
      <c r="AM23" s="54">
        <f t="shared" si="18"/>
        <v>0</v>
      </c>
      <c r="AN23" s="54">
        <f t="shared" si="19"/>
        <v>0</v>
      </c>
      <c r="AO23" s="54">
        <f t="shared" si="20"/>
        <v>0</v>
      </c>
      <c r="AP23" s="54">
        <f t="shared" si="21"/>
        <v>0</v>
      </c>
      <c r="AR23" s="32">
        <f t="shared" si="22"/>
        <v>4</v>
      </c>
      <c r="AV23" s="25">
        <v>1</v>
      </c>
      <c r="AW23" s="54">
        <f t="shared" si="23"/>
        <v>0</v>
      </c>
      <c r="AX23" s="54">
        <f t="shared" si="24"/>
        <v>0</v>
      </c>
      <c r="AY23" s="54">
        <f t="shared" si="25"/>
        <v>0</v>
      </c>
      <c r="AZ23" s="54">
        <f t="shared" si="26"/>
        <v>0</v>
      </c>
      <c r="BA23" s="54">
        <f t="shared" si="27"/>
        <v>0</v>
      </c>
      <c r="BC23" s="32">
        <f t="shared" si="28"/>
        <v>3</v>
      </c>
      <c r="BG23" s="25">
        <v>1</v>
      </c>
      <c r="BH23" s="54">
        <f t="shared" si="29"/>
        <v>0</v>
      </c>
      <c r="BI23" s="54">
        <f t="shared" si="30"/>
        <v>0</v>
      </c>
      <c r="BJ23" s="54">
        <f t="shared" si="31"/>
        <v>0</v>
      </c>
      <c r="BK23" s="54">
        <f t="shared" si="32"/>
        <v>0</v>
      </c>
      <c r="BL23" s="54">
        <f t="shared" si="33"/>
        <v>0</v>
      </c>
      <c r="BN23" s="25">
        <f t="shared" si="34"/>
        <v>1</v>
      </c>
      <c r="BS23" s="39"/>
      <c r="BT23" s="39"/>
      <c r="BU23" s="39"/>
      <c r="BV23" s="39"/>
      <c r="BW23" s="39"/>
    </row>
    <row r="24" spans="2:75" x14ac:dyDescent="0.25">
      <c r="B24" t="s">
        <v>127</v>
      </c>
      <c r="C24" s="62">
        <f t="shared" si="0"/>
        <v>5</v>
      </c>
      <c r="D24" s="62">
        <f t="shared" si="1"/>
        <v>0</v>
      </c>
      <c r="E24" s="62">
        <f t="shared" si="2"/>
        <v>12</v>
      </c>
      <c r="F24" s="62">
        <f t="shared" si="3"/>
        <v>3</v>
      </c>
      <c r="G24" s="62">
        <f t="shared" si="4"/>
        <v>0</v>
      </c>
      <c r="H24" s="32" t="s">
        <v>203</v>
      </c>
      <c r="J24" s="17" t="s">
        <v>217</v>
      </c>
      <c r="K24" s="32" t="s">
        <v>200</v>
      </c>
      <c r="O24" s="25">
        <v>21</v>
      </c>
      <c r="P24" s="62" t="str">
        <f t="shared" si="5"/>
        <v>-</v>
      </c>
      <c r="Q24" s="62" t="str">
        <f t="shared" si="6"/>
        <v>-</v>
      </c>
      <c r="R24" s="62" t="str">
        <f t="shared" si="7"/>
        <v>-</v>
      </c>
      <c r="S24" s="62">
        <f t="shared" si="8"/>
        <v>21</v>
      </c>
      <c r="T24" s="62" t="str">
        <f t="shared" si="9"/>
        <v>-</v>
      </c>
      <c r="V24" s="32">
        <f t="shared" si="10"/>
        <v>6</v>
      </c>
      <c r="Z24" s="25">
        <v>1</v>
      </c>
      <c r="AA24" s="54">
        <f t="shared" si="11"/>
        <v>0</v>
      </c>
      <c r="AB24" s="54">
        <f t="shared" si="12"/>
        <v>0</v>
      </c>
      <c r="AC24" s="54">
        <f t="shared" si="13"/>
        <v>0</v>
      </c>
      <c r="AD24" s="54">
        <f t="shared" si="14"/>
        <v>0</v>
      </c>
      <c r="AE24" s="54">
        <f t="shared" si="15"/>
        <v>0</v>
      </c>
      <c r="AG24" s="32">
        <f t="shared" si="16"/>
        <v>5</v>
      </c>
      <c r="AH24" t="s">
        <v>53</v>
      </c>
      <c r="AI24" s="40" t="s">
        <v>199</v>
      </c>
      <c r="AJ24" s="40" t="s">
        <v>240</v>
      </c>
      <c r="AK24" s="25">
        <v>1</v>
      </c>
      <c r="AL24" s="54">
        <f t="shared" si="17"/>
        <v>0</v>
      </c>
      <c r="AM24" s="54">
        <f t="shared" si="18"/>
        <v>0</v>
      </c>
      <c r="AN24" s="54">
        <f t="shared" si="19"/>
        <v>1</v>
      </c>
      <c r="AO24" s="54">
        <f t="shared" si="20"/>
        <v>0</v>
      </c>
      <c r="AP24" s="54">
        <f t="shared" si="21"/>
        <v>0</v>
      </c>
      <c r="AR24" s="32">
        <f t="shared" si="22"/>
        <v>4</v>
      </c>
      <c r="AV24" s="25">
        <v>1</v>
      </c>
      <c r="AW24" s="54">
        <f t="shared" si="23"/>
        <v>0</v>
      </c>
      <c r="AX24" s="54">
        <f t="shared" si="24"/>
        <v>0</v>
      </c>
      <c r="AY24" s="54">
        <f t="shared" si="25"/>
        <v>0</v>
      </c>
      <c r="AZ24" s="54">
        <f t="shared" si="26"/>
        <v>0</v>
      </c>
      <c r="BA24" s="54">
        <f t="shared" si="27"/>
        <v>0</v>
      </c>
      <c r="BC24" s="32">
        <f t="shared" si="28"/>
        <v>3</v>
      </c>
      <c r="BG24" s="25">
        <v>1</v>
      </c>
      <c r="BH24" s="54">
        <f t="shared" si="29"/>
        <v>0</v>
      </c>
      <c r="BI24" s="54">
        <f t="shared" si="30"/>
        <v>0</v>
      </c>
      <c r="BJ24" s="54">
        <f t="shared" si="31"/>
        <v>0</v>
      </c>
      <c r="BK24" s="54">
        <f t="shared" si="32"/>
        <v>0</v>
      </c>
      <c r="BL24" s="54">
        <f t="shared" si="33"/>
        <v>0</v>
      </c>
      <c r="BN24" s="25">
        <f t="shared" si="34"/>
        <v>1</v>
      </c>
      <c r="BS24" s="39"/>
      <c r="BT24" s="39"/>
      <c r="BU24" s="39"/>
      <c r="BV24" s="39"/>
      <c r="BW24" s="39"/>
    </row>
    <row r="25" spans="2:75" x14ac:dyDescent="0.25">
      <c r="B25" t="s">
        <v>132</v>
      </c>
      <c r="C25" s="62">
        <f t="shared" si="0"/>
        <v>2</v>
      </c>
      <c r="D25" s="62">
        <f t="shared" si="1"/>
        <v>1</v>
      </c>
      <c r="E25" s="62">
        <f t="shared" si="2"/>
        <v>0</v>
      </c>
      <c r="F25" s="62">
        <f t="shared" si="3"/>
        <v>0</v>
      </c>
      <c r="G25" s="62">
        <f t="shared" si="4"/>
        <v>0</v>
      </c>
      <c r="H25" s="32" t="s">
        <v>203</v>
      </c>
      <c r="J25" s="17" t="s">
        <v>215</v>
      </c>
      <c r="K25" s="32" t="s">
        <v>198</v>
      </c>
      <c r="O25" s="25">
        <v>41</v>
      </c>
      <c r="P25" s="62">
        <f t="shared" si="5"/>
        <v>41</v>
      </c>
      <c r="Q25" s="62" t="str">
        <f t="shared" si="6"/>
        <v>-</v>
      </c>
      <c r="R25" s="62" t="str">
        <f t="shared" si="7"/>
        <v>-</v>
      </c>
      <c r="S25" s="62" t="str">
        <f t="shared" si="8"/>
        <v>-</v>
      </c>
      <c r="T25" s="62" t="str">
        <f t="shared" si="9"/>
        <v>-</v>
      </c>
      <c r="V25" s="32">
        <f t="shared" si="10"/>
        <v>6</v>
      </c>
      <c r="Z25" s="25">
        <v>1</v>
      </c>
      <c r="AA25" s="54">
        <f t="shared" si="11"/>
        <v>0</v>
      </c>
      <c r="AB25" s="54">
        <f t="shared" si="12"/>
        <v>0</v>
      </c>
      <c r="AC25" s="54">
        <f t="shared" si="13"/>
        <v>0</v>
      </c>
      <c r="AD25" s="54">
        <f t="shared" si="14"/>
        <v>0</v>
      </c>
      <c r="AE25" s="54">
        <f t="shared" si="15"/>
        <v>0</v>
      </c>
      <c r="AG25" s="32">
        <f t="shared" si="16"/>
        <v>5</v>
      </c>
      <c r="AH25" t="s">
        <v>62</v>
      </c>
      <c r="AI25" s="40" t="s">
        <v>199</v>
      </c>
      <c r="AK25" s="25">
        <v>2</v>
      </c>
      <c r="AL25" s="54">
        <f t="shared" si="17"/>
        <v>0</v>
      </c>
      <c r="AM25" s="54">
        <f t="shared" si="18"/>
        <v>0</v>
      </c>
      <c r="AN25" s="54">
        <f t="shared" si="19"/>
        <v>2</v>
      </c>
      <c r="AO25" s="54">
        <f t="shared" si="20"/>
        <v>0</v>
      </c>
      <c r="AP25" s="54">
        <f t="shared" si="21"/>
        <v>0</v>
      </c>
      <c r="AR25" s="32">
        <f t="shared" si="22"/>
        <v>4</v>
      </c>
      <c r="AV25" s="25">
        <v>1</v>
      </c>
      <c r="AW25" s="54">
        <f t="shared" si="23"/>
        <v>0</v>
      </c>
      <c r="AX25" s="54">
        <f t="shared" si="24"/>
        <v>0</v>
      </c>
      <c r="AY25" s="54">
        <f t="shared" si="25"/>
        <v>0</v>
      </c>
      <c r="AZ25" s="54">
        <f t="shared" si="26"/>
        <v>0</v>
      </c>
      <c r="BA25" s="54">
        <f t="shared" si="27"/>
        <v>0</v>
      </c>
      <c r="BC25" s="32">
        <f t="shared" si="28"/>
        <v>3</v>
      </c>
      <c r="BG25" s="25">
        <v>1</v>
      </c>
      <c r="BH25" s="54">
        <f t="shared" si="29"/>
        <v>0</v>
      </c>
      <c r="BI25" s="54">
        <f t="shared" si="30"/>
        <v>0</v>
      </c>
      <c r="BJ25" s="54">
        <f t="shared" si="31"/>
        <v>0</v>
      </c>
      <c r="BK25" s="54">
        <f t="shared" si="32"/>
        <v>0</v>
      </c>
      <c r="BL25" s="54">
        <f t="shared" si="33"/>
        <v>0</v>
      </c>
      <c r="BN25" s="25">
        <f t="shared" si="34"/>
        <v>1</v>
      </c>
      <c r="BS25" s="39"/>
      <c r="BT25" s="39"/>
      <c r="BU25" s="39"/>
      <c r="BV25" s="39"/>
      <c r="BW25" s="39"/>
    </row>
    <row r="26" spans="2:75" x14ac:dyDescent="0.25">
      <c r="B26" t="s">
        <v>183</v>
      </c>
      <c r="C26" s="62">
        <f t="shared" si="0"/>
        <v>0</v>
      </c>
      <c r="D26" s="62">
        <f t="shared" si="1"/>
        <v>0</v>
      </c>
      <c r="E26" s="62">
        <f t="shared" si="2"/>
        <v>0</v>
      </c>
      <c r="F26" s="62">
        <f t="shared" si="3"/>
        <v>0</v>
      </c>
      <c r="G26" s="62">
        <f t="shared" si="4"/>
        <v>0</v>
      </c>
      <c r="H26" s="32" t="s">
        <v>203</v>
      </c>
      <c r="J26" s="17" t="s">
        <v>215</v>
      </c>
      <c r="K26" s="32" t="s">
        <v>197</v>
      </c>
      <c r="O26" s="25">
        <v>3</v>
      </c>
      <c r="P26" s="62" t="str">
        <f t="shared" si="5"/>
        <v>-</v>
      </c>
      <c r="Q26" s="62">
        <f t="shared" si="6"/>
        <v>3</v>
      </c>
      <c r="R26" s="62" t="str">
        <f t="shared" si="7"/>
        <v>-</v>
      </c>
      <c r="S26" s="62" t="str">
        <f t="shared" si="8"/>
        <v>-</v>
      </c>
      <c r="T26" s="62" t="str">
        <f t="shared" si="9"/>
        <v>-</v>
      </c>
      <c r="V26" s="32">
        <f t="shared" si="10"/>
        <v>6</v>
      </c>
      <c r="Z26" s="25">
        <v>1</v>
      </c>
      <c r="AA26" s="54">
        <f t="shared" si="11"/>
        <v>0</v>
      </c>
      <c r="AB26" s="54">
        <f t="shared" si="12"/>
        <v>0</v>
      </c>
      <c r="AC26" s="54">
        <f t="shared" si="13"/>
        <v>0</v>
      </c>
      <c r="AD26" s="54">
        <f t="shared" si="14"/>
        <v>0</v>
      </c>
      <c r="AE26" s="54">
        <f t="shared" si="15"/>
        <v>0</v>
      </c>
      <c r="AG26" s="32">
        <f t="shared" si="16"/>
        <v>5</v>
      </c>
      <c r="AH26" t="s">
        <v>65</v>
      </c>
      <c r="AI26" s="40" t="s">
        <v>198</v>
      </c>
      <c r="AK26" s="25">
        <v>1</v>
      </c>
      <c r="AL26" s="54">
        <f t="shared" si="17"/>
        <v>1</v>
      </c>
      <c r="AM26" s="54">
        <f t="shared" si="18"/>
        <v>0</v>
      </c>
      <c r="AN26" s="54">
        <f t="shared" si="19"/>
        <v>0</v>
      </c>
      <c r="AO26" s="54">
        <f t="shared" si="20"/>
        <v>0</v>
      </c>
      <c r="AP26" s="54">
        <f t="shared" si="21"/>
        <v>0</v>
      </c>
      <c r="AR26" s="32">
        <f t="shared" si="22"/>
        <v>4</v>
      </c>
      <c r="AV26" s="25">
        <v>1</v>
      </c>
      <c r="AW26" s="54">
        <f t="shared" si="23"/>
        <v>0</v>
      </c>
      <c r="AX26" s="54">
        <f t="shared" si="24"/>
        <v>0</v>
      </c>
      <c r="AY26" s="54">
        <f t="shared" si="25"/>
        <v>0</v>
      </c>
      <c r="AZ26" s="54">
        <f t="shared" si="26"/>
        <v>0</v>
      </c>
      <c r="BA26" s="54">
        <f t="shared" si="27"/>
        <v>0</v>
      </c>
      <c r="BC26" s="32">
        <f t="shared" si="28"/>
        <v>3</v>
      </c>
      <c r="BG26" s="25">
        <v>1</v>
      </c>
      <c r="BH26" s="54">
        <f t="shared" si="29"/>
        <v>0</v>
      </c>
      <c r="BI26" s="54">
        <f t="shared" si="30"/>
        <v>0</v>
      </c>
      <c r="BJ26" s="54">
        <f t="shared" si="31"/>
        <v>0</v>
      </c>
      <c r="BK26" s="54">
        <f t="shared" si="32"/>
        <v>0</v>
      </c>
      <c r="BL26" s="54">
        <f t="shared" si="33"/>
        <v>0</v>
      </c>
      <c r="BN26" s="25">
        <f t="shared" si="34"/>
        <v>1</v>
      </c>
      <c r="BS26" s="39"/>
      <c r="BT26" s="39"/>
      <c r="BU26" s="39"/>
      <c r="BV26" s="39"/>
      <c r="BW26" s="39"/>
    </row>
    <row r="27" spans="2:75" x14ac:dyDescent="0.25">
      <c r="B27" s="17" t="s">
        <v>35</v>
      </c>
      <c r="C27" s="62">
        <f t="shared" si="0"/>
        <v>9</v>
      </c>
      <c r="D27" s="62">
        <f t="shared" si="1"/>
        <v>3</v>
      </c>
      <c r="E27" s="62">
        <f t="shared" si="2"/>
        <v>14</v>
      </c>
      <c r="F27" s="62">
        <f t="shared" si="3"/>
        <v>12</v>
      </c>
      <c r="G27" s="62">
        <f t="shared" si="4"/>
        <v>0</v>
      </c>
      <c r="H27" s="32" t="s">
        <v>204</v>
      </c>
      <c r="J27" s="17" t="s">
        <v>215</v>
      </c>
      <c r="K27" s="32" t="s">
        <v>199</v>
      </c>
      <c r="O27" s="25">
        <v>38</v>
      </c>
      <c r="P27" s="62" t="str">
        <f t="shared" si="5"/>
        <v>-</v>
      </c>
      <c r="Q27" s="62" t="str">
        <f t="shared" si="6"/>
        <v>-</v>
      </c>
      <c r="R27" s="62">
        <f t="shared" si="7"/>
        <v>38</v>
      </c>
      <c r="S27" s="62" t="str">
        <f t="shared" si="8"/>
        <v>-</v>
      </c>
      <c r="T27" s="62" t="str">
        <f t="shared" si="9"/>
        <v>-</v>
      </c>
      <c r="V27" s="32">
        <f t="shared" si="10"/>
        <v>6</v>
      </c>
      <c r="Z27" s="25">
        <v>1</v>
      </c>
      <c r="AA27" s="54">
        <f t="shared" si="11"/>
        <v>0</v>
      </c>
      <c r="AB27" s="54">
        <f t="shared" si="12"/>
        <v>0</v>
      </c>
      <c r="AC27" s="54">
        <f t="shared" si="13"/>
        <v>0</v>
      </c>
      <c r="AD27" s="54">
        <f t="shared" si="14"/>
        <v>0</v>
      </c>
      <c r="AE27" s="54">
        <f t="shared" si="15"/>
        <v>0</v>
      </c>
      <c r="AG27" s="32">
        <f t="shared" si="16"/>
        <v>5</v>
      </c>
      <c r="AH27" t="s">
        <v>220</v>
      </c>
      <c r="AI27" s="40" t="s">
        <v>317</v>
      </c>
      <c r="AJ27" s="40" t="s">
        <v>221</v>
      </c>
      <c r="AK27" s="25">
        <v>2</v>
      </c>
      <c r="AL27" s="54">
        <f t="shared" si="17"/>
        <v>0</v>
      </c>
      <c r="AM27" s="54">
        <f t="shared" si="18"/>
        <v>0</v>
      </c>
      <c r="AN27" s="54">
        <f t="shared" si="19"/>
        <v>0</v>
      </c>
      <c r="AO27" s="54">
        <f t="shared" si="20"/>
        <v>0</v>
      </c>
      <c r="AP27" s="54">
        <f t="shared" si="21"/>
        <v>2</v>
      </c>
      <c r="AR27" s="32">
        <f t="shared" si="22"/>
        <v>4</v>
      </c>
      <c r="AV27" s="25">
        <v>1</v>
      </c>
      <c r="AW27" s="54">
        <f t="shared" si="23"/>
        <v>0</v>
      </c>
      <c r="AX27" s="54">
        <f t="shared" si="24"/>
        <v>0</v>
      </c>
      <c r="AY27" s="54">
        <f t="shared" si="25"/>
        <v>0</v>
      </c>
      <c r="AZ27" s="54">
        <f t="shared" si="26"/>
        <v>0</v>
      </c>
      <c r="BA27" s="54">
        <f t="shared" si="27"/>
        <v>0</v>
      </c>
      <c r="BC27" s="32">
        <f t="shared" si="28"/>
        <v>3</v>
      </c>
      <c r="BG27" s="25">
        <v>1</v>
      </c>
      <c r="BH27" s="54">
        <f t="shared" si="29"/>
        <v>0</v>
      </c>
      <c r="BI27" s="54">
        <f t="shared" si="30"/>
        <v>0</v>
      </c>
      <c r="BJ27" s="54">
        <f t="shared" si="31"/>
        <v>0</v>
      </c>
      <c r="BK27" s="54">
        <f t="shared" si="32"/>
        <v>0</v>
      </c>
      <c r="BL27" s="54">
        <f t="shared" si="33"/>
        <v>0</v>
      </c>
      <c r="BN27" s="25">
        <f t="shared" si="34"/>
        <v>1</v>
      </c>
      <c r="BS27" s="39"/>
      <c r="BT27" s="39"/>
      <c r="BU27" s="39"/>
      <c r="BV27" s="39"/>
      <c r="BW27" s="39"/>
    </row>
    <row r="28" spans="2:75" x14ac:dyDescent="0.25">
      <c r="B28" s="17" t="s">
        <v>75</v>
      </c>
      <c r="C28" s="62">
        <f t="shared" si="0"/>
        <v>6</v>
      </c>
      <c r="D28" s="62">
        <f t="shared" si="1"/>
        <v>2</v>
      </c>
      <c r="E28" s="62">
        <f t="shared" si="2"/>
        <v>53</v>
      </c>
      <c r="F28" s="62">
        <f t="shared" si="3"/>
        <v>21</v>
      </c>
      <c r="G28" s="62">
        <f t="shared" si="4"/>
        <v>0</v>
      </c>
      <c r="H28" s="32" t="s">
        <v>204</v>
      </c>
      <c r="J28" s="17" t="s">
        <v>215</v>
      </c>
      <c r="K28" s="32" t="s">
        <v>200</v>
      </c>
      <c r="O28" s="25">
        <v>21</v>
      </c>
      <c r="P28" s="62" t="str">
        <f t="shared" si="5"/>
        <v>-</v>
      </c>
      <c r="Q28" s="62" t="str">
        <f t="shared" si="6"/>
        <v>-</v>
      </c>
      <c r="R28" s="62" t="str">
        <f t="shared" si="7"/>
        <v>-</v>
      </c>
      <c r="S28" s="62">
        <f t="shared" si="8"/>
        <v>21</v>
      </c>
      <c r="T28" s="62" t="str">
        <f t="shared" si="9"/>
        <v>-</v>
      </c>
      <c r="V28" s="32">
        <f t="shared" si="10"/>
        <v>6</v>
      </c>
      <c r="Z28" s="25">
        <v>1</v>
      </c>
      <c r="AA28" s="54">
        <f t="shared" si="11"/>
        <v>0</v>
      </c>
      <c r="AB28" s="54">
        <f t="shared" si="12"/>
        <v>0</v>
      </c>
      <c r="AC28" s="54">
        <f t="shared" si="13"/>
        <v>0</v>
      </c>
      <c r="AD28" s="54">
        <f t="shared" si="14"/>
        <v>0</v>
      </c>
      <c r="AE28" s="54">
        <f t="shared" si="15"/>
        <v>0</v>
      </c>
      <c r="AG28" s="32">
        <f t="shared" si="16"/>
        <v>5</v>
      </c>
      <c r="AH28" t="s">
        <v>220</v>
      </c>
      <c r="AI28" s="40" t="s">
        <v>317</v>
      </c>
      <c r="AJ28" s="40" t="s">
        <v>239</v>
      </c>
      <c r="AK28" s="25">
        <v>1</v>
      </c>
      <c r="AL28" s="54">
        <f t="shared" si="17"/>
        <v>0</v>
      </c>
      <c r="AM28" s="54">
        <f t="shared" si="18"/>
        <v>0</v>
      </c>
      <c r="AN28" s="54">
        <f t="shared" si="19"/>
        <v>0</v>
      </c>
      <c r="AO28" s="54">
        <f t="shared" si="20"/>
        <v>0</v>
      </c>
      <c r="AP28" s="54">
        <f t="shared" si="21"/>
        <v>1</v>
      </c>
      <c r="AR28" s="32">
        <f t="shared" si="22"/>
        <v>4</v>
      </c>
      <c r="AV28" s="25">
        <v>1</v>
      </c>
      <c r="AW28" s="54">
        <f t="shared" si="23"/>
        <v>0</v>
      </c>
      <c r="AX28" s="54">
        <f t="shared" si="24"/>
        <v>0</v>
      </c>
      <c r="AY28" s="54">
        <f t="shared" si="25"/>
        <v>0</v>
      </c>
      <c r="AZ28" s="54">
        <f t="shared" si="26"/>
        <v>0</v>
      </c>
      <c r="BA28" s="54">
        <f t="shared" si="27"/>
        <v>0</v>
      </c>
      <c r="BC28" s="32">
        <f t="shared" si="28"/>
        <v>3</v>
      </c>
      <c r="BG28" s="25">
        <v>1</v>
      </c>
      <c r="BH28" s="54">
        <f t="shared" si="29"/>
        <v>0</v>
      </c>
      <c r="BI28" s="54">
        <f t="shared" si="30"/>
        <v>0</v>
      </c>
      <c r="BJ28" s="54">
        <f t="shared" si="31"/>
        <v>0</v>
      </c>
      <c r="BK28" s="54">
        <f t="shared" si="32"/>
        <v>0</v>
      </c>
      <c r="BL28" s="54">
        <f t="shared" si="33"/>
        <v>0</v>
      </c>
      <c r="BN28" s="25">
        <f t="shared" si="34"/>
        <v>1</v>
      </c>
      <c r="BS28" s="39"/>
      <c r="BT28" s="39"/>
      <c r="BU28" s="39"/>
      <c r="BV28" s="39"/>
      <c r="BW28" s="39"/>
    </row>
    <row r="29" spans="2:75" x14ac:dyDescent="0.25">
      <c r="B29" s="17" t="s">
        <v>172</v>
      </c>
      <c r="C29" s="62">
        <f t="shared" si="0"/>
        <v>3</v>
      </c>
      <c r="D29" s="62">
        <f t="shared" si="1"/>
        <v>0</v>
      </c>
      <c r="E29" s="62">
        <f t="shared" si="2"/>
        <v>17</v>
      </c>
      <c r="F29" s="62">
        <f t="shared" si="3"/>
        <v>16</v>
      </c>
      <c r="G29" s="62">
        <f t="shared" si="4"/>
        <v>0</v>
      </c>
      <c r="H29" s="32" t="s">
        <v>203</v>
      </c>
      <c r="J29" s="17" t="s">
        <v>25</v>
      </c>
      <c r="K29" s="32" t="s">
        <v>62</v>
      </c>
      <c r="L29" s="32" t="s">
        <v>45</v>
      </c>
      <c r="M29" s="40" t="s">
        <v>95</v>
      </c>
      <c r="O29" s="25">
        <v>1</v>
      </c>
      <c r="P29" s="62" t="str">
        <f t="shared" si="5"/>
        <v>-</v>
      </c>
      <c r="Q29" s="62" t="str">
        <f t="shared" si="6"/>
        <v>-</v>
      </c>
      <c r="R29" s="62">
        <f t="shared" si="7"/>
        <v>2</v>
      </c>
      <c r="S29" s="62" t="str">
        <f t="shared" si="8"/>
        <v>-</v>
      </c>
      <c r="T29" s="62" t="str">
        <f t="shared" si="9"/>
        <v>-</v>
      </c>
      <c r="V29" s="32">
        <f t="shared" si="10"/>
        <v>6</v>
      </c>
      <c r="Z29" s="25">
        <v>1</v>
      </c>
      <c r="AA29" s="54">
        <f t="shared" si="11"/>
        <v>0</v>
      </c>
      <c r="AB29" s="54">
        <f t="shared" si="12"/>
        <v>0</v>
      </c>
      <c r="AC29" s="54">
        <f t="shared" si="13"/>
        <v>0</v>
      </c>
      <c r="AD29" s="54">
        <f t="shared" si="14"/>
        <v>0</v>
      </c>
      <c r="AE29" s="54">
        <f t="shared" si="15"/>
        <v>0</v>
      </c>
      <c r="AG29" s="32">
        <f t="shared" si="16"/>
        <v>5</v>
      </c>
      <c r="AK29" s="25">
        <v>2</v>
      </c>
      <c r="AL29" s="54">
        <f t="shared" si="17"/>
        <v>0</v>
      </c>
      <c r="AM29" s="54">
        <f t="shared" si="18"/>
        <v>0</v>
      </c>
      <c r="AN29" s="54">
        <f t="shared" si="19"/>
        <v>0</v>
      </c>
      <c r="AO29" s="54">
        <f t="shared" si="20"/>
        <v>0</v>
      </c>
      <c r="AP29" s="54">
        <f t="shared" si="21"/>
        <v>0</v>
      </c>
      <c r="AR29" s="32">
        <f t="shared" si="22"/>
        <v>4</v>
      </c>
      <c r="AV29" s="25">
        <v>1</v>
      </c>
      <c r="AW29" s="54">
        <f t="shared" si="23"/>
        <v>0</v>
      </c>
      <c r="AX29" s="54">
        <f t="shared" si="24"/>
        <v>0</v>
      </c>
      <c r="AY29" s="54">
        <f t="shared" si="25"/>
        <v>0</v>
      </c>
      <c r="AZ29" s="54">
        <f t="shared" si="26"/>
        <v>0</v>
      </c>
      <c r="BA29" s="54">
        <f t="shared" si="27"/>
        <v>0</v>
      </c>
      <c r="BC29" s="32">
        <f t="shared" si="28"/>
        <v>3</v>
      </c>
      <c r="BG29" s="25">
        <v>1</v>
      </c>
      <c r="BH29" s="54">
        <f t="shared" si="29"/>
        <v>0</v>
      </c>
      <c r="BI29" s="54">
        <f t="shared" si="30"/>
        <v>0</v>
      </c>
      <c r="BJ29" s="54">
        <f t="shared" si="31"/>
        <v>0</v>
      </c>
      <c r="BK29" s="54">
        <f t="shared" si="32"/>
        <v>0</v>
      </c>
      <c r="BL29" s="54">
        <f t="shared" si="33"/>
        <v>0</v>
      </c>
      <c r="BN29" s="25">
        <f t="shared" si="34"/>
        <v>1</v>
      </c>
      <c r="BS29" s="39"/>
      <c r="BT29" s="39"/>
      <c r="BU29" s="39"/>
      <c r="BV29" s="39"/>
      <c r="BW29" s="39"/>
    </row>
    <row r="30" spans="2:75" x14ac:dyDescent="0.25">
      <c r="B30" t="s">
        <v>39</v>
      </c>
      <c r="C30" s="62">
        <f t="shared" si="0"/>
        <v>11</v>
      </c>
      <c r="D30" s="62">
        <f t="shared" si="1"/>
        <v>4</v>
      </c>
      <c r="E30" s="62">
        <f t="shared" si="2"/>
        <v>14</v>
      </c>
      <c r="F30" s="62">
        <f t="shared" si="3"/>
        <v>10</v>
      </c>
      <c r="G30" s="62">
        <f t="shared" si="4"/>
        <v>0</v>
      </c>
      <c r="H30" s="32" t="s">
        <v>203</v>
      </c>
      <c r="J30" s="17" t="s">
        <v>25</v>
      </c>
      <c r="K30" s="32" t="s">
        <v>65</v>
      </c>
      <c r="L30" s="32" t="s">
        <v>44</v>
      </c>
      <c r="M30" s="32" t="s">
        <v>94</v>
      </c>
      <c r="N30" s="32"/>
      <c r="O30" s="25">
        <v>1</v>
      </c>
      <c r="P30" s="62">
        <f t="shared" si="5"/>
        <v>1</v>
      </c>
      <c r="Q30" s="62" t="str">
        <f t="shared" si="6"/>
        <v>-</v>
      </c>
      <c r="R30" s="62" t="str">
        <f t="shared" si="7"/>
        <v>-</v>
      </c>
      <c r="S30" s="62" t="str">
        <f t="shared" si="8"/>
        <v>-</v>
      </c>
      <c r="T30" s="62" t="str">
        <f t="shared" si="9"/>
        <v>-</v>
      </c>
      <c r="V30" s="32">
        <f t="shared" si="10"/>
        <v>6</v>
      </c>
      <c r="Z30" s="25">
        <v>1</v>
      </c>
      <c r="AA30" s="54">
        <f t="shared" si="11"/>
        <v>0</v>
      </c>
      <c r="AB30" s="54">
        <f t="shared" si="12"/>
        <v>0</v>
      </c>
      <c r="AC30" s="54">
        <f t="shared" si="13"/>
        <v>0</v>
      </c>
      <c r="AD30" s="54">
        <f t="shared" si="14"/>
        <v>0</v>
      </c>
      <c r="AE30" s="54">
        <f t="shared" si="15"/>
        <v>0</v>
      </c>
      <c r="AG30" s="32">
        <f t="shared" si="16"/>
        <v>5</v>
      </c>
      <c r="AK30" s="25">
        <v>1</v>
      </c>
      <c r="AL30" s="54">
        <f t="shared" si="17"/>
        <v>0</v>
      </c>
      <c r="AM30" s="54">
        <f t="shared" si="18"/>
        <v>0</v>
      </c>
      <c r="AN30" s="54">
        <f t="shared" si="19"/>
        <v>0</v>
      </c>
      <c r="AO30" s="54">
        <f t="shared" si="20"/>
        <v>0</v>
      </c>
      <c r="AP30" s="54">
        <f t="shared" si="21"/>
        <v>0</v>
      </c>
      <c r="AR30" s="32">
        <f t="shared" si="22"/>
        <v>4</v>
      </c>
      <c r="AV30" s="25">
        <v>1</v>
      </c>
      <c r="AW30" s="54">
        <f t="shared" si="23"/>
        <v>0</v>
      </c>
      <c r="AX30" s="54">
        <f t="shared" si="24"/>
        <v>0</v>
      </c>
      <c r="AY30" s="54">
        <f t="shared" si="25"/>
        <v>0</v>
      </c>
      <c r="AZ30" s="54">
        <f t="shared" si="26"/>
        <v>0</v>
      </c>
      <c r="BA30" s="54">
        <f t="shared" si="27"/>
        <v>0</v>
      </c>
      <c r="BC30" s="32">
        <f t="shared" si="28"/>
        <v>3</v>
      </c>
      <c r="BG30" s="25">
        <v>1</v>
      </c>
      <c r="BH30" s="54">
        <f t="shared" si="29"/>
        <v>0</v>
      </c>
      <c r="BI30" s="54">
        <f t="shared" si="30"/>
        <v>0</v>
      </c>
      <c r="BJ30" s="54">
        <f t="shared" si="31"/>
        <v>0</v>
      </c>
      <c r="BK30" s="54">
        <f t="shared" si="32"/>
        <v>0</v>
      </c>
      <c r="BL30" s="54">
        <f t="shared" si="33"/>
        <v>0</v>
      </c>
      <c r="BN30" s="25">
        <f t="shared" si="34"/>
        <v>1</v>
      </c>
      <c r="BS30" s="39"/>
      <c r="BT30" s="39"/>
      <c r="BU30" s="39"/>
      <c r="BV30" s="39"/>
      <c r="BW30" s="39"/>
    </row>
    <row r="31" spans="2:75" x14ac:dyDescent="0.25">
      <c r="B31" t="s">
        <v>104</v>
      </c>
      <c r="C31" s="62">
        <f t="shared" si="0"/>
        <v>1</v>
      </c>
      <c r="D31" s="62">
        <f t="shared" si="1"/>
        <v>1</v>
      </c>
      <c r="E31" s="62">
        <f t="shared" si="2"/>
        <v>0</v>
      </c>
      <c r="F31" s="62">
        <f t="shared" si="3"/>
        <v>0</v>
      </c>
      <c r="G31" s="62">
        <f t="shared" si="4"/>
        <v>0</v>
      </c>
      <c r="H31" s="32" t="s">
        <v>203</v>
      </c>
      <c r="J31" s="17" t="s">
        <v>105</v>
      </c>
      <c r="K31" s="32" t="s">
        <v>65</v>
      </c>
      <c r="L31" s="32" t="s">
        <v>45</v>
      </c>
      <c r="O31" s="25">
        <v>1</v>
      </c>
      <c r="P31" s="62">
        <f t="shared" si="5"/>
        <v>1</v>
      </c>
      <c r="Q31" s="62" t="str">
        <f t="shared" si="6"/>
        <v>-</v>
      </c>
      <c r="R31" s="62" t="str">
        <f t="shared" si="7"/>
        <v>-</v>
      </c>
      <c r="S31" s="62" t="str">
        <f t="shared" si="8"/>
        <v>-</v>
      </c>
      <c r="T31" s="62" t="str">
        <f t="shared" si="9"/>
        <v>-</v>
      </c>
      <c r="V31" s="32">
        <f t="shared" si="10"/>
        <v>6</v>
      </c>
      <c r="Z31" s="25">
        <v>1</v>
      </c>
      <c r="AA31" s="54">
        <f t="shared" si="11"/>
        <v>0</v>
      </c>
      <c r="AB31" s="54">
        <f t="shared" si="12"/>
        <v>0</v>
      </c>
      <c r="AC31" s="54">
        <f t="shared" si="13"/>
        <v>0</v>
      </c>
      <c r="AD31" s="54">
        <f t="shared" si="14"/>
        <v>0</v>
      </c>
      <c r="AE31" s="54">
        <f t="shared" si="15"/>
        <v>0</v>
      </c>
      <c r="AG31" s="32">
        <f t="shared" si="16"/>
        <v>5</v>
      </c>
      <c r="AK31" s="25">
        <v>1</v>
      </c>
      <c r="AL31" s="54">
        <f t="shared" si="17"/>
        <v>0</v>
      </c>
      <c r="AM31" s="54">
        <f t="shared" si="18"/>
        <v>0</v>
      </c>
      <c r="AN31" s="54">
        <f t="shared" si="19"/>
        <v>0</v>
      </c>
      <c r="AO31" s="54">
        <f t="shared" si="20"/>
        <v>0</v>
      </c>
      <c r="AP31" s="54">
        <f t="shared" si="21"/>
        <v>0</v>
      </c>
      <c r="AR31" s="32">
        <f t="shared" si="22"/>
        <v>4</v>
      </c>
      <c r="AV31" s="25">
        <v>1</v>
      </c>
      <c r="AW31" s="54">
        <f t="shared" si="23"/>
        <v>0</v>
      </c>
      <c r="AX31" s="54">
        <f t="shared" si="24"/>
        <v>0</v>
      </c>
      <c r="AY31" s="54">
        <f t="shared" si="25"/>
        <v>0</v>
      </c>
      <c r="AZ31" s="54">
        <f t="shared" si="26"/>
        <v>0</v>
      </c>
      <c r="BA31" s="54">
        <f t="shared" si="27"/>
        <v>0</v>
      </c>
      <c r="BC31" s="32">
        <f t="shared" si="28"/>
        <v>3</v>
      </c>
      <c r="BG31" s="25">
        <v>1</v>
      </c>
      <c r="BH31" s="54">
        <f t="shared" si="29"/>
        <v>0</v>
      </c>
      <c r="BI31" s="54">
        <f t="shared" si="30"/>
        <v>0</v>
      </c>
      <c r="BJ31" s="54">
        <f t="shared" si="31"/>
        <v>0</v>
      </c>
      <c r="BK31" s="54">
        <f t="shared" si="32"/>
        <v>0</v>
      </c>
      <c r="BL31" s="54">
        <f t="shared" si="33"/>
        <v>0</v>
      </c>
      <c r="BN31" s="25">
        <f t="shared" si="34"/>
        <v>1</v>
      </c>
      <c r="BS31" s="39"/>
      <c r="BT31" s="39"/>
      <c r="BU31" s="39"/>
      <c r="BV31" s="39"/>
      <c r="BW31" s="39"/>
    </row>
    <row r="32" spans="2:75" x14ac:dyDescent="0.25">
      <c r="B32" t="s">
        <v>181</v>
      </c>
      <c r="C32" s="62">
        <f t="shared" si="0"/>
        <v>3</v>
      </c>
      <c r="D32" s="62">
        <f t="shared" si="1"/>
        <v>2</v>
      </c>
      <c r="E32" s="62">
        <f t="shared" si="2"/>
        <v>0</v>
      </c>
      <c r="F32" s="62">
        <f t="shared" si="3"/>
        <v>0</v>
      </c>
      <c r="G32" s="62">
        <f t="shared" si="4"/>
        <v>0</v>
      </c>
      <c r="H32" s="32" t="s">
        <v>203</v>
      </c>
      <c r="J32" s="17" t="s">
        <v>7</v>
      </c>
      <c r="K32" s="32" t="s">
        <v>198</v>
      </c>
      <c r="O32" s="25">
        <v>10</v>
      </c>
      <c r="P32" s="62">
        <f t="shared" si="5"/>
        <v>10</v>
      </c>
      <c r="Q32" s="62" t="str">
        <f t="shared" si="6"/>
        <v>-</v>
      </c>
      <c r="R32" s="62" t="str">
        <f t="shared" si="7"/>
        <v>-</v>
      </c>
      <c r="S32" s="62" t="str">
        <f t="shared" si="8"/>
        <v>-</v>
      </c>
      <c r="T32" s="62" t="str">
        <f t="shared" si="9"/>
        <v>-</v>
      </c>
      <c r="V32" s="32">
        <f t="shared" si="10"/>
        <v>6</v>
      </c>
      <c r="Z32" s="25">
        <v>1</v>
      </c>
      <c r="AA32" s="54">
        <f t="shared" si="11"/>
        <v>0</v>
      </c>
      <c r="AB32" s="54">
        <f t="shared" si="12"/>
        <v>0</v>
      </c>
      <c r="AC32" s="54">
        <f t="shared" si="13"/>
        <v>0</v>
      </c>
      <c r="AD32" s="54">
        <f t="shared" si="14"/>
        <v>0</v>
      </c>
      <c r="AE32" s="54">
        <f t="shared" si="15"/>
        <v>0</v>
      </c>
      <c r="AG32" s="32">
        <f t="shared" si="16"/>
        <v>5</v>
      </c>
      <c r="AK32" s="25">
        <v>1</v>
      </c>
      <c r="AL32" s="54">
        <f t="shared" si="17"/>
        <v>0</v>
      </c>
      <c r="AM32" s="54">
        <f t="shared" si="18"/>
        <v>0</v>
      </c>
      <c r="AN32" s="54">
        <f t="shared" si="19"/>
        <v>0</v>
      </c>
      <c r="AO32" s="54">
        <f t="shared" si="20"/>
        <v>0</v>
      </c>
      <c r="AP32" s="54">
        <f t="shared" si="21"/>
        <v>0</v>
      </c>
      <c r="AR32" s="32">
        <f t="shared" si="22"/>
        <v>4</v>
      </c>
      <c r="AV32" s="25">
        <v>1</v>
      </c>
      <c r="AW32" s="54">
        <f t="shared" si="23"/>
        <v>0</v>
      </c>
      <c r="AX32" s="54">
        <f t="shared" si="24"/>
        <v>0</v>
      </c>
      <c r="AY32" s="54">
        <f t="shared" si="25"/>
        <v>0</v>
      </c>
      <c r="AZ32" s="54">
        <f t="shared" si="26"/>
        <v>0</v>
      </c>
      <c r="BA32" s="54">
        <f t="shared" si="27"/>
        <v>0</v>
      </c>
      <c r="BC32" s="32">
        <f t="shared" si="28"/>
        <v>3</v>
      </c>
      <c r="BG32" s="25">
        <v>1</v>
      </c>
      <c r="BH32" s="54">
        <f t="shared" si="29"/>
        <v>0</v>
      </c>
      <c r="BI32" s="54">
        <f t="shared" si="30"/>
        <v>0</v>
      </c>
      <c r="BJ32" s="54">
        <f t="shared" si="31"/>
        <v>0</v>
      </c>
      <c r="BK32" s="54">
        <f t="shared" si="32"/>
        <v>0</v>
      </c>
      <c r="BL32" s="54">
        <f t="shared" si="33"/>
        <v>0</v>
      </c>
      <c r="BN32" s="25">
        <f t="shared" si="34"/>
        <v>1</v>
      </c>
      <c r="BS32" s="39"/>
      <c r="BT32" s="39"/>
      <c r="BU32" s="39"/>
      <c r="BV32" s="39"/>
      <c r="BW32" s="39"/>
    </row>
    <row r="33" spans="2:75" x14ac:dyDescent="0.25">
      <c r="B33" t="s">
        <v>26</v>
      </c>
      <c r="C33" s="62">
        <f t="shared" si="0"/>
        <v>6</v>
      </c>
      <c r="D33" s="62">
        <f t="shared" si="1"/>
        <v>0</v>
      </c>
      <c r="E33" s="62">
        <f t="shared" si="2"/>
        <v>19</v>
      </c>
      <c r="F33" s="62">
        <f t="shared" si="3"/>
        <v>7</v>
      </c>
      <c r="G33" s="62">
        <f t="shared" si="4"/>
        <v>0</v>
      </c>
      <c r="H33" s="32" t="s">
        <v>203</v>
      </c>
      <c r="J33" s="17" t="s">
        <v>7</v>
      </c>
      <c r="K33" s="32" t="s">
        <v>199</v>
      </c>
      <c r="O33" s="25">
        <v>36</v>
      </c>
      <c r="P33" s="62" t="str">
        <f t="shared" si="5"/>
        <v>-</v>
      </c>
      <c r="Q33" s="62" t="str">
        <f t="shared" si="6"/>
        <v>-</v>
      </c>
      <c r="R33" s="62">
        <f t="shared" si="7"/>
        <v>36</v>
      </c>
      <c r="S33" s="62" t="str">
        <f t="shared" si="8"/>
        <v>-</v>
      </c>
      <c r="T33" s="62" t="str">
        <f t="shared" si="9"/>
        <v>-</v>
      </c>
      <c r="V33" s="32">
        <f t="shared" si="10"/>
        <v>6</v>
      </c>
      <c r="Z33" s="25">
        <v>1</v>
      </c>
      <c r="AA33" s="54">
        <f t="shared" si="11"/>
        <v>0</v>
      </c>
      <c r="AB33" s="54">
        <f t="shared" si="12"/>
        <v>0</v>
      </c>
      <c r="AC33" s="54">
        <f t="shared" si="13"/>
        <v>0</v>
      </c>
      <c r="AD33" s="54">
        <f t="shared" si="14"/>
        <v>0</v>
      </c>
      <c r="AE33" s="54">
        <f t="shared" si="15"/>
        <v>0</v>
      </c>
      <c r="AG33" s="32">
        <f t="shared" si="16"/>
        <v>5</v>
      </c>
      <c r="AK33" s="25">
        <v>1</v>
      </c>
      <c r="AL33" s="54">
        <f t="shared" si="17"/>
        <v>0</v>
      </c>
      <c r="AM33" s="54">
        <f t="shared" si="18"/>
        <v>0</v>
      </c>
      <c r="AN33" s="54">
        <f t="shared" si="19"/>
        <v>0</v>
      </c>
      <c r="AO33" s="54">
        <f t="shared" si="20"/>
        <v>0</v>
      </c>
      <c r="AP33" s="54">
        <f t="shared" si="21"/>
        <v>0</v>
      </c>
      <c r="AR33" s="32">
        <f t="shared" si="22"/>
        <v>4</v>
      </c>
      <c r="AV33" s="25">
        <v>1</v>
      </c>
      <c r="AW33" s="54">
        <f t="shared" si="23"/>
        <v>0</v>
      </c>
      <c r="AX33" s="54">
        <f t="shared" si="24"/>
        <v>0</v>
      </c>
      <c r="AY33" s="54">
        <f t="shared" si="25"/>
        <v>0</v>
      </c>
      <c r="AZ33" s="54">
        <f t="shared" si="26"/>
        <v>0</v>
      </c>
      <c r="BA33" s="54">
        <f t="shared" si="27"/>
        <v>0</v>
      </c>
      <c r="BC33" s="32">
        <f t="shared" si="28"/>
        <v>3</v>
      </c>
      <c r="BG33" s="25">
        <v>1</v>
      </c>
      <c r="BH33" s="54">
        <f t="shared" si="29"/>
        <v>0</v>
      </c>
      <c r="BI33" s="54">
        <f t="shared" si="30"/>
        <v>0</v>
      </c>
      <c r="BJ33" s="54">
        <f t="shared" si="31"/>
        <v>0</v>
      </c>
      <c r="BK33" s="54">
        <f t="shared" si="32"/>
        <v>0</v>
      </c>
      <c r="BL33" s="54">
        <f t="shared" si="33"/>
        <v>0</v>
      </c>
      <c r="BN33" s="25">
        <f t="shared" si="34"/>
        <v>1</v>
      </c>
      <c r="BS33" s="39"/>
      <c r="BT33" s="39"/>
      <c r="BU33" s="39"/>
      <c r="BV33" s="39"/>
      <c r="BW33" s="39"/>
    </row>
    <row r="34" spans="2:75" x14ac:dyDescent="0.25">
      <c r="B34" s="17" t="s">
        <v>106</v>
      </c>
      <c r="C34" s="62">
        <f t="shared" si="0"/>
        <v>1</v>
      </c>
      <c r="D34" s="62">
        <f t="shared" si="1"/>
        <v>0</v>
      </c>
      <c r="E34" s="62">
        <f t="shared" si="2"/>
        <v>2</v>
      </c>
      <c r="F34" s="62">
        <f t="shared" si="3"/>
        <v>1</v>
      </c>
      <c r="G34" s="62">
        <f t="shared" si="4"/>
        <v>0</v>
      </c>
      <c r="H34" s="32" t="s">
        <v>203</v>
      </c>
      <c r="J34" s="17" t="s">
        <v>7</v>
      </c>
      <c r="K34" s="32" t="s">
        <v>89</v>
      </c>
      <c r="M34" s="40" t="s">
        <v>244</v>
      </c>
      <c r="O34" s="25">
        <v>2</v>
      </c>
      <c r="P34" s="62" t="str">
        <f t="shared" si="5"/>
        <v>-</v>
      </c>
      <c r="Q34" s="62" t="str">
        <f t="shared" si="6"/>
        <v>-</v>
      </c>
      <c r="R34" s="62" t="str">
        <f t="shared" si="7"/>
        <v>-</v>
      </c>
      <c r="S34" s="62">
        <f t="shared" si="8"/>
        <v>2</v>
      </c>
      <c r="T34" s="62" t="str">
        <f t="shared" si="9"/>
        <v>-</v>
      </c>
      <c r="V34" s="32">
        <f t="shared" si="10"/>
        <v>6</v>
      </c>
      <c r="Z34" s="25">
        <v>1</v>
      </c>
      <c r="AA34" s="54">
        <f t="shared" si="11"/>
        <v>0</v>
      </c>
      <c r="AB34" s="54">
        <f t="shared" si="12"/>
        <v>0</v>
      </c>
      <c r="AC34" s="54">
        <f t="shared" si="13"/>
        <v>0</v>
      </c>
      <c r="AD34" s="54">
        <f t="shared" si="14"/>
        <v>0</v>
      </c>
      <c r="AE34" s="54">
        <f t="shared" si="15"/>
        <v>0</v>
      </c>
      <c r="AG34" s="32">
        <f t="shared" si="16"/>
        <v>5</v>
      </c>
      <c r="AK34" s="25">
        <v>1</v>
      </c>
      <c r="AL34" s="54">
        <f t="shared" si="17"/>
        <v>0</v>
      </c>
      <c r="AM34" s="54">
        <f t="shared" si="18"/>
        <v>0</v>
      </c>
      <c r="AN34" s="54">
        <f t="shared" si="19"/>
        <v>0</v>
      </c>
      <c r="AO34" s="54">
        <f t="shared" si="20"/>
        <v>0</v>
      </c>
      <c r="AP34" s="54">
        <f t="shared" si="21"/>
        <v>0</v>
      </c>
      <c r="AR34" s="32">
        <f t="shared" si="22"/>
        <v>4</v>
      </c>
      <c r="AV34" s="25">
        <v>1</v>
      </c>
      <c r="AW34" s="54">
        <f t="shared" si="23"/>
        <v>0</v>
      </c>
      <c r="AX34" s="54">
        <f t="shared" si="24"/>
        <v>0</v>
      </c>
      <c r="AY34" s="54">
        <f t="shared" si="25"/>
        <v>0</v>
      </c>
      <c r="AZ34" s="54">
        <f t="shared" si="26"/>
        <v>0</v>
      </c>
      <c r="BA34" s="54">
        <f t="shared" si="27"/>
        <v>0</v>
      </c>
      <c r="BC34" s="32">
        <f t="shared" si="28"/>
        <v>3</v>
      </c>
      <c r="BG34" s="25">
        <v>1</v>
      </c>
      <c r="BH34" s="54">
        <f t="shared" si="29"/>
        <v>0</v>
      </c>
      <c r="BI34" s="54">
        <f t="shared" si="30"/>
        <v>0</v>
      </c>
      <c r="BJ34" s="54">
        <f t="shared" si="31"/>
        <v>0</v>
      </c>
      <c r="BK34" s="54">
        <f t="shared" si="32"/>
        <v>0</v>
      </c>
      <c r="BL34" s="54">
        <f t="shared" si="33"/>
        <v>0</v>
      </c>
      <c r="BN34" s="25">
        <f t="shared" si="34"/>
        <v>1</v>
      </c>
      <c r="BS34" s="39"/>
      <c r="BT34" s="39"/>
      <c r="BU34" s="39"/>
      <c r="BV34" s="39"/>
      <c r="BW34" s="39"/>
    </row>
    <row r="35" spans="2:75" x14ac:dyDescent="0.25">
      <c r="B35" s="17" t="s">
        <v>34</v>
      </c>
      <c r="C35" s="62">
        <f t="shared" si="0"/>
        <v>22</v>
      </c>
      <c r="D35" s="62">
        <f t="shared" si="1"/>
        <v>0</v>
      </c>
      <c r="E35" s="62">
        <f t="shared" si="2"/>
        <v>36</v>
      </c>
      <c r="F35" s="62">
        <f t="shared" si="3"/>
        <v>17</v>
      </c>
      <c r="G35" s="62">
        <f t="shared" si="4"/>
        <v>8</v>
      </c>
      <c r="H35" s="32" t="s">
        <v>204</v>
      </c>
      <c r="J35" s="17" t="s">
        <v>7</v>
      </c>
      <c r="K35" s="32" t="s">
        <v>229</v>
      </c>
      <c r="O35" s="25">
        <v>1</v>
      </c>
      <c r="P35" s="62" t="str">
        <f t="shared" si="5"/>
        <v>-</v>
      </c>
      <c r="Q35" s="62" t="str">
        <f t="shared" si="6"/>
        <v>-</v>
      </c>
      <c r="R35" s="62">
        <f t="shared" si="7"/>
        <v>4</v>
      </c>
      <c r="S35" s="62">
        <f t="shared" si="8"/>
        <v>2</v>
      </c>
      <c r="T35" s="62" t="str">
        <f t="shared" si="9"/>
        <v>-</v>
      </c>
      <c r="V35" s="32">
        <f t="shared" si="10"/>
        <v>6</v>
      </c>
      <c r="Z35" s="25">
        <v>1</v>
      </c>
      <c r="AA35" s="54">
        <f t="shared" si="11"/>
        <v>0</v>
      </c>
      <c r="AB35" s="54">
        <f t="shared" si="12"/>
        <v>0</v>
      </c>
      <c r="AC35" s="54">
        <f t="shared" si="13"/>
        <v>0</v>
      </c>
      <c r="AD35" s="54">
        <f t="shared" si="14"/>
        <v>0</v>
      </c>
      <c r="AE35" s="54">
        <f t="shared" si="15"/>
        <v>0</v>
      </c>
      <c r="AG35" s="32">
        <f t="shared" si="16"/>
        <v>5</v>
      </c>
      <c r="AK35" s="25">
        <v>1</v>
      </c>
      <c r="AL35" s="54">
        <f t="shared" si="17"/>
        <v>0</v>
      </c>
      <c r="AM35" s="54">
        <f t="shared" si="18"/>
        <v>0</v>
      </c>
      <c r="AN35" s="54">
        <f t="shared" si="19"/>
        <v>0</v>
      </c>
      <c r="AO35" s="54">
        <f t="shared" si="20"/>
        <v>0</v>
      </c>
      <c r="AP35" s="54">
        <f t="shared" si="21"/>
        <v>0</v>
      </c>
      <c r="AR35" s="32">
        <f t="shared" si="22"/>
        <v>4</v>
      </c>
      <c r="AV35" s="25">
        <v>1</v>
      </c>
      <c r="AW35" s="54">
        <f t="shared" si="23"/>
        <v>0</v>
      </c>
      <c r="AX35" s="54">
        <f t="shared" si="24"/>
        <v>0</v>
      </c>
      <c r="AY35" s="54">
        <f t="shared" si="25"/>
        <v>0</v>
      </c>
      <c r="AZ35" s="54">
        <f t="shared" si="26"/>
        <v>0</v>
      </c>
      <c r="BA35" s="54">
        <f t="shared" si="27"/>
        <v>0</v>
      </c>
      <c r="BC35" s="32">
        <f t="shared" si="28"/>
        <v>3</v>
      </c>
      <c r="BG35" s="25">
        <v>1</v>
      </c>
      <c r="BH35" s="54">
        <f t="shared" si="29"/>
        <v>0</v>
      </c>
      <c r="BI35" s="54">
        <f t="shared" si="30"/>
        <v>0</v>
      </c>
      <c r="BJ35" s="54">
        <f t="shared" si="31"/>
        <v>0</v>
      </c>
      <c r="BK35" s="54">
        <f t="shared" si="32"/>
        <v>0</v>
      </c>
      <c r="BL35" s="54">
        <f t="shared" si="33"/>
        <v>0</v>
      </c>
      <c r="BN35" s="25">
        <f t="shared" si="34"/>
        <v>1</v>
      </c>
      <c r="BS35" s="39"/>
      <c r="BT35" s="39"/>
      <c r="BU35" s="39"/>
      <c r="BV35" s="39"/>
      <c r="BW35" s="39"/>
    </row>
    <row r="36" spans="2:75" x14ac:dyDescent="0.25">
      <c r="B36" t="s">
        <v>316</v>
      </c>
      <c r="C36" s="62">
        <f t="shared" si="0"/>
        <v>12</v>
      </c>
      <c r="D36" s="62">
        <f t="shared" si="1"/>
        <v>2</v>
      </c>
      <c r="E36" s="62">
        <f t="shared" si="2"/>
        <v>32</v>
      </c>
      <c r="F36" s="62">
        <f t="shared" si="3"/>
        <v>20</v>
      </c>
      <c r="G36" s="62">
        <f t="shared" si="4"/>
        <v>20</v>
      </c>
      <c r="H36" s="32" t="s">
        <v>204</v>
      </c>
      <c r="J36" s="17" t="s">
        <v>7</v>
      </c>
      <c r="K36" s="32" t="s">
        <v>234</v>
      </c>
      <c r="M36" s="32"/>
      <c r="N36" s="32"/>
      <c r="O36" s="25">
        <v>1</v>
      </c>
      <c r="P36" s="62">
        <f t="shared" si="5"/>
        <v>2</v>
      </c>
      <c r="Q36" s="62" t="str">
        <f t="shared" si="6"/>
        <v>-</v>
      </c>
      <c r="R36" s="62">
        <f t="shared" si="7"/>
        <v>12</v>
      </c>
      <c r="S36" s="62">
        <f t="shared" si="8"/>
        <v>4</v>
      </c>
      <c r="T36" s="62" t="str">
        <f t="shared" si="9"/>
        <v>-</v>
      </c>
      <c r="V36" s="32">
        <f t="shared" si="10"/>
        <v>6</v>
      </c>
      <c r="Z36" s="25">
        <v>1</v>
      </c>
      <c r="AA36" s="54">
        <f t="shared" si="11"/>
        <v>0</v>
      </c>
      <c r="AB36" s="54">
        <f t="shared" si="12"/>
        <v>0</v>
      </c>
      <c r="AC36" s="54">
        <f t="shared" si="13"/>
        <v>0</v>
      </c>
      <c r="AD36" s="54">
        <f t="shared" si="14"/>
        <v>0</v>
      </c>
      <c r="AE36" s="54">
        <f t="shared" si="15"/>
        <v>0</v>
      </c>
      <c r="AG36" s="32">
        <f t="shared" si="16"/>
        <v>5</v>
      </c>
      <c r="AK36" s="25">
        <v>1</v>
      </c>
      <c r="AL36" s="54">
        <f t="shared" si="17"/>
        <v>0</v>
      </c>
      <c r="AM36" s="54">
        <f t="shared" si="18"/>
        <v>0</v>
      </c>
      <c r="AN36" s="54">
        <f t="shared" si="19"/>
        <v>0</v>
      </c>
      <c r="AO36" s="54">
        <f t="shared" si="20"/>
        <v>0</v>
      </c>
      <c r="AP36" s="54">
        <f t="shared" si="21"/>
        <v>0</v>
      </c>
      <c r="AR36" s="32">
        <f t="shared" si="22"/>
        <v>4</v>
      </c>
      <c r="AV36" s="25">
        <v>1</v>
      </c>
      <c r="AW36" s="54">
        <f t="shared" si="23"/>
        <v>0</v>
      </c>
      <c r="AX36" s="54">
        <f t="shared" si="24"/>
        <v>0</v>
      </c>
      <c r="AY36" s="54">
        <f t="shared" si="25"/>
        <v>0</v>
      </c>
      <c r="AZ36" s="54">
        <f t="shared" si="26"/>
        <v>0</v>
      </c>
      <c r="BA36" s="54">
        <f t="shared" si="27"/>
        <v>0</v>
      </c>
      <c r="BC36" s="32">
        <f t="shared" si="28"/>
        <v>3</v>
      </c>
      <c r="BG36" s="25">
        <v>1</v>
      </c>
      <c r="BH36" s="54">
        <f t="shared" si="29"/>
        <v>0</v>
      </c>
      <c r="BI36" s="54">
        <f t="shared" si="30"/>
        <v>0</v>
      </c>
      <c r="BJ36" s="54">
        <f t="shared" si="31"/>
        <v>0</v>
      </c>
      <c r="BK36" s="54">
        <f t="shared" si="32"/>
        <v>0</v>
      </c>
      <c r="BL36" s="54">
        <f t="shared" si="33"/>
        <v>0</v>
      </c>
      <c r="BN36" s="25">
        <f t="shared" si="34"/>
        <v>1</v>
      </c>
      <c r="BS36" s="39"/>
      <c r="BT36" s="39"/>
      <c r="BU36" s="39"/>
      <c r="BV36" s="39"/>
      <c r="BW36" s="39"/>
    </row>
    <row r="37" spans="2:75" x14ac:dyDescent="0.25">
      <c r="B37" s="17" t="s">
        <v>2</v>
      </c>
      <c r="C37" s="62">
        <f t="shared" si="0"/>
        <v>2</v>
      </c>
      <c r="D37" s="62">
        <f t="shared" si="1"/>
        <v>0</v>
      </c>
      <c r="E37" s="62">
        <f t="shared" si="2"/>
        <v>0</v>
      </c>
      <c r="F37" s="62">
        <f t="shared" si="3"/>
        <v>4</v>
      </c>
      <c r="G37" s="62">
        <f t="shared" si="4"/>
        <v>0</v>
      </c>
      <c r="J37" s="17" t="s">
        <v>7</v>
      </c>
      <c r="K37" s="32" t="s">
        <v>220</v>
      </c>
      <c r="O37" s="25">
        <v>1</v>
      </c>
      <c r="P37" s="62" t="str">
        <f t="shared" si="5"/>
        <v>-</v>
      </c>
      <c r="Q37" s="62" t="str">
        <f t="shared" si="6"/>
        <v>-</v>
      </c>
      <c r="R37" s="62" t="str">
        <f t="shared" si="7"/>
        <v>-</v>
      </c>
      <c r="S37" s="62" t="str">
        <f t="shared" si="8"/>
        <v>-</v>
      </c>
      <c r="T37" s="62">
        <f t="shared" si="9"/>
        <v>3</v>
      </c>
      <c r="V37" s="32">
        <f t="shared" si="10"/>
        <v>6</v>
      </c>
      <c r="Z37" s="25">
        <v>1</v>
      </c>
      <c r="AA37" s="54">
        <f t="shared" si="11"/>
        <v>0</v>
      </c>
      <c r="AB37" s="54">
        <f t="shared" si="12"/>
        <v>0</v>
      </c>
      <c r="AC37" s="54">
        <f t="shared" si="13"/>
        <v>0</v>
      </c>
      <c r="AD37" s="54">
        <f t="shared" si="14"/>
        <v>0</v>
      </c>
      <c r="AE37" s="54">
        <f t="shared" si="15"/>
        <v>0</v>
      </c>
      <c r="AG37" s="32">
        <f t="shared" si="16"/>
        <v>5</v>
      </c>
      <c r="AK37" s="25">
        <v>1</v>
      </c>
      <c r="AL37" s="54">
        <f t="shared" si="17"/>
        <v>0</v>
      </c>
      <c r="AM37" s="54">
        <f t="shared" si="18"/>
        <v>0</v>
      </c>
      <c r="AN37" s="54">
        <f t="shared" si="19"/>
        <v>0</v>
      </c>
      <c r="AO37" s="54">
        <f t="shared" si="20"/>
        <v>0</v>
      </c>
      <c r="AP37" s="54">
        <f t="shared" si="21"/>
        <v>0</v>
      </c>
      <c r="AR37" s="32">
        <f t="shared" si="22"/>
        <v>4</v>
      </c>
      <c r="AV37" s="25">
        <v>1</v>
      </c>
      <c r="AW37" s="54">
        <f t="shared" si="23"/>
        <v>0</v>
      </c>
      <c r="AX37" s="54">
        <f t="shared" si="24"/>
        <v>0</v>
      </c>
      <c r="AY37" s="54">
        <f t="shared" si="25"/>
        <v>0</v>
      </c>
      <c r="AZ37" s="54">
        <f t="shared" si="26"/>
        <v>0</v>
      </c>
      <c r="BA37" s="54">
        <f t="shared" si="27"/>
        <v>0</v>
      </c>
      <c r="BC37" s="32">
        <f t="shared" si="28"/>
        <v>3</v>
      </c>
      <c r="BG37" s="25">
        <v>1</v>
      </c>
      <c r="BH37" s="54">
        <f t="shared" si="29"/>
        <v>0</v>
      </c>
      <c r="BI37" s="54">
        <f t="shared" si="30"/>
        <v>0</v>
      </c>
      <c r="BJ37" s="54">
        <f t="shared" si="31"/>
        <v>0</v>
      </c>
      <c r="BK37" s="54">
        <f t="shared" si="32"/>
        <v>0</v>
      </c>
      <c r="BL37" s="54">
        <f t="shared" si="33"/>
        <v>0</v>
      </c>
      <c r="BN37" s="25">
        <f t="shared" si="34"/>
        <v>1</v>
      </c>
      <c r="BS37" s="39"/>
      <c r="BT37" s="39"/>
      <c r="BU37" s="39"/>
      <c r="BV37" s="39"/>
      <c r="BW37" s="39"/>
    </row>
    <row r="38" spans="2:75" x14ac:dyDescent="0.25">
      <c r="B38" t="s">
        <v>21</v>
      </c>
      <c r="C38" s="62">
        <f t="shared" si="0"/>
        <v>4</v>
      </c>
      <c r="D38" s="62">
        <f t="shared" si="1"/>
        <v>0</v>
      </c>
      <c r="E38" s="62">
        <f t="shared" si="2"/>
        <v>8</v>
      </c>
      <c r="F38" s="62">
        <f t="shared" si="3"/>
        <v>4</v>
      </c>
      <c r="G38" s="62">
        <f t="shared" si="4"/>
        <v>0</v>
      </c>
      <c r="H38" s="32" t="s">
        <v>202</v>
      </c>
      <c r="J38" s="17" t="s">
        <v>129</v>
      </c>
      <c r="K38" s="32" t="s">
        <v>65</v>
      </c>
      <c r="L38" s="32" t="s">
        <v>44</v>
      </c>
      <c r="O38" s="25">
        <v>2</v>
      </c>
      <c r="P38" s="62">
        <f t="shared" si="5"/>
        <v>2</v>
      </c>
      <c r="Q38" s="62" t="str">
        <f t="shared" si="6"/>
        <v>-</v>
      </c>
      <c r="R38" s="62" t="str">
        <f t="shared" si="7"/>
        <v>-</v>
      </c>
      <c r="S38" s="62" t="str">
        <f t="shared" si="8"/>
        <v>-</v>
      </c>
      <c r="T38" s="62" t="str">
        <f t="shared" si="9"/>
        <v>-</v>
      </c>
      <c r="V38" s="32">
        <f t="shared" si="10"/>
        <v>6</v>
      </c>
      <c r="Z38" s="25">
        <v>1</v>
      </c>
      <c r="AA38" s="54">
        <f t="shared" si="11"/>
        <v>0</v>
      </c>
      <c r="AB38" s="54">
        <f t="shared" si="12"/>
        <v>0</v>
      </c>
      <c r="AC38" s="54">
        <f t="shared" si="13"/>
        <v>0</v>
      </c>
      <c r="AD38" s="54">
        <f t="shared" si="14"/>
        <v>0</v>
      </c>
      <c r="AE38" s="54">
        <f t="shared" si="15"/>
        <v>0</v>
      </c>
      <c r="AG38" s="32">
        <f t="shared" si="16"/>
        <v>5</v>
      </c>
      <c r="AK38" s="25">
        <v>1</v>
      </c>
      <c r="AL38" s="54">
        <f t="shared" si="17"/>
        <v>0</v>
      </c>
      <c r="AM38" s="54">
        <f t="shared" si="18"/>
        <v>0</v>
      </c>
      <c r="AN38" s="54">
        <f t="shared" si="19"/>
        <v>0</v>
      </c>
      <c r="AO38" s="54">
        <f t="shared" si="20"/>
        <v>0</v>
      </c>
      <c r="AP38" s="54">
        <f t="shared" si="21"/>
        <v>0</v>
      </c>
      <c r="AR38" s="32">
        <f t="shared" si="22"/>
        <v>4</v>
      </c>
      <c r="AV38" s="25">
        <v>1</v>
      </c>
      <c r="AW38" s="54">
        <f t="shared" si="23"/>
        <v>0</v>
      </c>
      <c r="AX38" s="54">
        <f t="shared" si="24"/>
        <v>0</v>
      </c>
      <c r="AY38" s="54">
        <f t="shared" si="25"/>
        <v>0</v>
      </c>
      <c r="AZ38" s="54">
        <f t="shared" si="26"/>
        <v>0</v>
      </c>
      <c r="BA38" s="54">
        <f t="shared" si="27"/>
        <v>0</v>
      </c>
      <c r="BC38" s="32">
        <f t="shared" si="28"/>
        <v>3</v>
      </c>
      <c r="BG38" s="25">
        <v>1</v>
      </c>
      <c r="BH38" s="54">
        <f t="shared" si="29"/>
        <v>0</v>
      </c>
      <c r="BI38" s="54">
        <f t="shared" si="30"/>
        <v>0</v>
      </c>
      <c r="BJ38" s="54">
        <f t="shared" si="31"/>
        <v>0</v>
      </c>
      <c r="BK38" s="54">
        <f t="shared" si="32"/>
        <v>0</v>
      </c>
      <c r="BL38" s="54">
        <f t="shared" si="33"/>
        <v>0</v>
      </c>
      <c r="BN38" s="25">
        <f t="shared" si="34"/>
        <v>1</v>
      </c>
      <c r="BS38" s="39"/>
      <c r="BT38" s="39"/>
      <c r="BU38" s="39"/>
      <c r="BV38" s="39"/>
      <c r="BW38" s="39"/>
    </row>
    <row r="39" spans="2:75" x14ac:dyDescent="0.25">
      <c r="B39" s="17" t="s">
        <v>103</v>
      </c>
      <c r="C39" s="62">
        <f t="shared" si="0"/>
        <v>2</v>
      </c>
      <c r="D39" s="62">
        <f t="shared" si="1"/>
        <v>1</v>
      </c>
      <c r="E39" s="62">
        <f t="shared" si="2"/>
        <v>10</v>
      </c>
      <c r="F39" s="62">
        <f t="shared" si="3"/>
        <v>5</v>
      </c>
      <c r="G39" s="62">
        <f t="shared" si="4"/>
        <v>0</v>
      </c>
      <c r="H39" s="32" t="s">
        <v>202</v>
      </c>
      <c r="J39" s="17" t="s">
        <v>129</v>
      </c>
      <c r="K39" s="32" t="s">
        <v>83</v>
      </c>
      <c r="L39" s="32" t="s">
        <v>45</v>
      </c>
      <c r="M39" s="32" t="s">
        <v>130</v>
      </c>
      <c r="N39" s="32"/>
      <c r="O39" s="25">
        <v>2</v>
      </c>
      <c r="P39" s="62" t="str">
        <f t="shared" si="5"/>
        <v>-</v>
      </c>
      <c r="Q39" s="62" t="str">
        <f t="shared" si="6"/>
        <v>-</v>
      </c>
      <c r="R39" s="62">
        <f t="shared" si="7"/>
        <v>4</v>
      </c>
      <c r="S39" s="62">
        <f t="shared" si="8"/>
        <v>2</v>
      </c>
      <c r="T39" s="62" t="str">
        <f t="shared" si="9"/>
        <v>-</v>
      </c>
      <c r="V39" s="32">
        <f t="shared" si="10"/>
        <v>6</v>
      </c>
      <c r="Z39" s="25">
        <v>1</v>
      </c>
      <c r="AA39" s="54">
        <f t="shared" si="11"/>
        <v>0</v>
      </c>
      <c r="AB39" s="54">
        <f t="shared" si="12"/>
        <v>0</v>
      </c>
      <c r="AC39" s="54">
        <f t="shared" si="13"/>
        <v>0</v>
      </c>
      <c r="AD39" s="54">
        <f t="shared" si="14"/>
        <v>0</v>
      </c>
      <c r="AE39" s="54">
        <f t="shared" si="15"/>
        <v>0</v>
      </c>
      <c r="AG39" s="32">
        <f t="shared" si="16"/>
        <v>5</v>
      </c>
      <c r="AK39" s="25">
        <v>1</v>
      </c>
      <c r="AL39" s="54">
        <f t="shared" si="17"/>
        <v>0</v>
      </c>
      <c r="AM39" s="54">
        <f t="shared" si="18"/>
        <v>0</v>
      </c>
      <c r="AN39" s="54">
        <f t="shared" si="19"/>
        <v>0</v>
      </c>
      <c r="AO39" s="54">
        <f t="shared" si="20"/>
        <v>0</v>
      </c>
      <c r="AP39" s="54">
        <f t="shared" si="21"/>
        <v>0</v>
      </c>
      <c r="AR39" s="32">
        <f t="shared" si="22"/>
        <v>4</v>
      </c>
      <c r="AV39" s="25">
        <v>1</v>
      </c>
      <c r="AW39" s="54">
        <f t="shared" si="23"/>
        <v>0</v>
      </c>
      <c r="AX39" s="54">
        <f t="shared" si="24"/>
        <v>0</v>
      </c>
      <c r="AY39" s="54">
        <f t="shared" si="25"/>
        <v>0</v>
      </c>
      <c r="AZ39" s="54">
        <f t="shared" si="26"/>
        <v>0</v>
      </c>
      <c r="BA39" s="54">
        <f t="shared" si="27"/>
        <v>0</v>
      </c>
      <c r="BC39" s="32">
        <f t="shared" si="28"/>
        <v>3</v>
      </c>
      <c r="BG39" s="25">
        <v>1</v>
      </c>
      <c r="BH39" s="54">
        <f t="shared" si="29"/>
        <v>0</v>
      </c>
      <c r="BI39" s="54">
        <f t="shared" si="30"/>
        <v>0</v>
      </c>
      <c r="BJ39" s="54">
        <f t="shared" si="31"/>
        <v>0</v>
      </c>
      <c r="BK39" s="54">
        <f t="shared" si="32"/>
        <v>0</v>
      </c>
      <c r="BL39" s="54">
        <f t="shared" si="33"/>
        <v>0</v>
      </c>
      <c r="BN39" s="25">
        <f t="shared" si="34"/>
        <v>1</v>
      </c>
      <c r="BS39" s="39"/>
      <c r="BT39" s="39"/>
      <c r="BU39" s="39"/>
      <c r="BV39" s="39"/>
      <c r="BW39" s="39"/>
    </row>
    <row r="40" spans="2:75" x14ac:dyDescent="0.25">
      <c r="B40" s="17" t="s">
        <v>8</v>
      </c>
      <c r="C40" s="62">
        <f t="shared" si="0"/>
        <v>5</v>
      </c>
      <c r="D40" s="62">
        <f t="shared" si="1"/>
        <v>0</v>
      </c>
      <c r="E40" s="62">
        <f t="shared" si="2"/>
        <v>25</v>
      </c>
      <c r="F40" s="62">
        <f t="shared" si="3"/>
        <v>10</v>
      </c>
      <c r="G40" s="62">
        <f t="shared" si="4"/>
        <v>9</v>
      </c>
      <c r="H40" s="32" t="s">
        <v>203</v>
      </c>
      <c r="J40" s="17" t="s">
        <v>129</v>
      </c>
      <c r="K40" s="32" t="s">
        <v>83</v>
      </c>
      <c r="L40" s="32" t="s">
        <v>45</v>
      </c>
      <c r="M40" s="40" t="s">
        <v>131</v>
      </c>
      <c r="O40" s="25">
        <v>2</v>
      </c>
      <c r="P40" s="62" t="str">
        <f t="shared" si="5"/>
        <v>-</v>
      </c>
      <c r="Q40" s="62" t="str">
        <f t="shared" si="6"/>
        <v>-</v>
      </c>
      <c r="R40" s="62">
        <f t="shared" si="7"/>
        <v>4</v>
      </c>
      <c r="S40" s="62">
        <f t="shared" si="8"/>
        <v>2</v>
      </c>
      <c r="T40" s="62" t="str">
        <f t="shared" si="9"/>
        <v>-</v>
      </c>
      <c r="V40" s="32">
        <f t="shared" si="10"/>
        <v>6</v>
      </c>
      <c r="Z40" s="25">
        <v>1</v>
      </c>
      <c r="AA40" s="54">
        <f t="shared" si="11"/>
        <v>0</v>
      </c>
      <c r="AB40" s="54">
        <f t="shared" si="12"/>
        <v>0</v>
      </c>
      <c r="AC40" s="54">
        <f t="shared" si="13"/>
        <v>0</v>
      </c>
      <c r="AD40" s="54">
        <f t="shared" si="14"/>
        <v>0</v>
      </c>
      <c r="AE40" s="54">
        <f t="shared" si="15"/>
        <v>0</v>
      </c>
      <c r="AG40" s="32">
        <f t="shared" si="16"/>
        <v>5</v>
      </c>
      <c r="AK40" s="25">
        <v>1</v>
      </c>
      <c r="AL40" s="54">
        <f t="shared" si="17"/>
        <v>0</v>
      </c>
      <c r="AM40" s="54">
        <f t="shared" si="18"/>
        <v>0</v>
      </c>
      <c r="AN40" s="54">
        <f t="shared" si="19"/>
        <v>0</v>
      </c>
      <c r="AO40" s="54">
        <f t="shared" si="20"/>
        <v>0</v>
      </c>
      <c r="AP40" s="54">
        <f t="shared" si="21"/>
        <v>0</v>
      </c>
      <c r="AR40" s="32">
        <f t="shared" si="22"/>
        <v>4</v>
      </c>
      <c r="AV40" s="25">
        <v>1</v>
      </c>
      <c r="AW40" s="54">
        <f t="shared" si="23"/>
        <v>0</v>
      </c>
      <c r="AX40" s="54">
        <f t="shared" si="24"/>
        <v>0</v>
      </c>
      <c r="AY40" s="54">
        <f t="shared" si="25"/>
        <v>0</v>
      </c>
      <c r="AZ40" s="54">
        <f t="shared" si="26"/>
        <v>0</v>
      </c>
      <c r="BA40" s="54">
        <f t="shared" si="27"/>
        <v>0</v>
      </c>
      <c r="BC40" s="32">
        <f t="shared" si="28"/>
        <v>3</v>
      </c>
      <c r="BG40" s="25">
        <v>1</v>
      </c>
      <c r="BH40" s="54">
        <f t="shared" si="29"/>
        <v>0</v>
      </c>
      <c r="BI40" s="54">
        <f t="shared" si="30"/>
        <v>0</v>
      </c>
      <c r="BJ40" s="54">
        <f t="shared" si="31"/>
        <v>0</v>
      </c>
      <c r="BK40" s="54">
        <f t="shared" si="32"/>
        <v>0</v>
      </c>
      <c r="BL40" s="54">
        <f t="shared" si="33"/>
        <v>0</v>
      </c>
      <c r="BN40" s="25">
        <f t="shared" si="34"/>
        <v>1</v>
      </c>
      <c r="BS40" s="39"/>
      <c r="BT40" s="39"/>
      <c r="BU40" s="39"/>
      <c r="BV40" s="39"/>
      <c r="BW40" s="39"/>
    </row>
    <row r="41" spans="2:75" x14ac:dyDescent="0.25">
      <c r="B41" t="s">
        <v>41</v>
      </c>
      <c r="C41" s="62">
        <f t="shared" si="0"/>
        <v>7</v>
      </c>
      <c r="D41" s="62">
        <f t="shared" si="1"/>
        <v>0</v>
      </c>
      <c r="E41" s="62">
        <f t="shared" si="2"/>
        <v>10</v>
      </c>
      <c r="F41" s="62">
        <f t="shared" si="3"/>
        <v>5</v>
      </c>
      <c r="G41" s="62">
        <f t="shared" si="4"/>
        <v>4</v>
      </c>
      <c r="H41" s="32" t="s">
        <v>204</v>
      </c>
      <c r="J41" s="17" t="s">
        <v>130</v>
      </c>
      <c r="K41" s="32" t="s">
        <v>58</v>
      </c>
      <c r="L41" s="32" t="s">
        <v>45</v>
      </c>
      <c r="O41" s="25">
        <v>1</v>
      </c>
      <c r="P41" s="62">
        <f t="shared" si="5"/>
        <v>1</v>
      </c>
      <c r="Q41" s="62">
        <f t="shared" si="6"/>
        <v>1</v>
      </c>
      <c r="R41" s="62" t="str">
        <f t="shared" si="7"/>
        <v>-</v>
      </c>
      <c r="S41" s="62" t="str">
        <f t="shared" si="8"/>
        <v>-</v>
      </c>
      <c r="T41" s="62" t="str">
        <f t="shared" si="9"/>
        <v>-</v>
      </c>
      <c r="V41" s="32">
        <f t="shared" si="10"/>
        <v>6</v>
      </c>
      <c r="Z41" s="25">
        <v>1</v>
      </c>
      <c r="AA41" s="54">
        <f t="shared" si="11"/>
        <v>0</v>
      </c>
      <c r="AB41" s="54">
        <f t="shared" si="12"/>
        <v>0</v>
      </c>
      <c r="AC41" s="54">
        <f t="shared" si="13"/>
        <v>0</v>
      </c>
      <c r="AD41" s="54">
        <f t="shared" si="14"/>
        <v>0</v>
      </c>
      <c r="AE41" s="54">
        <f t="shared" si="15"/>
        <v>0</v>
      </c>
      <c r="AG41" s="32">
        <f t="shared" si="16"/>
        <v>5</v>
      </c>
      <c r="AK41" s="25">
        <v>1</v>
      </c>
      <c r="AL41" s="54">
        <f t="shared" si="17"/>
        <v>0</v>
      </c>
      <c r="AM41" s="54">
        <f t="shared" si="18"/>
        <v>0</v>
      </c>
      <c r="AN41" s="54">
        <f t="shared" si="19"/>
        <v>0</v>
      </c>
      <c r="AO41" s="54">
        <f t="shared" si="20"/>
        <v>0</v>
      </c>
      <c r="AP41" s="54">
        <f t="shared" si="21"/>
        <v>0</v>
      </c>
      <c r="AR41" s="32">
        <f t="shared" si="22"/>
        <v>4</v>
      </c>
      <c r="AV41" s="25">
        <v>1</v>
      </c>
      <c r="AW41" s="54">
        <f t="shared" si="23"/>
        <v>0</v>
      </c>
      <c r="AX41" s="54">
        <f t="shared" si="24"/>
        <v>0</v>
      </c>
      <c r="AY41" s="54">
        <f t="shared" si="25"/>
        <v>0</v>
      </c>
      <c r="AZ41" s="54">
        <f t="shared" si="26"/>
        <v>0</v>
      </c>
      <c r="BA41" s="54">
        <f t="shared" si="27"/>
        <v>0</v>
      </c>
      <c r="BC41" s="32">
        <f t="shared" si="28"/>
        <v>3</v>
      </c>
      <c r="BG41" s="25">
        <v>1</v>
      </c>
      <c r="BH41" s="54">
        <f t="shared" si="29"/>
        <v>0</v>
      </c>
      <c r="BI41" s="54">
        <f t="shared" si="30"/>
        <v>0</v>
      </c>
      <c r="BJ41" s="54">
        <f t="shared" si="31"/>
        <v>0</v>
      </c>
      <c r="BK41" s="54">
        <f t="shared" si="32"/>
        <v>0</v>
      </c>
      <c r="BL41" s="54">
        <f t="shared" si="33"/>
        <v>0</v>
      </c>
      <c r="BN41" s="25">
        <f t="shared" si="34"/>
        <v>1</v>
      </c>
      <c r="BS41" s="39"/>
      <c r="BT41" s="39"/>
      <c r="BU41" s="39"/>
      <c r="BV41" s="39"/>
      <c r="BW41" s="39"/>
    </row>
    <row r="42" spans="2:75" x14ac:dyDescent="0.25">
      <c r="B42" t="s">
        <v>118</v>
      </c>
      <c r="C42" s="62">
        <f t="shared" si="0"/>
        <v>2</v>
      </c>
      <c r="D42" s="62">
        <f t="shared" si="1"/>
        <v>2</v>
      </c>
      <c r="E42" s="62">
        <f t="shared" si="2"/>
        <v>50</v>
      </c>
      <c r="F42" s="62">
        <f t="shared" si="3"/>
        <v>50</v>
      </c>
      <c r="G42" s="62">
        <f t="shared" si="4"/>
        <v>16</v>
      </c>
      <c r="H42" s="32" t="s">
        <v>204</v>
      </c>
      <c r="J42" s="17" t="s">
        <v>130</v>
      </c>
      <c r="K42" s="32" t="s">
        <v>65</v>
      </c>
      <c r="L42" s="32" t="s">
        <v>45</v>
      </c>
      <c r="O42" s="25">
        <v>1</v>
      </c>
      <c r="P42" s="62">
        <f t="shared" si="5"/>
        <v>1</v>
      </c>
      <c r="Q42" s="62" t="str">
        <f t="shared" si="6"/>
        <v>-</v>
      </c>
      <c r="R42" s="62" t="str">
        <f t="shared" si="7"/>
        <v>-</v>
      </c>
      <c r="S42" s="62" t="str">
        <f t="shared" si="8"/>
        <v>-</v>
      </c>
      <c r="T42" s="62" t="str">
        <f t="shared" si="9"/>
        <v>-</v>
      </c>
      <c r="V42" s="32">
        <f t="shared" si="10"/>
        <v>6</v>
      </c>
      <c r="Z42" s="25">
        <v>1</v>
      </c>
      <c r="AA42" s="54">
        <f t="shared" si="11"/>
        <v>0</v>
      </c>
      <c r="AB42" s="54">
        <f t="shared" si="12"/>
        <v>0</v>
      </c>
      <c r="AC42" s="54">
        <f t="shared" si="13"/>
        <v>0</v>
      </c>
      <c r="AD42" s="54">
        <f t="shared" si="14"/>
        <v>0</v>
      </c>
      <c r="AE42" s="54">
        <f t="shared" si="15"/>
        <v>0</v>
      </c>
      <c r="AG42" s="32">
        <f t="shared" si="16"/>
        <v>5</v>
      </c>
      <c r="AK42" s="25">
        <v>1</v>
      </c>
      <c r="AL42" s="54">
        <f t="shared" si="17"/>
        <v>0</v>
      </c>
      <c r="AM42" s="54">
        <f t="shared" si="18"/>
        <v>0</v>
      </c>
      <c r="AN42" s="54">
        <f t="shared" si="19"/>
        <v>0</v>
      </c>
      <c r="AO42" s="54">
        <f t="shared" si="20"/>
        <v>0</v>
      </c>
      <c r="AP42" s="54">
        <f t="shared" si="21"/>
        <v>0</v>
      </c>
      <c r="AR42" s="32">
        <f t="shared" si="22"/>
        <v>4</v>
      </c>
      <c r="AV42" s="25">
        <v>1</v>
      </c>
      <c r="AW42" s="54">
        <f t="shared" si="23"/>
        <v>0</v>
      </c>
      <c r="AX42" s="54">
        <f t="shared" si="24"/>
        <v>0</v>
      </c>
      <c r="AY42" s="54">
        <f t="shared" si="25"/>
        <v>0</v>
      </c>
      <c r="AZ42" s="54">
        <f t="shared" si="26"/>
        <v>0</v>
      </c>
      <c r="BA42" s="54">
        <f t="shared" si="27"/>
        <v>0</v>
      </c>
      <c r="BC42" s="32">
        <f t="shared" si="28"/>
        <v>3</v>
      </c>
      <c r="BG42" s="25">
        <v>1</v>
      </c>
      <c r="BH42" s="54">
        <f t="shared" si="29"/>
        <v>0</v>
      </c>
      <c r="BI42" s="54">
        <f t="shared" si="30"/>
        <v>0</v>
      </c>
      <c r="BJ42" s="54">
        <f t="shared" si="31"/>
        <v>0</v>
      </c>
      <c r="BK42" s="54">
        <f t="shared" si="32"/>
        <v>0</v>
      </c>
      <c r="BL42" s="54">
        <f t="shared" si="33"/>
        <v>0</v>
      </c>
      <c r="BN42" s="25">
        <f t="shared" si="34"/>
        <v>1</v>
      </c>
      <c r="BS42" s="39"/>
      <c r="BT42" s="39"/>
      <c r="BU42" s="39"/>
      <c r="BV42" s="39"/>
      <c r="BW42" s="39"/>
    </row>
    <row r="43" spans="2:75" x14ac:dyDescent="0.25">
      <c r="B43" t="s">
        <v>134</v>
      </c>
      <c r="C43" s="62">
        <f t="shared" si="0"/>
        <v>3</v>
      </c>
      <c r="D43" s="62">
        <f t="shared" si="1"/>
        <v>2</v>
      </c>
      <c r="E43" s="62">
        <f t="shared" si="2"/>
        <v>8</v>
      </c>
      <c r="F43" s="62">
        <f t="shared" si="3"/>
        <v>4</v>
      </c>
      <c r="G43" s="62">
        <f t="shared" si="4"/>
        <v>0</v>
      </c>
      <c r="H43" s="32" t="s">
        <v>203</v>
      </c>
      <c r="J43" s="17" t="s">
        <v>308</v>
      </c>
      <c r="K43" s="32" t="s">
        <v>65</v>
      </c>
      <c r="L43" s="32" t="s">
        <v>67</v>
      </c>
      <c r="M43" s="40" t="s">
        <v>302</v>
      </c>
      <c r="O43" s="25">
        <v>1</v>
      </c>
      <c r="P43" s="62">
        <f t="shared" si="5"/>
        <v>1</v>
      </c>
      <c r="Q43" s="62" t="str">
        <f t="shared" si="6"/>
        <v>-</v>
      </c>
      <c r="R43" s="62" t="str">
        <f t="shared" si="7"/>
        <v>-</v>
      </c>
      <c r="S43" s="62" t="str">
        <f t="shared" si="8"/>
        <v>-</v>
      </c>
      <c r="T43" s="62" t="str">
        <f t="shared" si="9"/>
        <v>-</v>
      </c>
      <c r="V43" s="32">
        <f t="shared" si="10"/>
        <v>6</v>
      </c>
      <c r="Z43" s="25">
        <v>1</v>
      </c>
      <c r="AA43" s="54">
        <f t="shared" si="11"/>
        <v>0</v>
      </c>
      <c r="AB43" s="54">
        <f t="shared" si="12"/>
        <v>0</v>
      </c>
      <c r="AC43" s="54">
        <f t="shared" si="13"/>
        <v>0</v>
      </c>
      <c r="AD43" s="54">
        <f t="shared" si="14"/>
        <v>0</v>
      </c>
      <c r="AE43" s="54">
        <f t="shared" si="15"/>
        <v>0</v>
      </c>
      <c r="AG43" s="32">
        <f t="shared" si="16"/>
        <v>5</v>
      </c>
      <c r="AK43" s="25">
        <v>1</v>
      </c>
      <c r="AL43" s="54">
        <f t="shared" si="17"/>
        <v>0</v>
      </c>
      <c r="AM43" s="54">
        <f t="shared" si="18"/>
        <v>0</v>
      </c>
      <c r="AN43" s="54">
        <f t="shared" si="19"/>
        <v>0</v>
      </c>
      <c r="AO43" s="54">
        <f t="shared" si="20"/>
        <v>0</v>
      </c>
      <c r="AP43" s="54">
        <f t="shared" si="21"/>
        <v>0</v>
      </c>
      <c r="AR43" s="32">
        <f t="shared" si="22"/>
        <v>4</v>
      </c>
      <c r="AV43" s="25">
        <v>1</v>
      </c>
      <c r="AW43" s="54">
        <f t="shared" si="23"/>
        <v>0</v>
      </c>
      <c r="AX43" s="54">
        <f t="shared" si="24"/>
        <v>0</v>
      </c>
      <c r="AY43" s="54">
        <f t="shared" si="25"/>
        <v>0</v>
      </c>
      <c r="AZ43" s="54">
        <f t="shared" si="26"/>
        <v>0</v>
      </c>
      <c r="BA43" s="54">
        <f t="shared" si="27"/>
        <v>0</v>
      </c>
      <c r="BC43" s="32">
        <f t="shared" si="28"/>
        <v>3</v>
      </c>
      <c r="BG43" s="25">
        <v>1</v>
      </c>
      <c r="BH43" s="54">
        <f t="shared" si="29"/>
        <v>0</v>
      </c>
      <c r="BI43" s="54">
        <f t="shared" si="30"/>
        <v>0</v>
      </c>
      <c r="BJ43" s="54">
        <f t="shared" si="31"/>
        <v>0</v>
      </c>
      <c r="BK43" s="54">
        <f t="shared" si="32"/>
        <v>0</v>
      </c>
      <c r="BL43" s="54">
        <f t="shared" si="33"/>
        <v>0</v>
      </c>
      <c r="BN43" s="25">
        <f t="shared" si="34"/>
        <v>1</v>
      </c>
      <c r="BS43" s="39"/>
      <c r="BT43" s="39"/>
      <c r="BU43" s="39"/>
      <c r="BV43" s="39"/>
      <c r="BW43" s="39"/>
    </row>
    <row r="44" spans="2:75" x14ac:dyDescent="0.25">
      <c r="B44" t="s">
        <v>178</v>
      </c>
      <c r="C44" s="62">
        <f t="shared" si="0"/>
        <v>1</v>
      </c>
      <c r="D44" s="62">
        <f t="shared" si="1"/>
        <v>1</v>
      </c>
      <c r="E44" s="62">
        <f t="shared" si="2"/>
        <v>0</v>
      </c>
      <c r="F44" s="62">
        <f t="shared" si="3"/>
        <v>0</v>
      </c>
      <c r="G44" s="62">
        <f t="shared" si="4"/>
        <v>0</v>
      </c>
      <c r="H44" s="32" t="s">
        <v>203</v>
      </c>
      <c r="J44" s="17" t="s">
        <v>308</v>
      </c>
      <c r="K44" s="32" t="s">
        <v>83</v>
      </c>
      <c r="M44" s="40" t="s">
        <v>309</v>
      </c>
      <c r="O44" s="25">
        <v>2</v>
      </c>
      <c r="P44" s="62" t="str">
        <f t="shared" si="5"/>
        <v>-</v>
      </c>
      <c r="Q44" s="62" t="str">
        <f t="shared" si="6"/>
        <v>-</v>
      </c>
      <c r="R44" s="62">
        <f t="shared" si="7"/>
        <v>4</v>
      </c>
      <c r="S44" s="62">
        <f t="shared" si="8"/>
        <v>2</v>
      </c>
      <c r="T44" s="62" t="str">
        <f t="shared" si="9"/>
        <v>-</v>
      </c>
      <c r="V44" s="32">
        <f t="shared" si="10"/>
        <v>6</v>
      </c>
      <c r="Z44" s="25">
        <v>1</v>
      </c>
      <c r="AA44" s="54">
        <f t="shared" si="11"/>
        <v>0</v>
      </c>
      <c r="AB44" s="54">
        <f t="shared" si="12"/>
        <v>0</v>
      </c>
      <c r="AC44" s="54">
        <f t="shared" si="13"/>
        <v>0</v>
      </c>
      <c r="AD44" s="54">
        <f t="shared" si="14"/>
        <v>0</v>
      </c>
      <c r="AE44" s="54">
        <f t="shared" si="15"/>
        <v>0</v>
      </c>
      <c r="AG44" s="32">
        <f t="shared" si="16"/>
        <v>5</v>
      </c>
      <c r="AK44" s="25">
        <v>1</v>
      </c>
      <c r="AL44" s="54">
        <f t="shared" si="17"/>
        <v>0</v>
      </c>
      <c r="AM44" s="54">
        <f t="shared" si="18"/>
        <v>0</v>
      </c>
      <c r="AN44" s="54">
        <f t="shared" si="19"/>
        <v>0</v>
      </c>
      <c r="AO44" s="54">
        <f t="shared" si="20"/>
        <v>0</v>
      </c>
      <c r="AP44" s="54">
        <f t="shared" si="21"/>
        <v>0</v>
      </c>
      <c r="AR44" s="32">
        <f t="shared" si="22"/>
        <v>4</v>
      </c>
      <c r="AV44" s="25">
        <v>1</v>
      </c>
      <c r="AW44" s="54">
        <f t="shared" si="23"/>
        <v>0</v>
      </c>
      <c r="AX44" s="54">
        <f t="shared" si="24"/>
        <v>0</v>
      </c>
      <c r="AY44" s="54">
        <f t="shared" si="25"/>
        <v>0</v>
      </c>
      <c r="AZ44" s="54">
        <f t="shared" si="26"/>
        <v>0</v>
      </c>
      <c r="BA44" s="54">
        <f t="shared" si="27"/>
        <v>0</v>
      </c>
      <c r="BC44" s="32">
        <f t="shared" si="28"/>
        <v>3</v>
      </c>
      <c r="BG44" s="25">
        <v>1</v>
      </c>
      <c r="BH44" s="54">
        <f t="shared" si="29"/>
        <v>0</v>
      </c>
      <c r="BI44" s="54">
        <f t="shared" si="30"/>
        <v>0</v>
      </c>
      <c r="BJ44" s="54">
        <f t="shared" si="31"/>
        <v>0</v>
      </c>
      <c r="BK44" s="54">
        <f t="shared" si="32"/>
        <v>0</v>
      </c>
      <c r="BL44" s="54">
        <f t="shared" si="33"/>
        <v>0</v>
      </c>
      <c r="BN44" s="25">
        <f t="shared" si="34"/>
        <v>1</v>
      </c>
      <c r="BS44" s="39"/>
      <c r="BT44" s="39"/>
      <c r="BU44" s="39"/>
      <c r="BV44" s="39"/>
      <c r="BW44" s="39"/>
    </row>
    <row r="45" spans="2:75" x14ac:dyDescent="0.25">
      <c r="B45" t="s">
        <v>182</v>
      </c>
      <c r="C45" s="62">
        <f t="shared" si="0"/>
        <v>0</v>
      </c>
      <c r="D45" s="62">
        <f t="shared" si="1"/>
        <v>0</v>
      </c>
      <c r="E45" s="62">
        <f t="shared" si="2"/>
        <v>0</v>
      </c>
      <c r="F45" s="62">
        <f t="shared" si="3"/>
        <v>0</v>
      </c>
      <c r="G45" s="62">
        <f t="shared" si="4"/>
        <v>0</v>
      </c>
      <c r="H45" s="32" t="s">
        <v>202</v>
      </c>
      <c r="J45" s="17" t="s">
        <v>308</v>
      </c>
      <c r="K45" s="32" t="s">
        <v>84</v>
      </c>
      <c r="M45" s="40" t="s">
        <v>303</v>
      </c>
      <c r="O45" s="25">
        <v>20</v>
      </c>
      <c r="P45" s="62" t="str">
        <f t="shared" si="5"/>
        <v>-</v>
      </c>
      <c r="Q45" s="62" t="str">
        <f t="shared" si="6"/>
        <v>-</v>
      </c>
      <c r="R45" s="62">
        <f t="shared" si="7"/>
        <v>40</v>
      </c>
      <c r="S45" s="62">
        <f t="shared" si="8"/>
        <v>40</v>
      </c>
      <c r="T45" s="62" t="str">
        <f t="shared" si="9"/>
        <v>-</v>
      </c>
      <c r="V45" s="32">
        <f t="shared" si="10"/>
        <v>6</v>
      </c>
      <c r="Z45" s="25">
        <v>1</v>
      </c>
      <c r="AA45" s="54">
        <f t="shared" si="11"/>
        <v>0</v>
      </c>
      <c r="AB45" s="54">
        <f t="shared" si="12"/>
        <v>0</v>
      </c>
      <c r="AC45" s="54">
        <f t="shared" si="13"/>
        <v>0</v>
      </c>
      <c r="AD45" s="54">
        <f t="shared" si="14"/>
        <v>0</v>
      </c>
      <c r="AE45" s="54">
        <f t="shared" si="15"/>
        <v>0</v>
      </c>
      <c r="AG45" s="32">
        <f t="shared" si="16"/>
        <v>5</v>
      </c>
      <c r="AK45" s="25">
        <v>1</v>
      </c>
      <c r="AL45" s="54">
        <f t="shared" si="17"/>
        <v>0</v>
      </c>
      <c r="AM45" s="54">
        <f t="shared" si="18"/>
        <v>0</v>
      </c>
      <c r="AN45" s="54">
        <f t="shared" si="19"/>
        <v>0</v>
      </c>
      <c r="AO45" s="54">
        <f t="shared" si="20"/>
        <v>0</v>
      </c>
      <c r="AP45" s="54">
        <f t="shared" si="21"/>
        <v>0</v>
      </c>
      <c r="AR45" s="32">
        <f t="shared" si="22"/>
        <v>4</v>
      </c>
      <c r="AV45" s="25">
        <v>1</v>
      </c>
      <c r="AW45" s="54">
        <f t="shared" si="23"/>
        <v>0</v>
      </c>
      <c r="AX45" s="54">
        <f t="shared" si="24"/>
        <v>0</v>
      </c>
      <c r="AY45" s="54">
        <f t="shared" si="25"/>
        <v>0</v>
      </c>
      <c r="AZ45" s="54">
        <f t="shared" si="26"/>
        <v>0</v>
      </c>
      <c r="BA45" s="54">
        <f t="shared" si="27"/>
        <v>0</v>
      </c>
      <c r="BC45" s="32">
        <f t="shared" si="28"/>
        <v>3</v>
      </c>
      <c r="BG45" s="25">
        <v>1</v>
      </c>
      <c r="BH45" s="54">
        <f t="shared" si="29"/>
        <v>0</v>
      </c>
      <c r="BI45" s="54">
        <f t="shared" si="30"/>
        <v>0</v>
      </c>
      <c r="BJ45" s="54">
        <f t="shared" si="31"/>
        <v>0</v>
      </c>
      <c r="BK45" s="54">
        <f t="shared" si="32"/>
        <v>0</v>
      </c>
      <c r="BL45" s="54">
        <f t="shared" si="33"/>
        <v>0</v>
      </c>
      <c r="BN45" s="25">
        <f t="shared" si="34"/>
        <v>1</v>
      </c>
      <c r="BS45" s="39"/>
      <c r="BT45" s="39"/>
      <c r="BU45" s="39"/>
      <c r="BV45" s="39"/>
      <c r="BW45" s="39"/>
    </row>
    <row r="46" spans="2:75" x14ac:dyDescent="0.25">
      <c r="C46" s="62" t="str">
        <f t="shared" si="0"/>
        <v>-</v>
      </c>
      <c r="D46" s="62" t="str">
        <f t="shared" si="1"/>
        <v>-</v>
      </c>
      <c r="E46" s="62" t="str">
        <f t="shared" si="2"/>
        <v>-</v>
      </c>
      <c r="F46" s="62" t="str">
        <f t="shared" si="3"/>
        <v>-</v>
      </c>
      <c r="G46" s="62" t="str">
        <f t="shared" si="4"/>
        <v>-</v>
      </c>
      <c r="J46" s="17" t="s">
        <v>304</v>
      </c>
      <c r="K46" s="32" t="s">
        <v>89</v>
      </c>
      <c r="M46" s="40" t="s">
        <v>310</v>
      </c>
      <c r="O46" s="25">
        <v>2</v>
      </c>
      <c r="P46" s="62" t="str">
        <f t="shared" si="5"/>
        <v>-</v>
      </c>
      <c r="Q46" s="62" t="str">
        <f t="shared" si="6"/>
        <v>-</v>
      </c>
      <c r="R46" s="62" t="str">
        <f t="shared" si="7"/>
        <v>-</v>
      </c>
      <c r="S46" s="62">
        <f t="shared" si="8"/>
        <v>2</v>
      </c>
      <c r="T46" s="62" t="str">
        <f t="shared" si="9"/>
        <v>-</v>
      </c>
      <c r="V46" s="32">
        <f t="shared" si="10"/>
        <v>6</v>
      </c>
      <c r="Z46" s="25">
        <v>1</v>
      </c>
      <c r="AA46" s="54">
        <f t="shared" si="11"/>
        <v>0</v>
      </c>
      <c r="AB46" s="54">
        <f t="shared" si="12"/>
        <v>0</v>
      </c>
      <c r="AC46" s="54">
        <f t="shared" si="13"/>
        <v>0</v>
      </c>
      <c r="AD46" s="54">
        <f t="shared" si="14"/>
        <v>0</v>
      </c>
      <c r="AE46" s="54">
        <f t="shared" si="15"/>
        <v>0</v>
      </c>
      <c r="AG46" s="32">
        <f t="shared" si="16"/>
        <v>5</v>
      </c>
      <c r="AK46" s="25">
        <v>1</v>
      </c>
      <c r="AL46" s="54">
        <f t="shared" si="17"/>
        <v>0</v>
      </c>
      <c r="AM46" s="54">
        <f t="shared" si="18"/>
        <v>0</v>
      </c>
      <c r="AN46" s="54">
        <f t="shared" si="19"/>
        <v>0</v>
      </c>
      <c r="AO46" s="54">
        <f t="shared" si="20"/>
        <v>0</v>
      </c>
      <c r="AP46" s="54">
        <f t="shared" si="21"/>
        <v>0</v>
      </c>
      <c r="AR46" s="32">
        <f t="shared" si="22"/>
        <v>4</v>
      </c>
      <c r="AV46" s="25">
        <v>1</v>
      </c>
      <c r="AW46" s="54">
        <f t="shared" si="23"/>
        <v>0</v>
      </c>
      <c r="AX46" s="54">
        <f t="shared" si="24"/>
        <v>0</v>
      </c>
      <c r="AY46" s="54">
        <f t="shared" si="25"/>
        <v>0</v>
      </c>
      <c r="AZ46" s="54">
        <f t="shared" si="26"/>
        <v>0</v>
      </c>
      <c r="BA46" s="54">
        <f t="shared" si="27"/>
        <v>0</v>
      </c>
      <c r="BC46" s="32">
        <f t="shared" si="28"/>
        <v>3</v>
      </c>
      <c r="BG46" s="25">
        <v>1</v>
      </c>
      <c r="BH46" s="54">
        <f t="shared" si="29"/>
        <v>0</v>
      </c>
      <c r="BI46" s="54">
        <f t="shared" si="30"/>
        <v>0</v>
      </c>
      <c r="BJ46" s="54">
        <f t="shared" si="31"/>
        <v>0</v>
      </c>
      <c r="BK46" s="54">
        <f t="shared" si="32"/>
        <v>0</v>
      </c>
      <c r="BL46" s="54">
        <f t="shared" si="33"/>
        <v>0</v>
      </c>
      <c r="BN46" s="25">
        <f t="shared" si="34"/>
        <v>1</v>
      </c>
      <c r="BS46" s="39"/>
      <c r="BT46" s="39"/>
      <c r="BU46" s="39"/>
      <c r="BV46" s="39"/>
      <c r="BW46" s="39"/>
    </row>
    <row r="47" spans="2:75" x14ac:dyDescent="0.25">
      <c r="C47" s="62" t="str">
        <f t="shared" si="0"/>
        <v>-</v>
      </c>
      <c r="D47" s="62" t="str">
        <f t="shared" si="1"/>
        <v>-</v>
      </c>
      <c r="E47" s="62" t="str">
        <f t="shared" si="2"/>
        <v>-</v>
      </c>
      <c r="F47" s="62" t="str">
        <f t="shared" si="3"/>
        <v>-</v>
      </c>
      <c r="G47" s="62" t="str">
        <f t="shared" si="4"/>
        <v>-</v>
      </c>
      <c r="J47" s="17" t="s">
        <v>304</v>
      </c>
      <c r="K47" s="32" t="s">
        <v>66</v>
      </c>
      <c r="M47" s="40" t="s">
        <v>87</v>
      </c>
      <c r="O47" s="25">
        <v>2</v>
      </c>
      <c r="P47" s="62" t="str">
        <f t="shared" si="5"/>
        <v>-</v>
      </c>
      <c r="Q47" s="62" t="str">
        <f t="shared" si="6"/>
        <v>-</v>
      </c>
      <c r="R47" s="62" t="str">
        <f t="shared" si="7"/>
        <v>-</v>
      </c>
      <c r="S47" s="62" t="str">
        <f t="shared" si="8"/>
        <v>-</v>
      </c>
      <c r="T47" s="62">
        <f t="shared" si="9"/>
        <v>8</v>
      </c>
      <c r="V47" s="32">
        <f t="shared" si="10"/>
        <v>6</v>
      </c>
      <c r="Z47" s="25">
        <v>1</v>
      </c>
      <c r="AA47" s="54">
        <f t="shared" si="11"/>
        <v>0</v>
      </c>
      <c r="AB47" s="54">
        <f t="shared" si="12"/>
        <v>0</v>
      </c>
      <c r="AC47" s="54">
        <f t="shared" si="13"/>
        <v>0</v>
      </c>
      <c r="AD47" s="54">
        <f t="shared" si="14"/>
        <v>0</v>
      </c>
      <c r="AE47" s="54">
        <f t="shared" si="15"/>
        <v>0</v>
      </c>
      <c r="AG47" s="32">
        <f t="shared" si="16"/>
        <v>5</v>
      </c>
      <c r="AK47" s="25">
        <v>1</v>
      </c>
      <c r="AL47" s="54">
        <f t="shared" si="17"/>
        <v>0</v>
      </c>
      <c r="AM47" s="54">
        <f t="shared" si="18"/>
        <v>0</v>
      </c>
      <c r="AN47" s="54">
        <f t="shared" si="19"/>
        <v>0</v>
      </c>
      <c r="AO47" s="54">
        <f t="shared" si="20"/>
        <v>0</v>
      </c>
      <c r="AP47" s="54">
        <f t="shared" si="21"/>
        <v>0</v>
      </c>
      <c r="AR47" s="32">
        <f t="shared" si="22"/>
        <v>4</v>
      </c>
      <c r="AV47" s="25">
        <v>1</v>
      </c>
      <c r="AW47" s="54">
        <f t="shared" si="23"/>
        <v>0</v>
      </c>
      <c r="AX47" s="54">
        <f t="shared" si="24"/>
        <v>0</v>
      </c>
      <c r="AY47" s="54">
        <f t="shared" si="25"/>
        <v>0</v>
      </c>
      <c r="AZ47" s="54">
        <f t="shared" si="26"/>
        <v>0</v>
      </c>
      <c r="BA47" s="54">
        <f t="shared" si="27"/>
        <v>0</v>
      </c>
      <c r="BC47" s="32">
        <f t="shared" si="28"/>
        <v>3</v>
      </c>
      <c r="BG47" s="25">
        <v>1</v>
      </c>
      <c r="BH47" s="54">
        <f t="shared" si="29"/>
        <v>0</v>
      </c>
      <c r="BI47" s="54">
        <f t="shared" si="30"/>
        <v>0</v>
      </c>
      <c r="BJ47" s="54">
        <f t="shared" si="31"/>
        <v>0</v>
      </c>
      <c r="BK47" s="54">
        <f t="shared" si="32"/>
        <v>0</v>
      </c>
      <c r="BL47" s="54">
        <f t="shared" si="33"/>
        <v>0</v>
      </c>
      <c r="BN47" s="25">
        <f t="shared" si="34"/>
        <v>1</v>
      </c>
      <c r="BS47" s="39"/>
      <c r="BT47" s="39"/>
      <c r="BU47" s="39"/>
      <c r="BV47" s="39"/>
      <c r="BW47" s="39"/>
    </row>
    <row r="48" spans="2:75" x14ac:dyDescent="0.25">
      <c r="C48" s="62" t="str">
        <f t="shared" si="0"/>
        <v>-</v>
      </c>
      <c r="D48" s="62" t="str">
        <f t="shared" si="1"/>
        <v>-</v>
      </c>
      <c r="E48" s="62" t="str">
        <f t="shared" si="2"/>
        <v>-</v>
      </c>
      <c r="F48" s="62" t="str">
        <f t="shared" si="3"/>
        <v>-</v>
      </c>
      <c r="G48" s="62" t="str">
        <f t="shared" si="4"/>
        <v>-</v>
      </c>
      <c r="J48" s="17" t="s">
        <v>304</v>
      </c>
      <c r="K48" s="32" t="s">
        <v>66</v>
      </c>
      <c r="M48" s="40" t="s">
        <v>45</v>
      </c>
      <c r="O48" s="25">
        <v>2</v>
      </c>
      <c r="P48" s="62" t="str">
        <f t="shared" si="5"/>
        <v>-</v>
      </c>
      <c r="Q48" s="62" t="str">
        <f t="shared" si="6"/>
        <v>-</v>
      </c>
      <c r="R48" s="62" t="str">
        <f t="shared" si="7"/>
        <v>-</v>
      </c>
      <c r="S48" s="62" t="str">
        <f t="shared" si="8"/>
        <v>-</v>
      </c>
      <c r="T48" s="62">
        <f t="shared" si="9"/>
        <v>8</v>
      </c>
      <c r="V48" s="32">
        <f t="shared" si="10"/>
        <v>6</v>
      </c>
      <c r="Z48" s="25">
        <v>1</v>
      </c>
      <c r="AA48" s="54">
        <f t="shared" si="11"/>
        <v>0</v>
      </c>
      <c r="AB48" s="54">
        <f t="shared" si="12"/>
        <v>0</v>
      </c>
      <c r="AC48" s="54">
        <f t="shared" si="13"/>
        <v>0</v>
      </c>
      <c r="AD48" s="54">
        <f t="shared" si="14"/>
        <v>0</v>
      </c>
      <c r="AE48" s="54">
        <f t="shared" si="15"/>
        <v>0</v>
      </c>
      <c r="AG48" s="32">
        <f t="shared" si="16"/>
        <v>5</v>
      </c>
      <c r="AK48" s="25">
        <v>1</v>
      </c>
      <c r="AL48" s="54">
        <f t="shared" si="17"/>
        <v>0</v>
      </c>
      <c r="AM48" s="54">
        <f t="shared" si="18"/>
        <v>0</v>
      </c>
      <c r="AN48" s="54">
        <f t="shared" si="19"/>
        <v>0</v>
      </c>
      <c r="AO48" s="54">
        <f t="shared" si="20"/>
        <v>0</v>
      </c>
      <c r="AP48" s="54">
        <f t="shared" si="21"/>
        <v>0</v>
      </c>
      <c r="AR48" s="32">
        <f t="shared" si="22"/>
        <v>4</v>
      </c>
      <c r="AV48" s="25">
        <v>1</v>
      </c>
      <c r="AW48" s="54">
        <f t="shared" si="23"/>
        <v>0</v>
      </c>
      <c r="AX48" s="54">
        <f t="shared" si="24"/>
        <v>0</v>
      </c>
      <c r="AY48" s="54">
        <f t="shared" si="25"/>
        <v>0</v>
      </c>
      <c r="AZ48" s="54">
        <f t="shared" si="26"/>
        <v>0</v>
      </c>
      <c r="BA48" s="54">
        <f t="shared" si="27"/>
        <v>0</v>
      </c>
      <c r="BC48" s="32">
        <f t="shared" si="28"/>
        <v>3</v>
      </c>
      <c r="BG48" s="25">
        <v>1</v>
      </c>
      <c r="BH48" s="54">
        <f t="shared" si="29"/>
        <v>0</v>
      </c>
      <c r="BI48" s="54">
        <f t="shared" si="30"/>
        <v>0</v>
      </c>
      <c r="BJ48" s="54">
        <f t="shared" si="31"/>
        <v>0</v>
      </c>
      <c r="BK48" s="54">
        <f t="shared" si="32"/>
        <v>0</v>
      </c>
      <c r="BL48" s="54">
        <f t="shared" si="33"/>
        <v>0</v>
      </c>
      <c r="BN48" s="25">
        <f t="shared" si="34"/>
        <v>1</v>
      </c>
      <c r="BS48" s="39"/>
      <c r="BT48" s="39"/>
      <c r="BU48" s="39"/>
      <c r="BV48" s="39"/>
      <c r="BW48" s="39"/>
    </row>
    <row r="49" spans="3:75" x14ac:dyDescent="0.25">
      <c r="C49" s="62" t="str">
        <f t="shared" si="0"/>
        <v>-</v>
      </c>
      <c r="D49" s="62" t="str">
        <f t="shared" si="1"/>
        <v>-</v>
      </c>
      <c r="E49" s="62" t="str">
        <f t="shared" si="2"/>
        <v>-</v>
      </c>
      <c r="F49" s="62" t="str">
        <f t="shared" si="3"/>
        <v>-</v>
      </c>
      <c r="G49" s="62" t="str">
        <f t="shared" si="4"/>
        <v>-</v>
      </c>
      <c r="J49" s="17" t="s">
        <v>304</v>
      </c>
      <c r="K49" s="32" t="s">
        <v>62</v>
      </c>
      <c r="L49" s="32" t="s">
        <v>237</v>
      </c>
      <c r="M49" s="40" t="s">
        <v>81</v>
      </c>
      <c r="O49" s="25">
        <v>3</v>
      </c>
      <c r="P49" s="62" t="str">
        <f t="shared" si="5"/>
        <v>-</v>
      </c>
      <c r="Q49" s="62" t="str">
        <f t="shared" si="6"/>
        <v>-</v>
      </c>
      <c r="R49" s="62">
        <f t="shared" si="7"/>
        <v>6</v>
      </c>
      <c r="S49" s="62" t="str">
        <f t="shared" si="8"/>
        <v>-</v>
      </c>
      <c r="T49" s="62" t="str">
        <f t="shared" si="9"/>
        <v>-</v>
      </c>
      <c r="V49" s="32">
        <f t="shared" si="10"/>
        <v>6</v>
      </c>
      <c r="Z49" s="25">
        <v>1</v>
      </c>
      <c r="AA49" s="54">
        <f t="shared" si="11"/>
        <v>0</v>
      </c>
      <c r="AB49" s="54">
        <f t="shared" si="12"/>
        <v>0</v>
      </c>
      <c r="AC49" s="54">
        <f t="shared" si="13"/>
        <v>0</v>
      </c>
      <c r="AD49" s="54">
        <f t="shared" si="14"/>
        <v>0</v>
      </c>
      <c r="AE49" s="54">
        <f t="shared" si="15"/>
        <v>0</v>
      </c>
      <c r="AG49" s="32">
        <f t="shared" si="16"/>
        <v>5</v>
      </c>
      <c r="AK49" s="25">
        <v>1</v>
      </c>
      <c r="AL49" s="54">
        <f t="shared" si="17"/>
        <v>0</v>
      </c>
      <c r="AM49" s="54">
        <f t="shared" si="18"/>
        <v>0</v>
      </c>
      <c r="AN49" s="54">
        <f t="shared" si="19"/>
        <v>0</v>
      </c>
      <c r="AO49" s="54">
        <f t="shared" si="20"/>
        <v>0</v>
      </c>
      <c r="AP49" s="54">
        <f t="shared" si="21"/>
        <v>0</v>
      </c>
      <c r="AR49" s="32">
        <f t="shared" si="22"/>
        <v>4</v>
      </c>
      <c r="AV49" s="25">
        <v>1</v>
      </c>
      <c r="AW49" s="54">
        <f t="shared" si="23"/>
        <v>0</v>
      </c>
      <c r="AX49" s="54">
        <f t="shared" si="24"/>
        <v>0</v>
      </c>
      <c r="AY49" s="54">
        <f t="shared" si="25"/>
        <v>0</v>
      </c>
      <c r="AZ49" s="54">
        <f t="shared" si="26"/>
        <v>0</v>
      </c>
      <c r="BA49" s="54">
        <f t="shared" si="27"/>
        <v>0</v>
      </c>
      <c r="BC49" s="32">
        <f t="shared" si="28"/>
        <v>3</v>
      </c>
      <c r="BG49" s="25">
        <v>1</v>
      </c>
      <c r="BH49" s="54">
        <f t="shared" si="29"/>
        <v>0</v>
      </c>
      <c r="BI49" s="54">
        <f t="shared" si="30"/>
        <v>0</v>
      </c>
      <c r="BJ49" s="54">
        <f t="shared" si="31"/>
        <v>0</v>
      </c>
      <c r="BK49" s="54">
        <f t="shared" si="32"/>
        <v>0</v>
      </c>
      <c r="BL49" s="54">
        <f t="shared" si="33"/>
        <v>0</v>
      </c>
      <c r="BN49" s="25">
        <f t="shared" si="34"/>
        <v>1</v>
      </c>
      <c r="BS49" s="39"/>
      <c r="BT49" s="39"/>
      <c r="BU49" s="39"/>
      <c r="BV49" s="39"/>
      <c r="BW49" s="39"/>
    </row>
    <row r="50" spans="3:75" x14ac:dyDescent="0.25">
      <c r="C50" s="62" t="str">
        <f t="shared" si="0"/>
        <v>-</v>
      </c>
      <c r="D50" s="62" t="str">
        <f t="shared" si="1"/>
        <v>-</v>
      </c>
      <c r="E50" s="62" t="str">
        <f t="shared" si="2"/>
        <v>-</v>
      </c>
      <c r="F50" s="62" t="str">
        <f t="shared" si="3"/>
        <v>-</v>
      </c>
      <c r="G50" s="62" t="str">
        <f t="shared" si="4"/>
        <v>-</v>
      </c>
      <c r="J50" s="17" t="s">
        <v>304</v>
      </c>
      <c r="K50" s="32" t="s">
        <v>62</v>
      </c>
      <c r="M50" s="40" t="s">
        <v>311</v>
      </c>
      <c r="O50" s="25">
        <v>2</v>
      </c>
      <c r="P50" s="62" t="str">
        <f t="shared" si="5"/>
        <v>-</v>
      </c>
      <c r="Q50" s="62" t="str">
        <f t="shared" si="6"/>
        <v>-</v>
      </c>
      <c r="R50" s="62">
        <f t="shared" si="7"/>
        <v>4</v>
      </c>
      <c r="S50" s="62" t="str">
        <f t="shared" si="8"/>
        <v>-</v>
      </c>
      <c r="T50" s="62" t="str">
        <f t="shared" si="9"/>
        <v>-</v>
      </c>
      <c r="V50" s="32">
        <f t="shared" si="10"/>
        <v>6</v>
      </c>
      <c r="Z50" s="25">
        <v>1</v>
      </c>
      <c r="AA50" s="54">
        <f t="shared" si="11"/>
        <v>0</v>
      </c>
      <c r="AB50" s="54">
        <f t="shared" si="12"/>
        <v>0</v>
      </c>
      <c r="AC50" s="54">
        <f t="shared" si="13"/>
        <v>0</v>
      </c>
      <c r="AD50" s="54">
        <f t="shared" si="14"/>
        <v>0</v>
      </c>
      <c r="AE50" s="54">
        <f t="shared" si="15"/>
        <v>0</v>
      </c>
      <c r="AG50" s="32">
        <f t="shared" si="16"/>
        <v>5</v>
      </c>
      <c r="AK50" s="25">
        <v>1</v>
      </c>
      <c r="AL50" s="54">
        <f t="shared" si="17"/>
        <v>0</v>
      </c>
      <c r="AM50" s="54">
        <f t="shared" si="18"/>
        <v>0</v>
      </c>
      <c r="AN50" s="54">
        <f t="shared" si="19"/>
        <v>0</v>
      </c>
      <c r="AO50" s="54">
        <f t="shared" si="20"/>
        <v>0</v>
      </c>
      <c r="AP50" s="54">
        <f t="shared" si="21"/>
        <v>0</v>
      </c>
      <c r="AR50" s="32">
        <f t="shared" si="22"/>
        <v>4</v>
      </c>
      <c r="AV50" s="25">
        <v>1</v>
      </c>
      <c r="AW50" s="54">
        <f t="shared" si="23"/>
        <v>0</v>
      </c>
      <c r="AX50" s="54">
        <f t="shared" si="24"/>
        <v>0</v>
      </c>
      <c r="AY50" s="54">
        <f t="shared" si="25"/>
        <v>0</v>
      </c>
      <c r="AZ50" s="54">
        <f t="shared" si="26"/>
        <v>0</v>
      </c>
      <c r="BA50" s="54">
        <f t="shared" si="27"/>
        <v>0</v>
      </c>
      <c r="BC50" s="32">
        <f t="shared" si="28"/>
        <v>3</v>
      </c>
      <c r="BG50" s="25">
        <v>1</v>
      </c>
      <c r="BH50" s="54">
        <f t="shared" si="29"/>
        <v>0</v>
      </c>
      <c r="BI50" s="54">
        <f t="shared" si="30"/>
        <v>0</v>
      </c>
      <c r="BJ50" s="54">
        <f t="shared" si="31"/>
        <v>0</v>
      </c>
      <c r="BK50" s="54">
        <f t="shared" si="32"/>
        <v>0</v>
      </c>
      <c r="BL50" s="54">
        <f t="shared" si="33"/>
        <v>0</v>
      </c>
      <c r="BN50" s="25">
        <f t="shared" si="34"/>
        <v>1</v>
      </c>
      <c r="BS50" s="39"/>
      <c r="BT50" s="39"/>
      <c r="BU50" s="39"/>
      <c r="BV50" s="39"/>
      <c r="BW50" s="39"/>
    </row>
    <row r="51" spans="3:75" x14ac:dyDescent="0.25">
      <c r="C51" s="62" t="str">
        <f t="shared" si="0"/>
        <v>-</v>
      </c>
      <c r="D51" s="62" t="str">
        <f t="shared" si="1"/>
        <v>-</v>
      </c>
      <c r="E51" s="62" t="str">
        <f t="shared" si="2"/>
        <v>-</v>
      </c>
      <c r="F51" s="62" t="str">
        <f t="shared" si="3"/>
        <v>-</v>
      </c>
      <c r="G51" s="62" t="str">
        <f t="shared" si="4"/>
        <v>-</v>
      </c>
      <c r="J51" s="17" t="s">
        <v>304</v>
      </c>
      <c r="K51" s="32" t="s">
        <v>68</v>
      </c>
      <c r="M51" s="40" t="s">
        <v>312</v>
      </c>
      <c r="O51" s="25">
        <v>6</v>
      </c>
      <c r="P51" s="62" t="str">
        <f t="shared" si="5"/>
        <v>-</v>
      </c>
      <c r="Q51" s="62" t="str">
        <f t="shared" si="6"/>
        <v>-</v>
      </c>
      <c r="R51" s="62" t="str">
        <f t="shared" si="7"/>
        <v>-</v>
      </c>
      <c r="S51" s="62">
        <f t="shared" si="8"/>
        <v>6</v>
      </c>
      <c r="T51" s="62" t="str">
        <f t="shared" si="9"/>
        <v>-</v>
      </c>
      <c r="V51" s="32">
        <f t="shared" si="10"/>
        <v>6</v>
      </c>
      <c r="Z51" s="25">
        <v>1</v>
      </c>
      <c r="AA51" s="54">
        <f t="shared" si="11"/>
        <v>0</v>
      </c>
      <c r="AB51" s="54">
        <f t="shared" si="12"/>
        <v>0</v>
      </c>
      <c r="AC51" s="54">
        <f t="shared" si="13"/>
        <v>0</v>
      </c>
      <c r="AD51" s="54">
        <f t="shared" si="14"/>
        <v>0</v>
      </c>
      <c r="AE51" s="54">
        <f t="shared" si="15"/>
        <v>0</v>
      </c>
      <c r="AG51" s="32">
        <f t="shared" si="16"/>
        <v>5</v>
      </c>
      <c r="AK51" s="25">
        <v>1</v>
      </c>
      <c r="AL51" s="54">
        <f t="shared" si="17"/>
        <v>0</v>
      </c>
      <c r="AM51" s="54">
        <f t="shared" si="18"/>
        <v>0</v>
      </c>
      <c r="AN51" s="54">
        <f t="shared" si="19"/>
        <v>0</v>
      </c>
      <c r="AO51" s="54">
        <f t="shared" si="20"/>
        <v>0</v>
      </c>
      <c r="AP51" s="54">
        <f t="shared" si="21"/>
        <v>0</v>
      </c>
      <c r="AR51" s="32">
        <f t="shared" si="22"/>
        <v>4</v>
      </c>
      <c r="AV51" s="25">
        <v>1</v>
      </c>
      <c r="AW51" s="54">
        <f t="shared" si="23"/>
        <v>0</v>
      </c>
      <c r="AX51" s="54">
        <f t="shared" si="24"/>
        <v>0</v>
      </c>
      <c r="AY51" s="54">
        <f t="shared" si="25"/>
        <v>0</v>
      </c>
      <c r="AZ51" s="54">
        <f t="shared" si="26"/>
        <v>0</v>
      </c>
      <c r="BA51" s="54">
        <f t="shared" si="27"/>
        <v>0</v>
      </c>
      <c r="BC51" s="32">
        <f t="shared" si="28"/>
        <v>3</v>
      </c>
      <c r="BG51" s="25">
        <v>1</v>
      </c>
      <c r="BH51" s="54">
        <f t="shared" si="29"/>
        <v>0</v>
      </c>
      <c r="BI51" s="54">
        <f t="shared" si="30"/>
        <v>0</v>
      </c>
      <c r="BJ51" s="54">
        <f t="shared" si="31"/>
        <v>0</v>
      </c>
      <c r="BK51" s="54">
        <f t="shared" si="32"/>
        <v>0</v>
      </c>
      <c r="BL51" s="54">
        <f t="shared" si="33"/>
        <v>0</v>
      </c>
      <c r="BN51" s="25">
        <f t="shared" si="34"/>
        <v>1</v>
      </c>
      <c r="BS51" s="39"/>
      <c r="BT51" s="39"/>
      <c r="BU51" s="39"/>
      <c r="BV51" s="39"/>
      <c r="BW51" s="39"/>
    </row>
    <row r="52" spans="3:75" x14ac:dyDescent="0.25">
      <c r="C52" s="62" t="str">
        <f t="shared" si="0"/>
        <v>-</v>
      </c>
      <c r="D52" s="62" t="str">
        <f t="shared" si="1"/>
        <v>-</v>
      </c>
      <c r="E52" s="62" t="str">
        <f t="shared" si="2"/>
        <v>-</v>
      </c>
      <c r="F52" s="62" t="str">
        <f t="shared" si="3"/>
        <v>-</v>
      </c>
      <c r="G52" s="62" t="str">
        <f t="shared" si="4"/>
        <v>-</v>
      </c>
      <c r="J52" s="17" t="s">
        <v>304</v>
      </c>
      <c r="K52" s="32" t="s">
        <v>83</v>
      </c>
      <c r="M52" s="40" t="s">
        <v>305</v>
      </c>
      <c r="O52" s="25">
        <v>5</v>
      </c>
      <c r="P52" s="62" t="str">
        <f t="shared" si="5"/>
        <v>-</v>
      </c>
      <c r="Q52" s="62" t="str">
        <f t="shared" si="6"/>
        <v>-</v>
      </c>
      <c r="R52" s="62">
        <f t="shared" si="7"/>
        <v>10</v>
      </c>
      <c r="S52" s="62">
        <f t="shared" si="8"/>
        <v>5</v>
      </c>
      <c r="T52" s="62" t="str">
        <f t="shared" si="9"/>
        <v>-</v>
      </c>
      <c r="V52" s="32">
        <f t="shared" si="10"/>
        <v>6</v>
      </c>
      <c r="Z52" s="25">
        <v>1</v>
      </c>
      <c r="AA52" s="54">
        <f t="shared" si="11"/>
        <v>0</v>
      </c>
      <c r="AB52" s="54">
        <f t="shared" si="12"/>
        <v>0</v>
      </c>
      <c r="AC52" s="54">
        <f t="shared" si="13"/>
        <v>0</v>
      </c>
      <c r="AD52" s="54">
        <f t="shared" si="14"/>
        <v>0</v>
      </c>
      <c r="AE52" s="54">
        <f t="shared" si="15"/>
        <v>0</v>
      </c>
      <c r="AG52" s="32">
        <f t="shared" si="16"/>
        <v>5</v>
      </c>
      <c r="AK52" s="25">
        <v>1</v>
      </c>
      <c r="AL52" s="54">
        <f t="shared" si="17"/>
        <v>0</v>
      </c>
      <c r="AM52" s="54">
        <f t="shared" si="18"/>
        <v>0</v>
      </c>
      <c r="AN52" s="54">
        <f t="shared" si="19"/>
        <v>0</v>
      </c>
      <c r="AO52" s="54">
        <f t="shared" si="20"/>
        <v>0</v>
      </c>
      <c r="AP52" s="54">
        <f t="shared" si="21"/>
        <v>0</v>
      </c>
      <c r="AR52" s="32">
        <f t="shared" si="22"/>
        <v>4</v>
      </c>
      <c r="AV52" s="25">
        <v>1</v>
      </c>
      <c r="AW52" s="54">
        <f t="shared" si="23"/>
        <v>0</v>
      </c>
      <c r="AX52" s="54">
        <f t="shared" si="24"/>
        <v>0</v>
      </c>
      <c r="AY52" s="54">
        <f t="shared" si="25"/>
        <v>0</v>
      </c>
      <c r="AZ52" s="54">
        <f t="shared" si="26"/>
        <v>0</v>
      </c>
      <c r="BA52" s="54">
        <f t="shared" si="27"/>
        <v>0</v>
      </c>
      <c r="BC52" s="32">
        <f t="shared" si="28"/>
        <v>3</v>
      </c>
      <c r="BG52" s="25">
        <v>1</v>
      </c>
      <c r="BH52" s="54">
        <f t="shared" si="29"/>
        <v>0</v>
      </c>
      <c r="BI52" s="54">
        <f t="shared" si="30"/>
        <v>0</v>
      </c>
      <c r="BJ52" s="54">
        <f t="shared" si="31"/>
        <v>0</v>
      </c>
      <c r="BK52" s="54">
        <f t="shared" si="32"/>
        <v>0</v>
      </c>
      <c r="BL52" s="54">
        <f t="shared" si="33"/>
        <v>0</v>
      </c>
      <c r="BN52" s="25">
        <f t="shared" si="34"/>
        <v>1</v>
      </c>
      <c r="BS52" s="39"/>
      <c r="BT52" s="39"/>
      <c r="BU52" s="39"/>
      <c r="BV52" s="39"/>
      <c r="BW52" s="39"/>
    </row>
    <row r="53" spans="3:75" x14ac:dyDescent="0.25">
      <c r="C53" s="62" t="str">
        <f t="shared" si="0"/>
        <v>-</v>
      </c>
      <c r="D53" s="62" t="str">
        <f t="shared" si="1"/>
        <v>-</v>
      </c>
      <c r="E53" s="62" t="str">
        <f t="shared" si="2"/>
        <v>-</v>
      </c>
      <c r="F53" s="62" t="str">
        <f t="shared" si="3"/>
        <v>-</v>
      </c>
      <c r="G53" s="62" t="str">
        <f t="shared" si="4"/>
        <v>-</v>
      </c>
      <c r="J53" s="17" t="s">
        <v>304</v>
      </c>
      <c r="K53" s="32" t="s">
        <v>83</v>
      </c>
      <c r="M53" s="40" t="s">
        <v>306</v>
      </c>
      <c r="O53" s="25">
        <v>4</v>
      </c>
      <c r="P53" s="62" t="str">
        <f t="shared" si="5"/>
        <v>-</v>
      </c>
      <c r="Q53" s="62" t="str">
        <f t="shared" si="6"/>
        <v>-</v>
      </c>
      <c r="R53" s="62">
        <f t="shared" si="7"/>
        <v>8</v>
      </c>
      <c r="S53" s="62">
        <f t="shared" si="8"/>
        <v>4</v>
      </c>
      <c r="T53" s="62" t="str">
        <f t="shared" si="9"/>
        <v>-</v>
      </c>
      <c r="V53" s="32">
        <f t="shared" si="10"/>
        <v>6</v>
      </c>
      <c r="Z53" s="25">
        <v>1</v>
      </c>
      <c r="AA53" s="54">
        <f t="shared" si="11"/>
        <v>0</v>
      </c>
      <c r="AB53" s="54">
        <f t="shared" si="12"/>
        <v>0</v>
      </c>
      <c r="AC53" s="54">
        <f t="shared" si="13"/>
        <v>0</v>
      </c>
      <c r="AD53" s="54">
        <f t="shared" si="14"/>
        <v>0</v>
      </c>
      <c r="AE53" s="54">
        <f t="shared" si="15"/>
        <v>0</v>
      </c>
      <c r="AG53" s="32">
        <f t="shared" si="16"/>
        <v>5</v>
      </c>
      <c r="AK53" s="25">
        <v>1</v>
      </c>
      <c r="AL53" s="54">
        <f t="shared" si="17"/>
        <v>0</v>
      </c>
      <c r="AM53" s="54">
        <f t="shared" si="18"/>
        <v>0</v>
      </c>
      <c r="AN53" s="54">
        <f t="shared" si="19"/>
        <v>0</v>
      </c>
      <c r="AO53" s="54">
        <f t="shared" si="20"/>
        <v>0</v>
      </c>
      <c r="AP53" s="54">
        <f t="shared" si="21"/>
        <v>0</v>
      </c>
      <c r="AR53" s="32">
        <f t="shared" si="22"/>
        <v>4</v>
      </c>
      <c r="AV53" s="25">
        <v>1</v>
      </c>
      <c r="AW53" s="54">
        <f t="shared" si="23"/>
        <v>0</v>
      </c>
      <c r="AX53" s="54">
        <f t="shared" si="24"/>
        <v>0</v>
      </c>
      <c r="AY53" s="54">
        <f t="shared" si="25"/>
        <v>0</v>
      </c>
      <c r="AZ53" s="54">
        <f t="shared" si="26"/>
        <v>0</v>
      </c>
      <c r="BA53" s="54">
        <f t="shared" si="27"/>
        <v>0</v>
      </c>
      <c r="BC53" s="32">
        <f t="shared" si="28"/>
        <v>3</v>
      </c>
      <c r="BG53" s="25">
        <v>1</v>
      </c>
      <c r="BH53" s="54">
        <f t="shared" si="29"/>
        <v>0</v>
      </c>
      <c r="BI53" s="54">
        <f t="shared" si="30"/>
        <v>0</v>
      </c>
      <c r="BJ53" s="54">
        <f t="shared" si="31"/>
        <v>0</v>
      </c>
      <c r="BK53" s="54">
        <f t="shared" si="32"/>
        <v>0</v>
      </c>
      <c r="BL53" s="54">
        <f t="shared" si="33"/>
        <v>0</v>
      </c>
      <c r="BN53" s="25">
        <f t="shared" si="34"/>
        <v>1</v>
      </c>
      <c r="BS53" s="39"/>
      <c r="BT53" s="39"/>
      <c r="BU53" s="39"/>
      <c r="BV53" s="39"/>
      <c r="BW53" s="39"/>
    </row>
    <row r="54" spans="3:75" x14ac:dyDescent="0.25">
      <c r="C54" s="62" t="str">
        <f t="shared" si="0"/>
        <v>-</v>
      </c>
      <c r="D54" s="62" t="str">
        <f t="shared" si="1"/>
        <v>-</v>
      </c>
      <c r="E54" s="62" t="str">
        <f t="shared" si="2"/>
        <v>-</v>
      </c>
      <c r="F54" s="62" t="str">
        <f t="shared" si="3"/>
        <v>-</v>
      </c>
      <c r="G54" s="62" t="str">
        <f t="shared" si="4"/>
        <v>-</v>
      </c>
      <c r="J54" s="17" t="s">
        <v>304</v>
      </c>
      <c r="K54" s="32" t="s">
        <v>83</v>
      </c>
      <c r="M54" s="40" t="s">
        <v>307</v>
      </c>
      <c r="O54" s="25">
        <v>5</v>
      </c>
      <c r="P54" s="62" t="str">
        <f t="shared" si="5"/>
        <v>-</v>
      </c>
      <c r="Q54" s="62" t="str">
        <f t="shared" si="6"/>
        <v>-</v>
      </c>
      <c r="R54" s="62">
        <f t="shared" si="7"/>
        <v>10</v>
      </c>
      <c r="S54" s="62">
        <f t="shared" si="8"/>
        <v>5</v>
      </c>
      <c r="T54" s="62" t="str">
        <f t="shared" si="9"/>
        <v>-</v>
      </c>
      <c r="V54" s="32">
        <f t="shared" si="10"/>
        <v>6</v>
      </c>
      <c r="Z54" s="25">
        <v>1</v>
      </c>
      <c r="AA54" s="54">
        <f t="shared" si="11"/>
        <v>0</v>
      </c>
      <c r="AB54" s="54">
        <f t="shared" si="12"/>
        <v>0</v>
      </c>
      <c r="AC54" s="54">
        <f t="shared" si="13"/>
        <v>0</v>
      </c>
      <c r="AD54" s="54">
        <f t="shared" si="14"/>
        <v>0</v>
      </c>
      <c r="AE54" s="54">
        <f t="shared" si="15"/>
        <v>0</v>
      </c>
      <c r="AG54" s="32">
        <f t="shared" si="16"/>
        <v>5</v>
      </c>
      <c r="AK54" s="25">
        <v>1</v>
      </c>
      <c r="AL54" s="54">
        <f t="shared" si="17"/>
        <v>0</v>
      </c>
      <c r="AM54" s="54">
        <f t="shared" si="18"/>
        <v>0</v>
      </c>
      <c r="AN54" s="54">
        <f t="shared" si="19"/>
        <v>0</v>
      </c>
      <c r="AO54" s="54">
        <f t="shared" si="20"/>
        <v>0</v>
      </c>
      <c r="AP54" s="54">
        <f t="shared" si="21"/>
        <v>0</v>
      </c>
      <c r="AR54" s="32">
        <f t="shared" si="22"/>
        <v>4</v>
      </c>
      <c r="AV54" s="25">
        <v>1</v>
      </c>
      <c r="AW54" s="54">
        <f t="shared" si="23"/>
        <v>0</v>
      </c>
      <c r="AX54" s="54">
        <f t="shared" si="24"/>
        <v>0</v>
      </c>
      <c r="AY54" s="54">
        <f t="shared" si="25"/>
        <v>0</v>
      </c>
      <c r="AZ54" s="54">
        <f t="shared" si="26"/>
        <v>0</v>
      </c>
      <c r="BA54" s="54">
        <f t="shared" si="27"/>
        <v>0</v>
      </c>
      <c r="BC54" s="32">
        <f t="shared" si="28"/>
        <v>3</v>
      </c>
      <c r="BG54" s="25">
        <v>1</v>
      </c>
      <c r="BH54" s="54">
        <f t="shared" si="29"/>
        <v>0</v>
      </c>
      <c r="BI54" s="54">
        <f t="shared" si="30"/>
        <v>0</v>
      </c>
      <c r="BJ54" s="54">
        <f t="shared" si="31"/>
        <v>0</v>
      </c>
      <c r="BK54" s="54">
        <f t="shared" si="32"/>
        <v>0</v>
      </c>
      <c r="BL54" s="54">
        <f t="shared" si="33"/>
        <v>0</v>
      </c>
      <c r="BN54" s="25">
        <f t="shared" si="34"/>
        <v>1</v>
      </c>
      <c r="BS54" s="39"/>
      <c r="BT54" s="39"/>
      <c r="BU54" s="39"/>
      <c r="BV54" s="39"/>
      <c r="BW54" s="39"/>
    </row>
    <row r="55" spans="3:75" x14ac:dyDescent="0.25">
      <c r="C55" s="62" t="str">
        <f t="shared" si="0"/>
        <v>-</v>
      </c>
      <c r="D55" s="62" t="str">
        <f t="shared" si="1"/>
        <v>-</v>
      </c>
      <c r="E55" s="62" t="str">
        <f t="shared" si="2"/>
        <v>-</v>
      </c>
      <c r="F55" s="62" t="str">
        <f t="shared" si="3"/>
        <v>-</v>
      </c>
      <c r="G55" s="62" t="str">
        <f t="shared" si="4"/>
        <v>-</v>
      </c>
      <c r="J55" s="17" t="s">
        <v>38</v>
      </c>
      <c r="K55" s="32" t="s">
        <v>65</v>
      </c>
      <c r="L55" s="32" t="s">
        <v>45</v>
      </c>
      <c r="M55" s="32" t="s">
        <v>102</v>
      </c>
      <c r="N55" s="32"/>
      <c r="O55" s="25">
        <v>1</v>
      </c>
      <c r="P55" s="62">
        <f t="shared" si="5"/>
        <v>1</v>
      </c>
      <c r="Q55" s="62" t="str">
        <f t="shared" si="6"/>
        <v>-</v>
      </c>
      <c r="R55" s="62" t="str">
        <f t="shared" si="7"/>
        <v>-</v>
      </c>
      <c r="S55" s="62" t="str">
        <f t="shared" si="8"/>
        <v>-</v>
      </c>
      <c r="T55" s="62" t="str">
        <f t="shared" si="9"/>
        <v>-</v>
      </c>
      <c r="V55" s="32">
        <f t="shared" si="10"/>
        <v>6</v>
      </c>
      <c r="Z55" s="25">
        <v>1</v>
      </c>
      <c r="AA55" s="54">
        <f t="shared" si="11"/>
        <v>0</v>
      </c>
      <c r="AB55" s="54">
        <f t="shared" si="12"/>
        <v>0</v>
      </c>
      <c r="AC55" s="54">
        <f t="shared" si="13"/>
        <v>0</v>
      </c>
      <c r="AD55" s="54">
        <f t="shared" si="14"/>
        <v>0</v>
      </c>
      <c r="AE55" s="54">
        <f t="shared" si="15"/>
        <v>0</v>
      </c>
      <c r="AG55" s="32">
        <f t="shared" si="16"/>
        <v>5</v>
      </c>
      <c r="AK55" s="25">
        <v>1</v>
      </c>
      <c r="AL55" s="54">
        <f t="shared" si="17"/>
        <v>0</v>
      </c>
      <c r="AM55" s="54">
        <f t="shared" si="18"/>
        <v>0</v>
      </c>
      <c r="AN55" s="54">
        <f t="shared" si="19"/>
        <v>0</v>
      </c>
      <c r="AO55" s="54">
        <f t="shared" si="20"/>
        <v>0</v>
      </c>
      <c r="AP55" s="54">
        <f t="shared" si="21"/>
        <v>0</v>
      </c>
      <c r="AR55" s="32">
        <f t="shared" si="22"/>
        <v>4</v>
      </c>
      <c r="AV55" s="25">
        <v>1</v>
      </c>
      <c r="AW55" s="54">
        <f t="shared" si="23"/>
        <v>0</v>
      </c>
      <c r="AX55" s="54">
        <f t="shared" si="24"/>
        <v>0</v>
      </c>
      <c r="AY55" s="54">
        <f t="shared" si="25"/>
        <v>0</v>
      </c>
      <c r="AZ55" s="54">
        <f t="shared" si="26"/>
        <v>0</v>
      </c>
      <c r="BA55" s="54">
        <f t="shared" si="27"/>
        <v>0</v>
      </c>
      <c r="BC55" s="32">
        <f t="shared" si="28"/>
        <v>3</v>
      </c>
      <c r="BG55" s="25">
        <v>1</v>
      </c>
      <c r="BH55" s="54">
        <f t="shared" si="29"/>
        <v>0</v>
      </c>
      <c r="BI55" s="54">
        <f t="shared" si="30"/>
        <v>0</v>
      </c>
      <c r="BJ55" s="54">
        <f t="shared" si="31"/>
        <v>0</v>
      </c>
      <c r="BK55" s="54">
        <f t="shared" si="32"/>
        <v>0</v>
      </c>
      <c r="BL55" s="54">
        <f t="shared" si="33"/>
        <v>0</v>
      </c>
      <c r="BN55" s="25">
        <f t="shared" si="34"/>
        <v>1</v>
      </c>
      <c r="BS55" s="39"/>
      <c r="BT55" s="39"/>
      <c r="BU55" s="39"/>
      <c r="BV55" s="39"/>
      <c r="BW55" s="39"/>
    </row>
    <row r="56" spans="3:75" x14ac:dyDescent="0.25">
      <c r="C56" s="62" t="str">
        <f t="shared" si="0"/>
        <v>-</v>
      </c>
      <c r="D56" s="62" t="str">
        <f t="shared" si="1"/>
        <v>-</v>
      </c>
      <c r="E56" s="62" t="str">
        <f t="shared" si="2"/>
        <v>-</v>
      </c>
      <c r="F56" s="62" t="str">
        <f t="shared" si="3"/>
        <v>-</v>
      </c>
      <c r="G56" s="62" t="str">
        <f t="shared" si="4"/>
        <v>-</v>
      </c>
      <c r="J56" s="17" t="s">
        <v>38</v>
      </c>
      <c r="K56" s="32" t="s">
        <v>65</v>
      </c>
      <c r="L56" s="32" t="s">
        <v>44</v>
      </c>
      <c r="M56" s="32" t="s">
        <v>101</v>
      </c>
      <c r="N56" s="32"/>
      <c r="O56" s="25">
        <v>3</v>
      </c>
      <c r="P56" s="62">
        <f t="shared" si="5"/>
        <v>3</v>
      </c>
      <c r="Q56" s="62" t="str">
        <f t="shared" si="6"/>
        <v>-</v>
      </c>
      <c r="R56" s="62" t="str">
        <f t="shared" si="7"/>
        <v>-</v>
      </c>
      <c r="S56" s="62" t="str">
        <f t="shared" si="8"/>
        <v>-</v>
      </c>
      <c r="T56" s="62" t="str">
        <f t="shared" si="9"/>
        <v>-</v>
      </c>
      <c r="V56" s="32">
        <f t="shared" si="10"/>
        <v>6</v>
      </c>
      <c r="Z56" s="25">
        <v>1</v>
      </c>
      <c r="AA56" s="54">
        <f t="shared" si="11"/>
        <v>0</v>
      </c>
      <c r="AB56" s="54">
        <f t="shared" si="12"/>
        <v>0</v>
      </c>
      <c r="AC56" s="54">
        <f t="shared" si="13"/>
        <v>0</v>
      </c>
      <c r="AD56" s="54">
        <f t="shared" si="14"/>
        <v>0</v>
      </c>
      <c r="AE56" s="54">
        <f t="shared" si="15"/>
        <v>0</v>
      </c>
      <c r="AG56" s="32">
        <f t="shared" si="16"/>
        <v>5</v>
      </c>
      <c r="AK56" s="25">
        <v>1</v>
      </c>
      <c r="AL56" s="54">
        <f t="shared" si="17"/>
        <v>0</v>
      </c>
      <c r="AM56" s="54">
        <f t="shared" si="18"/>
        <v>0</v>
      </c>
      <c r="AN56" s="54">
        <f t="shared" si="19"/>
        <v>0</v>
      </c>
      <c r="AO56" s="54">
        <f t="shared" si="20"/>
        <v>0</v>
      </c>
      <c r="AP56" s="54">
        <f t="shared" si="21"/>
        <v>0</v>
      </c>
      <c r="AR56" s="32">
        <f t="shared" si="22"/>
        <v>4</v>
      </c>
      <c r="AV56" s="25">
        <v>1</v>
      </c>
      <c r="AW56" s="54">
        <f t="shared" si="23"/>
        <v>0</v>
      </c>
      <c r="AX56" s="54">
        <f t="shared" si="24"/>
        <v>0</v>
      </c>
      <c r="AY56" s="54">
        <f t="shared" si="25"/>
        <v>0</v>
      </c>
      <c r="AZ56" s="54">
        <f t="shared" si="26"/>
        <v>0</v>
      </c>
      <c r="BA56" s="54">
        <f t="shared" si="27"/>
        <v>0</v>
      </c>
      <c r="BC56" s="32">
        <f t="shared" si="28"/>
        <v>3</v>
      </c>
      <c r="BG56" s="25">
        <v>1</v>
      </c>
      <c r="BH56" s="54">
        <f t="shared" si="29"/>
        <v>0</v>
      </c>
      <c r="BI56" s="54">
        <f t="shared" si="30"/>
        <v>0</v>
      </c>
      <c r="BJ56" s="54">
        <f t="shared" si="31"/>
        <v>0</v>
      </c>
      <c r="BK56" s="54">
        <f t="shared" si="32"/>
        <v>0</v>
      </c>
      <c r="BL56" s="54">
        <f t="shared" si="33"/>
        <v>0</v>
      </c>
      <c r="BN56" s="25">
        <f t="shared" si="34"/>
        <v>1</v>
      </c>
      <c r="BS56" s="39"/>
      <c r="BT56" s="39"/>
      <c r="BU56" s="39"/>
      <c r="BV56" s="39"/>
      <c r="BW56" s="39"/>
    </row>
    <row r="57" spans="3:75" x14ac:dyDescent="0.25">
      <c r="C57" s="62" t="str">
        <f t="shared" si="0"/>
        <v>-</v>
      </c>
      <c r="D57" s="62" t="str">
        <f t="shared" si="1"/>
        <v>-</v>
      </c>
      <c r="E57" s="62" t="str">
        <f t="shared" si="2"/>
        <v>-</v>
      </c>
      <c r="F57" s="62" t="str">
        <f t="shared" si="3"/>
        <v>-</v>
      </c>
      <c r="G57" s="62" t="str">
        <f t="shared" si="4"/>
        <v>-</v>
      </c>
      <c r="J57" s="17" t="s">
        <v>108</v>
      </c>
      <c r="K57" s="32" t="s">
        <v>58</v>
      </c>
      <c r="L57" s="32" t="s">
        <v>45</v>
      </c>
      <c r="O57" s="25">
        <v>1</v>
      </c>
      <c r="P57" s="62">
        <f t="shared" si="5"/>
        <v>1</v>
      </c>
      <c r="Q57" s="62">
        <f t="shared" si="6"/>
        <v>1</v>
      </c>
      <c r="R57" s="62" t="str">
        <f t="shared" si="7"/>
        <v>-</v>
      </c>
      <c r="S57" s="62" t="str">
        <f t="shared" si="8"/>
        <v>-</v>
      </c>
      <c r="T57" s="62" t="str">
        <f t="shared" si="9"/>
        <v>-</v>
      </c>
      <c r="V57" s="32">
        <f t="shared" si="10"/>
        <v>6</v>
      </c>
      <c r="Z57" s="25">
        <v>1</v>
      </c>
      <c r="AA57" s="54">
        <f t="shared" si="11"/>
        <v>0</v>
      </c>
      <c r="AB57" s="54">
        <f t="shared" si="12"/>
        <v>0</v>
      </c>
      <c r="AC57" s="54">
        <f t="shared" si="13"/>
        <v>0</v>
      </c>
      <c r="AD57" s="54">
        <f t="shared" si="14"/>
        <v>0</v>
      </c>
      <c r="AE57" s="54">
        <f t="shared" si="15"/>
        <v>0</v>
      </c>
      <c r="AG57" s="32">
        <f t="shared" si="16"/>
        <v>5</v>
      </c>
      <c r="AK57" s="25">
        <v>1</v>
      </c>
      <c r="AL57" s="54">
        <f t="shared" si="17"/>
        <v>0</v>
      </c>
      <c r="AM57" s="54">
        <f t="shared" si="18"/>
        <v>0</v>
      </c>
      <c r="AN57" s="54">
        <f t="shared" si="19"/>
        <v>0</v>
      </c>
      <c r="AO57" s="54">
        <f t="shared" si="20"/>
        <v>0</v>
      </c>
      <c r="AP57" s="54">
        <f t="shared" si="21"/>
        <v>0</v>
      </c>
      <c r="AR57" s="32">
        <f t="shared" si="22"/>
        <v>4</v>
      </c>
      <c r="AV57" s="25">
        <v>1</v>
      </c>
      <c r="AW57" s="54">
        <f t="shared" si="23"/>
        <v>0</v>
      </c>
      <c r="AX57" s="54">
        <f t="shared" si="24"/>
        <v>0</v>
      </c>
      <c r="AY57" s="54">
        <f t="shared" si="25"/>
        <v>0</v>
      </c>
      <c r="AZ57" s="54">
        <f t="shared" si="26"/>
        <v>0</v>
      </c>
      <c r="BA57" s="54">
        <f t="shared" si="27"/>
        <v>0</v>
      </c>
      <c r="BC57" s="32">
        <f t="shared" si="28"/>
        <v>3</v>
      </c>
      <c r="BG57" s="25">
        <v>1</v>
      </c>
      <c r="BH57" s="54">
        <f t="shared" si="29"/>
        <v>0</v>
      </c>
      <c r="BI57" s="54">
        <f t="shared" si="30"/>
        <v>0</v>
      </c>
      <c r="BJ57" s="54">
        <f t="shared" si="31"/>
        <v>0</v>
      </c>
      <c r="BK57" s="54">
        <f t="shared" si="32"/>
        <v>0</v>
      </c>
      <c r="BL57" s="54">
        <f t="shared" si="33"/>
        <v>0</v>
      </c>
      <c r="BN57" s="25">
        <f t="shared" si="34"/>
        <v>1</v>
      </c>
      <c r="BS57" s="39"/>
      <c r="BT57" s="39"/>
      <c r="BU57" s="39"/>
      <c r="BV57" s="39"/>
      <c r="BW57" s="39"/>
    </row>
    <row r="58" spans="3:75" x14ac:dyDescent="0.25">
      <c r="C58" s="62" t="str">
        <f t="shared" si="0"/>
        <v>-</v>
      </c>
      <c r="D58" s="62" t="str">
        <f t="shared" si="1"/>
        <v>-</v>
      </c>
      <c r="E58" s="62" t="str">
        <f t="shared" si="2"/>
        <v>-</v>
      </c>
      <c r="F58" s="62" t="str">
        <f t="shared" si="3"/>
        <v>-</v>
      </c>
      <c r="G58" s="62" t="str">
        <f t="shared" si="4"/>
        <v>-</v>
      </c>
      <c r="J58" s="17" t="s">
        <v>108</v>
      </c>
      <c r="K58" s="32" t="s">
        <v>65</v>
      </c>
      <c r="L58" s="32" t="s">
        <v>45</v>
      </c>
      <c r="O58" s="25">
        <v>1</v>
      </c>
      <c r="P58" s="62">
        <f t="shared" si="5"/>
        <v>1</v>
      </c>
      <c r="Q58" s="62" t="str">
        <f t="shared" si="6"/>
        <v>-</v>
      </c>
      <c r="R58" s="62" t="str">
        <f t="shared" si="7"/>
        <v>-</v>
      </c>
      <c r="S58" s="62" t="str">
        <f t="shared" si="8"/>
        <v>-</v>
      </c>
      <c r="T58" s="62" t="str">
        <f t="shared" si="9"/>
        <v>-</v>
      </c>
      <c r="V58" s="32">
        <f t="shared" si="10"/>
        <v>6</v>
      </c>
      <c r="Z58" s="25">
        <v>1</v>
      </c>
      <c r="AA58" s="54">
        <f t="shared" si="11"/>
        <v>0</v>
      </c>
      <c r="AB58" s="54">
        <f t="shared" si="12"/>
        <v>0</v>
      </c>
      <c r="AC58" s="54">
        <f t="shared" si="13"/>
        <v>0</v>
      </c>
      <c r="AD58" s="54">
        <f t="shared" si="14"/>
        <v>0</v>
      </c>
      <c r="AE58" s="54">
        <f t="shared" si="15"/>
        <v>0</v>
      </c>
      <c r="AG58" s="32">
        <f t="shared" si="16"/>
        <v>5</v>
      </c>
      <c r="AK58" s="25">
        <v>1</v>
      </c>
      <c r="AL58" s="54">
        <f t="shared" si="17"/>
        <v>0</v>
      </c>
      <c r="AM58" s="54">
        <f t="shared" si="18"/>
        <v>0</v>
      </c>
      <c r="AN58" s="54">
        <f t="shared" si="19"/>
        <v>0</v>
      </c>
      <c r="AO58" s="54">
        <f t="shared" si="20"/>
        <v>0</v>
      </c>
      <c r="AP58" s="54">
        <f t="shared" si="21"/>
        <v>0</v>
      </c>
      <c r="AR58" s="32">
        <f t="shared" si="22"/>
        <v>4</v>
      </c>
      <c r="AV58" s="25">
        <v>1</v>
      </c>
      <c r="AW58" s="54">
        <f t="shared" si="23"/>
        <v>0</v>
      </c>
      <c r="AX58" s="54">
        <f t="shared" si="24"/>
        <v>0</v>
      </c>
      <c r="AY58" s="54">
        <f t="shared" si="25"/>
        <v>0</v>
      </c>
      <c r="AZ58" s="54">
        <f t="shared" si="26"/>
        <v>0</v>
      </c>
      <c r="BA58" s="54">
        <f t="shared" si="27"/>
        <v>0</v>
      </c>
      <c r="BC58" s="32">
        <f t="shared" si="28"/>
        <v>3</v>
      </c>
      <c r="BG58" s="25">
        <v>1</v>
      </c>
      <c r="BH58" s="54">
        <f t="shared" si="29"/>
        <v>0</v>
      </c>
      <c r="BI58" s="54">
        <f t="shared" si="30"/>
        <v>0</v>
      </c>
      <c r="BJ58" s="54">
        <f t="shared" si="31"/>
        <v>0</v>
      </c>
      <c r="BK58" s="54">
        <f t="shared" si="32"/>
        <v>0</v>
      </c>
      <c r="BL58" s="54">
        <f t="shared" si="33"/>
        <v>0</v>
      </c>
      <c r="BN58" s="25">
        <f t="shared" si="34"/>
        <v>1</v>
      </c>
      <c r="BS58" s="39"/>
      <c r="BT58" s="39"/>
      <c r="BU58" s="39"/>
      <c r="BV58" s="39"/>
      <c r="BW58" s="39"/>
    </row>
    <row r="59" spans="3:75" x14ac:dyDescent="0.25">
      <c r="C59" s="62" t="str">
        <f t="shared" si="0"/>
        <v>-</v>
      </c>
      <c r="D59" s="62" t="str">
        <f t="shared" si="1"/>
        <v>-</v>
      </c>
      <c r="E59" s="62" t="str">
        <f t="shared" si="2"/>
        <v>-</v>
      </c>
      <c r="F59" s="62" t="str">
        <f t="shared" si="3"/>
        <v>-</v>
      </c>
      <c r="G59" s="62" t="str">
        <f t="shared" si="4"/>
        <v>-</v>
      </c>
      <c r="J59" s="17" t="s">
        <v>28</v>
      </c>
      <c r="K59" s="32" t="s">
        <v>58</v>
      </c>
      <c r="L59" s="32" t="s">
        <v>44</v>
      </c>
      <c r="M59" s="40" t="s">
        <v>134</v>
      </c>
      <c r="O59" s="25">
        <v>2</v>
      </c>
      <c r="P59" s="62">
        <f t="shared" si="5"/>
        <v>2</v>
      </c>
      <c r="Q59" s="62">
        <f t="shared" si="6"/>
        <v>2</v>
      </c>
      <c r="R59" s="62" t="str">
        <f t="shared" si="7"/>
        <v>-</v>
      </c>
      <c r="S59" s="62" t="str">
        <f t="shared" si="8"/>
        <v>-</v>
      </c>
      <c r="T59" s="62" t="str">
        <f t="shared" si="9"/>
        <v>-</v>
      </c>
      <c r="V59" s="32">
        <f t="shared" si="10"/>
        <v>6</v>
      </c>
      <c r="Z59" s="25">
        <v>1</v>
      </c>
      <c r="AA59" s="54">
        <f t="shared" si="11"/>
        <v>0</v>
      </c>
      <c r="AB59" s="54">
        <f t="shared" si="12"/>
        <v>0</v>
      </c>
      <c r="AC59" s="54">
        <f t="shared" si="13"/>
        <v>0</v>
      </c>
      <c r="AD59" s="54">
        <f t="shared" si="14"/>
        <v>0</v>
      </c>
      <c r="AE59" s="54">
        <f t="shared" si="15"/>
        <v>0</v>
      </c>
      <c r="AG59" s="32">
        <f t="shared" si="16"/>
        <v>5</v>
      </c>
      <c r="AK59" s="25">
        <v>1</v>
      </c>
      <c r="AL59" s="54">
        <f t="shared" si="17"/>
        <v>0</v>
      </c>
      <c r="AM59" s="54">
        <f t="shared" si="18"/>
        <v>0</v>
      </c>
      <c r="AN59" s="54">
        <f t="shared" si="19"/>
        <v>0</v>
      </c>
      <c r="AO59" s="54">
        <f t="shared" si="20"/>
        <v>0</v>
      </c>
      <c r="AP59" s="54">
        <f t="shared" si="21"/>
        <v>0</v>
      </c>
      <c r="AR59" s="32">
        <f t="shared" si="22"/>
        <v>4</v>
      </c>
      <c r="AV59" s="25">
        <v>1</v>
      </c>
      <c r="AW59" s="54">
        <f t="shared" si="23"/>
        <v>0</v>
      </c>
      <c r="AX59" s="54">
        <f t="shared" si="24"/>
        <v>0</v>
      </c>
      <c r="AY59" s="54">
        <f t="shared" si="25"/>
        <v>0</v>
      </c>
      <c r="AZ59" s="54">
        <f t="shared" si="26"/>
        <v>0</v>
      </c>
      <c r="BA59" s="54">
        <f t="shared" si="27"/>
        <v>0</v>
      </c>
      <c r="BC59" s="32">
        <f t="shared" si="28"/>
        <v>3</v>
      </c>
      <c r="BG59" s="25">
        <v>1</v>
      </c>
      <c r="BH59" s="54">
        <f t="shared" si="29"/>
        <v>0</v>
      </c>
      <c r="BI59" s="54">
        <f t="shared" si="30"/>
        <v>0</v>
      </c>
      <c r="BJ59" s="54">
        <f t="shared" si="31"/>
        <v>0</v>
      </c>
      <c r="BK59" s="54">
        <f t="shared" si="32"/>
        <v>0</v>
      </c>
      <c r="BL59" s="54">
        <f t="shared" si="33"/>
        <v>0</v>
      </c>
      <c r="BN59" s="25">
        <f t="shared" si="34"/>
        <v>1</v>
      </c>
      <c r="BS59" s="39"/>
      <c r="BT59" s="39"/>
      <c r="BU59" s="39"/>
      <c r="BV59" s="39"/>
      <c r="BW59" s="39"/>
    </row>
    <row r="60" spans="3:75" x14ac:dyDescent="0.25">
      <c r="C60" s="62" t="str">
        <f t="shared" si="0"/>
        <v>-</v>
      </c>
      <c r="D60" s="62" t="str">
        <f t="shared" si="1"/>
        <v>-</v>
      </c>
      <c r="E60" s="62" t="str">
        <f t="shared" si="2"/>
        <v>-</v>
      </c>
      <c r="F60" s="62" t="str">
        <f t="shared" si="3"/>
        <v>-</v>
      </c>
      <c r="G60" s="62" t="str">
        <f t="shared" si="4"/>
        <v>-</v>
      </c>
      <c r="J60" s="17" t="s">
        <v>28</v>
      </c>
      <c r="K60" s="32" t="s">
        <v>53</v>
      </c>
      <c r="O60" s="25">
        <v>1</v>
      </c>
      <c r="P60" s="62">
        <f t="shared" si="5"/>
        <v>1</v>
      </c>
      <c r="Q60" s="62" t="str">
        <f t="shared" si="6"/>
        <v>-</v>
      </c>
      <c r="R60" s="62">
        <f t="shared" si="7"/>
        <v>1</v>
      </c>
      <c r="S60" s="62" t="str">
        <f t="shared" si="8"/>
        <v>-</v>
      </c>
      <c r="T60" s="62" t="str">
        <f t="shared" si="9"/>
        <v>-</v>
      </c>
      <c r="V60" s="32">
        <f t="shared" si="10"/>
        <v>6</v>
      </c>
      <c r="Z60" s="25">
        <v>1</v>
      </c>
      <c r="AA60" s="54">
        <f t="shared" si="11"/>
        <v>0</v>
      </c>
      <c r="AB60" s="54">
        <f t="shared" si="12"/>
        <v>0</v>
      </c>
      <c r="AC60" s="54">
        <f t="shared" si="13"/>
        <v>0</v>
      </c>
      <c r="AD60" s="54">
        <f t="shared" si="14"/>
        <v>0</v>
      </c>
      <c r="AE60" s="54">
        <f t="shared" si="15"/>
        <v>0</v>
      </c>
      <c r="AG60" s="32">
        <f t="shared" si="16"/>
        <v>5</v>
      </c>
      <c r="AK60" s="25">
        <v>1</v>
      </c>
      <c r="AL60" s="54">
        <f t="shared" si="17"/>
        <v>0</v>
      </c>
      <c r="AM60" s="54">
        <f t="shared" si="18"/>
        <v>0</v>
      </c>
      <c r="AN60" s="54">
        <f t="shared" si="19"/>
        <v>0</v>
      </c>
      <c r="AO60" s="54">
        <f t="shared" si="20"/>
        <v>0</v>
      </c>
      <c r="AP60" s="54">
        <f t="shared" si="21"/>
        <v>0</v>
      </c>
      <c r="AR60" s="32">
        <f t="shared" si="22"/>
        <v>4</v>
      </c>
      <c r="AV60" s="25">
        <v>1</v>
      </c>
      <c r="AW60" s="54">
        <f t="shared" si="23"/>
        <v>0</v>
      </c>
      <c r="AX60" s="54">
        <f t="shared" si="24"/>
        <v>0</v>
      </c>
      <c r="AY60" s="54">
        <f t="shared" si="25"/>
        <v>0</v>
      </c>
      <c r="AZ60" s="54">
        <f t="shared" si="26"/>
        <v>0</v>
      </c>
      <c r="BA60" s="54">
        <f t="shared" si="27"/>
        <v>0</v>
      </c>
      <c r="BC60" s="32">
        <f t="shared" si="28"/>
        <v>3</v>
      </c>
      <c r="BG60" s="25">
        <v>1</v>
      </c>
      <c r="BH60" s="54">
        <f t="shared" si="29"/>
        <v>0</v>
      </c>
      <c r="BI60" s="54">
        <f t="shared" si="30"/>
        <v>0</v>
      </c>
      <c r="BJ60" s="54">
        <f t="shared" si="31"/>
        <v>0</v>
      </c>
      <c r="BK60" s="54">
        <f t="shared" si="32"/>
        <v>0</v>
      </c>
      <c r="BL60" s="54">
        <f t="shared" si="33"/>
        <v>0</v>
      </c>
      <c r="BN60" s="25">
        <f t="shared" si="34"/>
        <v>1</v>
      </c>
      <c r="BS60" s="39"/>
      <c r="BT60" s="39"/>
      <c r="BU60" s="39"/>
      <c r="BV60" s="39"/>
      <c r="BW60" s="39"/>
    </row>
    <row r="61" spans="3:75" x14ac:dyDescent="0.25">
      <c r="C61" s="62" t="str">
        <f t="shared" si="0"/>
        <v>-</v>
      </c>
      <c r="D61" s="62" t="str">
        <f t="shared" si="1"/>
        <v>-</v>
      </c>
      <c r="E61" s="62" t="str">
        <f t="shared" si="2"/>
        <v>-</v>
      </c>
      <c r="F61" s="62" t="str">
        <f t="shared" si="3"/>
        <v>-</v>
      </c>
      <c r="G61" s="62" t="str">
        <f t="shared" si="4"/>
        <v>-</v>
      </c>
      <c r="J61" s="17" t="s">
        <v>28</v>
      </c>
      <c r="K61" s="32" t="s">
        <v>65</v>
      </c>
      <c r="L61" s="32" t="s">
        <v>45</v>
      </c>
      <c r="O61" s="25">
        <v>1</v>
      </c>
      <c r="P61" s="62">
        <f t="shared" si="5"/>
        <v>1</v>
      </c>
      <c r="Q61" s="62" t="str">
        <f t="shared" si="6"/>
        <v>-</v>
      </c>
      <c r="R61" s="62" t="str">
        <f t="shared" si="7"/>
        <v>-</v>
      </c>
      <c r="S61" s="62" t="str">
        <f t="shared" si="8"/>
        <v>-</v>
      </c>
      <c r="T61" s="62" t="str">
        <f t="shared" si="9"/>
        <v>-</v>
      </c>
      <c r="V61" s="32">
        <f t="shared" si="10"/>
        <v>6</v>
      </c>
      <c r="Z61" s="25">
        <v>1</v>
      </c>
      <c r="AA61" s="54">
        <f t="shared" si="11"/>
        <v>0</v>
      </c>
      <c r="AB61" s="54">
        <f t="shared" si="12"/>
        <v>0</v>
      </c>
      <c r="AC61" s="54">
        <f t="shared" si="13"/>
        <v>0</v>
      </c>
      <c r="AD61" s="54">
        <f t="shared" si="14"/>
        <v>0</v>
      </c>
      <c r="AE61" s="54">
        <f t="shared" si="15"/>
        <v>0</v>
      </c>
      <c r="AG61" s="32">
        <f t="shared" si="16"/>
        <v>5</v>
      </c>
      <c r="AK61" s="25">
        <v>1</v>
      </c>
      <c r="AL61" s="54">
        <f t="shared" si="17"/>
        <v>0</v>
      </c>
      <c r="AM61" s="54">
        <f t="shared" si="18"/>
        <v>0</v>
      </c>
      <c r="AN61" s="54">
        <f t="shared" si="19"/>
        <v>0</v>
      </c>
      <c r="AO61" s="54">
        <f t="shared" si="20"/>
        <v>0</v>
      </c>
      <c r="AP61" s="54">
        <f t="shared" si="21"/>
        <v>0</v>
      </c>
      <c r="AR61" s="32">
        <f t="shared" si="22"/>
        <v>4</v>
      </c>
      <c r="AV61" s="25">
        <v>1</v>
      </c>
      <c r="AW61" s="54">
        <f t="shared" si="23"/>
        <v>0</v>
      </c>
      <c r="AX61" s="54">
        <f t="shared" si="24"/>
        <v>0</v>
      </c>
      <c r="AY61" s="54">
        <f t="shared" si="25"/>
        <v>0</v>
      </c>
      <c r="AZ61" s="54">
        <f t="shared" si="26"/>
        <v>0</v>
      </c>
      <c r="BA61" s="54">
        <f t="shared" si="27"/>
        <v>0</v>
      </c>
      <c r="BC61" s="32">
        <f t="shared" si="28"/>
        <v>3</v>
      </c>
      <c r="BG61" s="25">
        <v>1</v>
      </c>
      <c r="BH61" s="54">
        <f t="shared" si="29"/>
        <v>0</v>
      </c>
      <c r="BI61" s="54">
        <f t="shared" si="30"/>
        <v>0</v>
      </c>
      <c r="BJ61" s="54">
        <f t="shared" si="31"/>
        <v>0</v>
      </c>
      <c r="BK61" s="54">
        <f t="shared" si="32"/>
        <v>0</v>
      </c>
      <c r="BL61" s="54">
        <f t="shared" si="33"/>
        <v>0</v>
      </c>
      <c r="BN61" s="25">
        <f t="shared" si="34"/>
        <v>1</v>
      </c>
      <c r="BS61" s="39"/>
      <c r="BT61" s="39"/>
      <c r="BU61" s="39"/>
      <c r="BV61" s="39"/>
      <c r="BW61" s="39"/>
    </row>
    <row r="62" spans="3:75" x14ac:dyDescent="0.25">
      <c r="C62" s="62" t="str">
        <f t="shared" si="0"/>
        <v>-</v>
      </c>
      <c r="D62" s="62" t="str">
        <f t="shared" si="1"/>
        <v>-</v>
      </c>
      <c r="E62" s="62" t="str">
        <f t="shared" si="2"/>
        <v>-</v>
      </c>
      <c r="F62" s="62" t="str">
        <f t="shared" si="3"/>
        <v>-</v>
      </c>
      <c r="G62" s="62" t="str">
        <f t="shared" si="4"/>
        <v>-</v>
      </c>
      <c r="J62" s="17" t="s">
        <v>28</v>
      </c>
      <c r="K62" s="32" t="s">
        <v>65</v>
      </c>
      <c r="L62" s="32" t="s">
        <v>44</v>
      </c>
      <c r="M62" s="40" t="s">
        <v>135</v>
      </c>
      <c r="O62" s="25">
        <v>1</v>
      </c>
      <c r="P62" s="62">
        <f t="shared" si="5"/>
        <v>1</v>
      </c>
      <c r="Q62" s="62" t="str">
        <f t="shared" si="6"/>
        <v>-</v>
      </c>
      <c r="R62" s="62" t="str">
        <f t="shared" si="7"/>
        <v>-</v>
      </c>
      <c r="S62" s="62" t="str">
        <f t="shared" si="8"/>
        <v>-</v>
      </c>
      <c r="T62" s="62" t="str">
        <f t="shared" si="9"/>
        <v>-</v>
      </c>
      <c r="V62" s="32">
        <f t="shared" si="10"/>
        <v>6</v>
      </c>
      <c r="Z62" s="25">
        <v>1</v>
      </c>
      <c r="AA62" s="54">
        <f t="shared" si="11"/>
        <v>0</v>
      </c>
      <c r="AB62" s="54">
        <f t="shared" si="12"/>
        <v>0</v>
      </c>
      <c r="AC62" s="54">
        <f t="shared" si="13"/>
        <v>0</v>
      </c>
      <c r="AD62" s="54">
        <f t="shared" si="14"/>
        <v>0</v>
      </c>
      <c r="AE62" s="54">
        <f t="shared" si="15"/>
        <v>0</v>
      </c>
      <c r="AG62" s="32">
        <f t="shared" si="16"/>
        <v>5</v>
      </c>
      <c r="AK62" s="25">
        <v>1</v>
      </c>
      <c r="AL62" s="54">
        <f t="shared" si="17"/>
        <v>0</v>
      </c>
      <c r="AM62" s="54">
        <f t="shared" si="18"/>
        <v>0</v>
      </c>
      <c r="AN62" s="54">
        <f t="shared" si="19"/>
        <v>0</v>
      </c>
      <c r="AO62" s="54">
        <f t="shared" si="20"/>
        <v>0</v>
      </c>
      <c r="AP62" s="54">
        <f t="shared" si="21"/>
        <v>0</v>
      </c>
      <c r="AR62" s="32">
        <f t="shared" si="22"/>
        <v>4</v>
      </c>
      <c r="AV62" s="25">
        <v>1</v>
      </c>
      <c r="AW62" s="54">
        <f t="shared" si="23"/>
        <v>0</v>
      </c>
      <c r="AX62" s="54">
        <f t="shared" si="24"/>
        <v>0</v>
      </c>
      <c r="AY62" s="54">
        <f t="shared" si="25"/>
        <v>0</v>
      </c>
      <c r="AZ62" s="54">
        <f t="shared" si="26"/>
        <v>0</v>
      </c>
      <c r="BA62" s="54">
        <f t="shared" si="27"/>
        <v>0</v>
      </c>
      <c r="BC62" s="32">
        <f t="shared" si="28"/>
        <v>3</v>
      </c>
      <c r="BG62" s="25">
        <v>1</v>
      </c>
      <c r="BH62" s="54">
        <f t="shared" si="29"/>
        <v>0</v>
      </c>
      <c r="BI62" s="54">
        <f t="shared" si="30"/>
        <v>0</v>
      </c>
      <c r="BJ62" s="54">
        <f t="shared" si="31"/>
        <v>0</v>
      </c>
      <c r="BK62" s="54">
        <f t="shared" si="32"/>
        <v>0</v>
      </c>
      <c r="BL62" s="54">
        <f t="shared" si="33"/>
        <v>0</v>
      </c>
      <c r="BN62" s="25">
        <f t="shared" si="34"/>
        <v>1</v>
      </c>
      <c r="BS62" s="39"/>
      <c r="BT62" s="39"/>
      <c r="BU62" s="39"/>
      <c r="BV62" s="39"/>
      <c r="BW62" s="39"/>
    </row>
    <row r="63" spans="3:75" x14ac:dyDescent="0.25">
      <c r="C63" s="62" t="str">
        <f t="shared" si="0"/>
        <v>-</v>
      </c>
      <c r="D63" s="62" t="str">
        <f t="shared" si="1"/>
        <v>-</v>
      </c>
      <c r="E63" s="62" t="str">
        <f t="shared" si="2"/>
        <v>-</v>
      </c>
      <c r="F63" s="62" t="str">
        <f t="shared" si="3"/>
        <v>-</v>
      </c>
      <c r="G63" s="62" t="str">
        <f t="shared" si="4"/>
        <v>-</v>
      </c>
      <c r="J63" s="17" t="s">
        <v>28</v>
      </c>
      <c r="K63" s="32" t="s">
        <v>83</v>
      </c>
      <c r="L63" s="32" t="s">
        <v>44</v>
      </c>
      <c r="M63" s="40" t="s">
        <v>136</v>
      </c>
      <c r="O63" s="25">
        <v>1</v>
      </c>
      <c r="P63" s="62" t="str">
        <f t="shared" si="5"/>
        <v>-</v>
      </c>
      <c r="Q63" s="62" t="str">
        <f t="shared" si="6"/>
        <v>-</v>
      </c>
      <c r="R63" s="62">
        <f t="shared" si="7"/>
        <v>2</v>
      </c>
      <c r="S63" s="62">
        <f t="shared" si="8"/>
        <v>1</v>
      </c>
      <c r="T63" s="62" t="str">
        <f t="shared" si="9"/>
        <v>-</v>
      </c>
      <c r="V63" s="32">
        <f t="shared" si="10"/>
        <v>6</v>
      </c>
      <c r="Z63" s="25">
        <v>1</v>
      </c>
      <c r="AA63" s="54">
        <f t="shared" si="11"/>
        <v>0</v>
      </c>
      <c r="AB63" s="54">
        <f t="shared" si="12"/>
        <v>0</v>
      </c>
      <c r="AC63" s="54">
        <f t="shared" si="13"/>
        <v>0</v>
      </c>
      <c r="AD63" s="54">
        <f t="shared" si="14"/>
        <v>0</v>
      </c>
      <c r="AE63" s="54">
        <f t="shared" si="15"/>
        <v>0</v>
      </c>
      <c r="AG63" s="32">
        <f t="shared" si="16"/>
        <v>5</v>
      </c>
      <c r="AK63" s="25">
        <v>1</v>
      </c>
      <c r="AL63" s="54">
        <f t="shared" si="17"/>
        <v>0</v>
      </c>
      <c r="AM63" s="54">
        <f t="shared" si="18"/>
        <v>0</v>
      </c>
      <c r="AN63" s="54">
        <f t="shared" si="19"/>
        <v>0</v>
      </c>
      <c r="AO63" s="54">
        <f t="shared" si="20"/>
        <v>0</v>
      </c>
      <c r="AP63" s="54">
        <f t="shared" si="21"/>
        <v>0</v>
      </c>
      <c r="AR63" s="32">
        <f t="shared" si="22"/>
        <v>4</v>
      </c>
      <c r="AV63" s="25">
        <v>1</v>
      </c>
      <c r="AW63" s="54">
        <f t="shared" si="23"/>
        <v>0</v>
      </c>
      <c r="AX63" s="54">
        <f t="shared" si="24"/>
        <v>0</v>
      </c>
      <c r="AY63" s="54">
        <f t="shared" si="25"/>
        <v>0</v>
      </c>
      <c r="AZ63" s="54">
        <f t="shared" si="26"/>
        <v>0</v>
      </c>
      <c r="BA63" s="54">
        <f t="shared" si="27"/>
        <v>0</v>
      </c>
      <c r="BC63" s="32">
        <f t="shared" si="28"/>
        <v>3</v>
      </c>
      <c r="BG63" s="25">
        <v>1</v>
      </c>
      <c r="BH63" s="54">
        <f t="shared" si="29"/>
        <v>0</v>
      </c>
      <c r="BI63" s="54">
        <f t="shared" si="30"/>
        <v>0</v>
      </c>
      <c r="BJ63" s="54">
        <f t="shared" si="31"/>
        <v>0</v>
      </c>
      <c r="BK63" s="54">
        <f t="shared" si="32"/>
        <v>0</v>
      </c>
      <c r="BL63" s="54">
        <f t="shared" si="33"/>
        <v>0</v>
      </c>
      <c r="BN63" s="25">
        <f t="shared" si="34"/>
        <v>1</v>
      </c>
      <c r="BS63" s="39"/>
      <c r="BT63" s="39"/>
      <c r="BU63" s="39"/>
      <c r="BV63" s="39"/>
      <c r="BW63" s="39"/>
    </row>
    <row r="64" spans="3:75" x14ac:dyDescent="0.25">
      <c r="C64" s="62" t="str">
        <f t="shared" si="0"/>
        <v>-</v>
      </c>
      <c r="D64" s="62" t="str">
        <f t="shared" si="1"/>
        <v>-</v>
      </c>
      <c r="E64" s="62" t="str">
        <f t="shared" si="2"/>
        <v>-</v>
      </c>
      <c r="F64" s="62" t="str">
        <f t="shared" si="3"/>
        <v>-</v>
      </c>
      <c r="G64" s="62" t="str">
        <f t="shared" si="4"/>
        <v>-</v>
      </c>
      <c r="J64" s="17" t="s">
        <v>28</v>
      </c>
      <c r="K64" s="32" t="s">
        <v>83</v>
      </c>
      <c r="L64" s="32" t="s">
        <v>44</v>
      </c>
      <c r="O64" s="25">
        <v>2</v>
      </c>
      <c r="P64" s="62" t="str">
        <f t="shared" si="5"/>
        <v>-</v>
      </c>
      <c r="Q64" s="62" t="str">
        <f t="shared" si="6"/>
        <v>-</v>
      </c>
      <c r="R64" s="62">
        <f t="shared" si="7"/>
        <v>4</v>
      </c>
      <c r="S64" s="62">
        <f t="shared" si="8"/>
        <v>2</v>
      </c>
      <c r="T64" s="62" t="str">
        <f t="shared" si="9"/>
        <v>-</v>
      </c>
      <c r="V64" s="32">
        <f t="shared" si="10"/>
        <v>6</v>
      </c>
      <c r="Z64" s="25">
        <v>1</v>
      </c>
      <c r="AA64" s="54">
        <f t="shared" si="11"/>
        <v>0</v>
      </c>
      <c r="AB64" s="54">
        <f t="shared" si="12"/>
        <v>0</v>
      </c>
      <c r="AC64" s="54">
        <f t="shared" si="13"/>
        <v>0</v>
      </c>
      <c r="AD64" s="54">
        <f t="shared" si="14"/>
        <v>0</v>
      </c>
      <c r="AE64" s="54">
        <f t="shared" si="15"/>
        <v>0</v>
      </c>
      <c r="AG64" s="32">
        <f t="shared" si="16"/>
        <v>5</v>
      </c>
      <c r="AK64" s="25">
        <v>1</v>
      </c>
      <c r="AL64" s="54">
        <f t="shared" si="17"/>
        <v>0</v>
      </c>
      <c r="AM64" s="54">
        <f t="shared" si="18"/>
        <v>0</v>
      </c>
      <c r="AN64" s="54">
        <f t="shared" si="19"/>
        <v>0</v>
      </c>
      <c r="AO64" s="54">
        <f t="shared" si="20"/>
        <v>0</v>
      </c>
      <c r="AP64" s="54">
        <f t="shared" si="21"/>
        <v>0</v>
      </c>
      <c r="AR64" s="32">
        <f t="shared" si="22"/>
        <v>4</v>
      </c>
      <c r="AV64" s="25">
        <v>1</v>
      </c>
      <c r="AW64" s="54">
        <f t="shared" si="23"/>
        <v>0</v>
      </c>
      <c r="AX64" s="54">
        <f t="shared" si="24"/>
        <v>0</v>
      </c>
      <c r="AY64" s="54">
        <f t="shared" si="25"/>
        <v>0</v>
      </c>
      <c r="AZ64" s="54">
        <f t="shared" si="26"/>
        <v>0</v>
      </c>
      <c r="BA64" s="54">
        <f t="shared" si="27"/>
        <v>0</v>
      </c>
      <c r="BC64" s="32">
        <f t="shared" si="28"/>
        <v>3</v>
      </c>
      <c r="BG64" s="25">
        <v>1</v>
      </c>
      <c r="BH64" s="54">
        <f t="shared" si="29"/>
        <v>0</v>
      </c>
      <c r="BI64" s="54">
        <f t="shared" si="30"/>
        <v>0</v>
      </c>
      <c r="BJ64" s="54">
        <f t="shared" si="31"/>
        <v>0</v>
      </c>
      <c r="BK64" s="54">
        <f t="shared" si="32"/>
        <v>0</v>
      </c>
      <c r="BL64" s="54">
        <f t="shared" si="33"/>
        <v>0</v>
      </c>
      <c r="BN64" s="25">
        <f t="shared" si="34"/>
        <v>1</v>
      </c>
      <c r="BS64" s="39"/>
      <c r="BT64" s="39"/>
      <c r="BU64" s="39"/>
      <c r="BV64" s="39"/>
      <c r="BW64" s="39"/>
    </row>
    <row r="65" spans="3:75" x14ac:dyDescent="0.25">
      <c r="C65" s="62" t="str">
        <f t="shared" si="0"/>
        <v>-</v>
      </c>
      <c r="D65" s="62" t="str">
        <f t="shared" si="1"/>
        <v>-</v>
      </c>
      <c r="E65" s="62" t="str">
        <f t="shared" si="2"/>
        <v>-</v>
      </c>
      <c r="F65" s="62" t="str">
        <f t="shared" si="3"/>
        <v>-</v>
      </c>
      <c r="G65" s="62" t="str">
        <f t="shared" si="4"/>
        <v>-</v>
      </c>
      <c r="J65" s="17" t="s">
        <v>133</v>
      </c>
      <c r="K65" s="32" t="s">
        <v>58</v>
      </c>
      <c r="L65" s="32" t="s">
        <v>45</v>
      </c>
      <c r="O65" s="25">
        <v>1</v>
      </c>
      <c r="P65" s="62">
        <f t="shared" si="5"/>
        <v>1</v>
      </c>
      <c r="Q65" s="62">
        <f t="shared" si="6"/>
        <v>1</v>
      </c>
      <c r="R65" s="62" t="str">
        <f t="shared" si="7"/>
        <v>-</v>
      </c>
      <c r="S65" s="62" t="str">
        <f t="shared" si="8"/>
        <v>-</v>
      </c>
      <c r="T65" s="62" t="str">
        <f t="shared" si="9"/>
        <v>-</v>
      </c>
      <c r="V65" s="32">
        <f t="shared" si="10"/>
        <v>6</v>
      </c>
      <c r="Z65" s="25">
        <v>1</v>
      </c>
      <c r="AA65" s="54">
        <f t="shared" si="11"/>
        <v>0</v>
      </c>
      <c r="AB65" s="54">
        <f t="shared" si="12"/>
        <v>0</v>
      </c>
      <c r="AC65" s="54">
        <f t="shared" si="13"/>
        <v>0</v>
      </c>
      <c r="AD65" s="54">
        <f t="shared" si="14"/>
        <v>0</v>
      </c>
      <c r="AE65" s="54">
        <f t="shared" si="15"/>
        <v>0</v>
      </c>
      <c r="AG65" s="32">
        <f t="shared" si="16"/>
        <v>5</v>
      </c>
      <c r="AK65" s="25">
        <v>1</v>
      </c>
      <c r="AL65" s="54">
        <f t="shared" si="17"/>
        <v>0</v>
      </c>
      <c r="AM65" s="54">
        <f t="shared" si="18"/>
        <v>0</v>
      </c>
      <c r="AN65" s="54">
        <f t="shared" si="19"/>
        <v>0</v>
      </c>
      <c r="AO65" s="54">
        <f t="shared" si="20"/>
        <v>0</v>
      </c>
      <c r="AP65" s="54">
        <f t="shared" si="21"/>
        <v>0</v>
      </c>
      <c r="AR65" s="32">
        <f t="shared" si="22"/>
        <v>4</v>
      </c>
      <c r="AV65" s="25">
        <v>1</v>
      </c>
      <c r="AW65" s="54">
        <f t="shared" si="23"/>
        <v>0</v>
      </c>
      <c r="AX65" s="54">
        <f t="shared" si="24"/>
        <v>0</v>
      </c>
      <c r="AY65" s="54">
        <f t="shared" si="25"/>
        <v>0</v>
      </c>
      <c r="AZ65" s="54">
        <f t="shared" si="26"/>
        <v>0</v>
      </c>
      <c r="BA65" s="54">
        <f t="shared" si="27"/>
        <v>0</v>
      </c>
      <c r="BC65" s="32">
        <f t="shared" si="28"/>
        <v>3</v>
      </c>
      <c r="BG65" s="25">
        <v>1</v>
      </c>
      <c r="BH65" s="54">
        <f t="shared" si="29"/>
        <v>0</v>
      </c>
      <c r="BI65" s="54">
        <f t="shared" si="30"/>
        <v>0</v>
      </c>
      <c r="BJ65" s="54">
        <f t="shared" si="31"/>
        <v>0</v>
      </c>
      <c r="BK65" s="54">
        <f t="shared" si="32"/>
        <v>0</v>
      </c>
      <c r="BL65" s="54">
        <f t="shared" si="33"/>
        <v>0</v>
      </c>
      <c r="BN65" s="25">
        <f t="shared" si="34"/>
        <v>1</v>
      </c>
      <c r="BS65" s="39"/>
      <c r="BT65" s="39"/>
      <c r="BU65" s="39"/>
      <c r="BV65" s="39"/>
      <c r="BW65" s="39"/>
    </row>
    <row r="66" spans="3:75" x14ac:dyDescent="0.25">
      <c r="C66" s="62" t="str">
        <f t="shared" si="0"/>
        <v>-</v>
      </c>
      <c r="D66" s="62" t="str">
        <f t="shared" si="1"/>
        <v>-</v>
      </c>
      <c r="E66" s="62" t="str">
        <f t="shared" si="2"/>
        <v>-</v>
      </c>
      <c r="F66" s="62" t="str">
        <f t="shared" si="3"/>
        <v>-</v>
      </c>
      <c r="G66" s="62" t="str">
        <f t="shared" si="4"/>
        <v>-</v>
      </c>
      <c r="J66" s="17" t="s">
        <v>133</v>
      </c>
      <c r="K66" s="32" t="s">
        <v>65</v>
      </c>
      <c r="L66" s="32" t="s">
        <v>45</v>
      </c>
      <c r="O66" s="25">
        <v>1</v>
      </c>
      <c r="P66" s="62">
        <f t="shared" si="5"/>
        <v>1</v>
      </c>
      <c r="Q66" s="62" t="str">
        <f t="shared" si="6"/>
        <v>-</v>
      </c>
      <c r="R66" s="62" t="str">
        <f t="shared" si="7"/>
        <v>-</v>
      </c>
      <c r="S66" s="62" t="str">
        <f t="shared" si="8"/>
        <v>-</v>
      </c>
      <c r="T66" s="62" t="str">
        <f t="shared" si="9"/>
        <v>-</v>
      </c>
      <c r="V66" s="32">
        <f t="shared" si="10"/>
        <v>6</v>
      </c>
      <c r="Z66" s="25">
        <v>1</v>
      </c>
      <c r="AA66" s="54">
        <f t="shared" si="11"/>
        <v>0</v>
      </c>
      <c r="AB66" s="54">
        <f t="shared" si="12"/>
        <v>0</v>
      </c>
      <c r="AC66" s="54">
        <f t="shared" si="13"/>
        <v>0</v>
      </c>
      <c r="AD66" s="54">
        <f t="shared" si="14"/>
        <v>0</v>
      </c>
      <c r="AE66" s="54">
        <f t="shared" si="15"/>
        <v>0</v>
      </c>
      <c r="AG66" s="32">
        <f t="shared" si="16"/>
        <v>5</v>
      </c>
      <c r="AK66" s="25">
        <v>1</v>
      </c>
      <c r="AL66" s="54">
        <f t="shared" si="17"/>
        <v>0</v>
      </c>
      <c r="AM66" s="54">
        <f t="shared" si="18"/>
        <v>0</v>
      </c>
      <c r="AN66" s="54">
        <f t="shared" si="19"/>
        <v>0</v>
      </c>
      <c r="AO66" s="54">
        <f t="shared" si="20"/>
        <v>0</v>
      </c>
      <c r="AP66" s="54">
        <f t="shared" si="21"/>
        <v>0</v>
      </c>
      <c r="AR66" s="32">
        <f t="shared" si="22"/>
        <v>4</v>
      </c>
      <c r="AV66" s="25">
        <v>1</v>
      </c>
      <c r="AW66" s="54">
        <f t="shared" si="23"/>
        <v>0</v>
      </c>
      <c r="AX66" s="54">
        <f t="shared" si="24"/>
        <v>0</v>
      </c>
      <c r="AY66" s="54">
        <f t="shared" si="25"/>
        <v>0</v>
      </c>
      <c r="AZ66" s="54">
        <f t="shared" si="26"/>
        <v>0</v>
      </c>
      <c r="BA66" s="54">
        <f t="shared" si="27"/>
        <v>0</v>
      </c>
      <c r="BC66" s="32">
        <f t="shared" si="28"/>
        <v>3</v>
      </c>
      <c r="BG66" s="25">
        <v>1</v>
      </c>
      <c r="BH66" s="54">
        <f t="shared" si="29"/>
        <v>0</v>
      </c>
      <c r="BI66" s="54">
        <f t="shared" si="30"/>
        <v>0</v>
      </c>
      <c r="BJ66" s="54">
        <f t="shared" si="31"/>
        <v>0</v>
      </c>
      <c r="BK66" s="54">
        <f t="shared" si="32"/>
        <v>0</v>
      </c>
      <c r="BL66" s="54">
        <f t="shared" si="33"/>
        <v>0</v>
      </c>
      <c r="BN66" s="25">
        <f t="shared" si="34"/>
        <v>1</v>
      </c>
      <c r="BS66" s="39"/>
      <c r="BT66" s="39"/>
      <c r="BU66" s="39"/>
      <c r="BV66" s="39"/>
      <c r="BW66" s="39"/>
    </row>
    <row r="67" spans="3:75" x14ac:dyDescent="0.25">
      <c r="C67" s="62" t="str">
        <f t="shared" ref="C67:C130" si="35">IF($B67&lt;&gt;"",SUMIFS(P:P,$J:$J,$B67),"-")</f>
        <v>-</v>
      </c>
      <c r="D67" s="62" t="str">
        <f t="shared" ref="D67:D130" si="36">IF($B67&lt;&gt;"",SUMIFS(Q:Q,$J:$J,$B67),"-")</f>
        <v>-</v>
      </c>
      <c r="E67" s="62" t="str">
        <f t="shared" ref="E67:E130" si="37">IF($B67&lt;&gt;"",SUMIFS(R:R,$J:$J,$B67),"-")</f>
        <v>-</v>
      </c>
      <c r="F67" s="62" t="str">
        <f t="shared" ref="F67:F130" si="38">IF($B67&lt;&gt;"",SUMIFS(S:S,$J:$J,$B67),"-")</f>
        <v>-</v>
      </c>
      <c r="G67" s="62" t="str">
        <f t="shared" ref="G67:G130" si="39">IF($B67&lt;&gt;"",SUMIFS(T:T,$J:$J,$B67),"-")</f>
        <v>-</v>
      </c>
      <c r="J67" s="17" t="s">
        <v>133</v>
      </c>
      <c r="K67" s="32" t="s">
        <v>65</v>
      </c>
      <c r="L67" s="32" t="s">
        <v>44</v>
      </c>
      <c r="O67" s="25">
        <v>2</v>
      </c>
      <c r="P67" s="62">
        <f t="shared" ref="P67:P130" si="40">IF(SUMIFS(AA:AA,$W:$W,$K67)&gt;0, SUMIFS(AA:AA,$W:$W,$K67)*$O67,"-")</f>
        <v>2</v>
      </c>
      <c r="Q67" s="62" t="str">
        <f t="shared" ref="Q67:Q130" si="41">IF(SUMIFS(AB:AB,$W:$W,$K67)&gt;0, SUMIFS(AB:AB,$W:$W,$K67)*$O67,"-")</f>
        <v>-</v>
      </c>
      <c r="R67" s="62" t="str">
        <f t="shared" ref="R67:R130" si="42">IF(SUMIFS(AC:AC,$W:$W,$K67)&gt;0, SUMIFS(AC:AC,$W:$W,$K67)*$O67,"-")</f>
        <v>-</v>
      </c>
      <c r="S67" s="62" t="str">
        <f t="shared" ref="S67:S130" si="43">IF(SUMIFS(AD:AD,$W:$W,$K67)&gt;0, SUMIFS(AD:AD,$W:$W,$K67)*$O67,"-")</f>
        <v>-</v>
      </c>
      <c r="T67" s="62" t="str">
        <f t="shared" ref="T67:T130" si="44">IF(SUMIFS(AE:AE,$W:$W,$K67)&gt;0, SUMIFS(AE:AE,$W:$W,$K67)*$O67,"-")</f>
        <v>-</v>
      </c>
      <c r="V67" s="32">
        <f t="shared" ref="V67:V130" si="45">IF(ISNA(VLOOKUP(W67,AH:AH,1,FALSE)),V$2+1,V$2)</f>
        <v>6</v>
      </c>
      <c r="Z67" s="25">
        <v>1</v>
      </c>
      <c r="AA67" s="54">
        <f t="shared" ref="AA67:AA130" si="46">SUMIFS(AL:AL,AH:AH,W67)*Z67</f>
        <v>0</v>
      </c>
      <c r="AB67" s="54">
        <f t="shared" ref="AB67:AB130" si="47">SUMIFS(AM:AM,AH:AH,W67)*Z67</f>
        <v>0</v>
      </c>
      <c r="AC67" s="54">
        <f t="shared" ref="AC67:AC130" si="48">SUMIFS(AN:AN,AH:AH,W67)*Z67</f>
        <v>0</v>
      </c>
      <c r="AD67" s="54">
        <f t="shared" ref="AD67:AD130" si="49">SUMIFS(AO:AO,AH:AH,W67)*Z67</f>
        <v>0</v>
      </c>
      <c r="AE67" s="54">
        <f t="shared" ref="AE67:AE130" si="50">SUMIFS(AP:AP,AH:AH,W67)*Z67</f>
        <v>0</v>
      </c>
      <c r="AG67" s="32">
        <f t="shared" ref="AG67:AG130" si="51">IF(ISNA(VLOOKUP(AH67,AS:AS,1,FALSE)),AG$2+1,AG$2)</f>
        <v>5</v>
      </c>
      <c r="AK67" s="25">
        <v>1</v>
      </c>
      <c r="AL67" s="54">
        <f t="shared" ref="AL67:AL130" si="52">SUMIFS(AW:AW,$AS:$AS,$AI67)*$AK67</f>
        <v>0</v>
      </c>
      <c r="AM67" s="54">
        <f t="shared" ref="AM67:AM130" si="53">SUMIFS(AX:AX,$AS:$AS,$AI67)*$AK67</f>
        <v>0</v>
      </c>
      <c r="AN67" s="54">
        <f t="shared" ref="AN67:AN130" si="54">SUMIFS(AY:AY,$AS:$AS,$AI67)*$AK67</f>
        <v>0</v>
      </c>
      <c r="AO67" s="54">
        <f t="shared" ref="AO67:AO130" si="55">SUMIFS(AZ:AZ,$AS:$AS,$AI67)*$AK67</f>
        <v>0</v>
      </c>
      <c r="AP67" s="54">
        <f t="shared" ref="AP67:AP130" si="56">SUMIFS(BA:BA,$AS:$AS,$AI67)*$AK67</f>
        <v>0</v>
      </c>
      <c r="AR67" s="32">
        <f t="shared" ref="AR67:AR130" si="57">IF(ISNA(VLOOKUP(AS67,BD:BD,1,FALSE)),AR$2+1,AR$2)</f>
        <v>4</v>
      </c>
      <c r="AV67" s="25">
        <v>1</v>
      </c>
      <c r="AW67" s="54">
        <f t="shared" ref="AW67:AW130" si="58">SUMIFS(BH:BH,BD:BD,AT67)*AV67</f>
        <v>0</v>
      </c>
      <c r="AX67" s="54">
        <f t="shared" ref="AX67:AX130" si="59">SUMIFS(BI:BI,BD:BD,AT67)*AV67</f>
        <v>0</v>
      </c>
      <c r="AY67" s="54">
        <f t="shared" ref="AY67:AY130" si="60">SUMIFS(BJ:BJ,BD:BD,AT67)*AV67</f>
        <v>0</v>
      </c>
      <c r="AZ67" s="54">
        <f t="shared" ref="AZ67:AZ130" si="61">SUMIFS(BK:BK,BD:BD,AT67)*AV67</f>
        <v>0</v>
      </c>
      <c r="BA67" s="54">
        <f t="shared" ref="BA67:BA130" si="62">SUMIFS(BL:BL,BD:BD,AT67)*AV67</f>
        <v>0</v>
      </c>
      <c r="BC67" s="32">
        <f t="shared" ref="BC67:BC130" si="63">IF(ISNA(VLOOKUP(BD67,BO:BO,1,FALSE)),BC$2+1,BC$2)</f>
        <v>3</v>
      </c>
      <c r="BG67" s="25">
        <v>1</v>
      </c>
      <c r="BH67" s="54">
        <f t="shared" ref="BH67:BH130" si="64">SUMIFS(BS:BS,BO:BO,BE67)*BG67</f>
        <v>0</v>
      </c>
      <c r="BI67" s="54">
        <f t="shared" ref="BI67:BI130" si="65">SUMIFS(BT:BT,BO:BO,BE67)*BG67</f>
        <v>0</v>
      </c>
      <c r="BJ67" s="54">
        <f t="shared" ref="BJ67:BJ130" si="66">SUMIFS(BU:BU,BO:BO,BE67)*BG67</f>
        <v>0</v>
      </c>
      <c r="BK67" s="54">
        <f t="shared" ref="BK67:BK130" si="67">SUMIFS(BV:BV,BO:BO,BE67)*BG67</f>
        <v>0</v>
      </c>
      <c r="BL67" s="54">
        <f t="shared" ref="BL67:BL130" si="68">SUMIFS(BW:BW,BO:BO,BE67)*BG67</f>
        <v>0</v>
      </c>
      <c r="BN67" s="25">
        <f t="shared" si="34"/>
        <v>1</v>
      </c>
      <c r="BS67" s="39"/>
      <c r="BT67" s="39"/>
      <c r="BU67" s="39"/>
      <c r="BV67" s="39"/>
      <c r="BW67" s="39"/>
    </row>
    <row r="68" spans="3:75" x14ac:dyDescent="0.25">
      <c r="C68" s="62" t="str">
        <f t="shared" si="35"/>
        <v>-</v>
      </c>
      <c r="D68" s="62" t="str">
        <f t="shared" si="36"/>
        <v>-</v>
      </c>
      <c r="E68" s="62" t="str">
        <f t="shared" si="37"/>
        <v>-</v>
      </c>
      <c r="F68" s="62" t="str">
        <f t="shared" si="38"/>
        <v>-</v>
      </c>
      <c r="G68" s="62" t="str">
        <f t="shared" si="39"/>
        <v>-</v>
      </c>
      <c r="J68" s="17" t="s">
        <v>50</v>
      </c>
      <c r="K68" s="32" t="s">
        <v>289</v>
      </c>
      <c r="M68" s="40" t="s">
        <v>40</v>
      </c>
      <c r="O68" s="25">
        <v>1</v>
      </c>
      <c r="P68" s="62" t="str">
        <f t="shared" si="40"/>
        <v>-</v>
      </c>
      <c r="Q68" s="62">
        <f t="shared" si="41"/>
        <v>1</v>
      </c>
      <c r="R68" s="62" t="str">
        <f t="shared" si="42"/>
        <v>-</v>
      </c>
      <c r="S68" s="62" t="str">
        <f t="shared" si="43"/>
        <v>-</v>
      </c>
      <c r="T68" s="62" t="str">
        <f t="shared" si="44"/>
        <v>-</v>
      </c>
      <c r="V68" s="32">
        <f t="shared" si="45"/>
        <v>6</v>
      </c>
      <c r="Z68" s="25">
        <v>1</v>
      </c>
      <c r="AA68" s="54">
        <f t="shared" si="46"/>
        <v>0</v>
      </c>
      <c r="AB68" s="54">
        <f t="shared" si="47"/>
        <v>0</v>
      </c>
      <c r="AC68" s="54">
        <f t="shared" si="48"/>
        <v>0</v>
      </c>
      <c r="AD68" s="54">
        <f t="shared" si="49"/>
        <v>0</v>
      </c>
      <c r="AE68" s="54">
        <f t="shared" si="50"/>
        <v>0</v>
      </c>
      <c r="AG68" s="32">
        <f t="shared" si="51"/>
        <v>5</v>
      </c>
      <c r="AK68" s="25">
        <v>1</v>
      </c>
      <c r="AL68" s="54">
        <f t="shared" si="52"/>
        <v>0</v>
      </c>
      <c r="AM68" s="54">
        <f t="shared" si="53"/>
        <v>0</v>
      </c>
      <c r="AN68" s="54">
        <f t="shared" si="54"/>
        <v>0</v>
      </c>
      <c r="AO68" s="54">
        <f t="shared" si="55"/>
        <v>0</v>
      </c>
      <c r="AP68" s="54">
        <f t="shared" si="56"/>
        <v>0</v>
      </c>
      <c r="AR68" s="32">
        <f t="shared" si="57"/>
        <v>4</v>
      </c>
      <c r="AV68" s="25">
        <v>1</v>
      </c>
      <c r="AW68" s="54">
        <f t="shared" si="58"/>
        <v>0</v>
      </c>
      <c r="AX68" s="54">
        <f t="shared" si="59"/>
        <v>0</v>
      </c>
      <c r="AY68" s="54">
        <f t="shared" si="60"/>
        <v>0</v>
      </c>
      <c r="AZ68" s="54">
        <f t="shared" si="61"/>
        <v>0</v>
      </c>
      <c r="BA68" s="54">
        <f t="shared" si="62"/>
        <v>0</v>
      </c>
      <c r="BC68" s="32">
        <f t="shared" si="63"/>
        <v>3</v>
      </c>
      <c r="BG68" s="25">
        <v>1</v>
      </c>
      <c r="BH68" s="54">
        <f t="shared" si="64"/>
        <v>0</v>
      </c>
      <c r="BI68" s="54">
        <f t="shared" si="65"/>
        <v>0</v>
      </c>
      <c r="BJ68" s="54">
        <f t="shared" si="66"/>
        <v>0</v>
      </c>
      <c r="BK68" s="54">
        <f t="shared" si="67"/>
        <v>0</v>
      </c>
      <c r="BL68" s="54">
        <f t="shared" si="68"/>
        <v>0</v>
      </c>
      <c r="BN68" s="25">
        <f t="shared" ref="BN68:BN131" si="69">BN$2</f>
        <v>1</v>
      </c>
      <c r="BS68" s="39"/>
      <c r="BT68" s="39"/>
      <c r="BU68" s="39"/>
      <c r="BV68" s="39"/>
      <c r="BW68" s="39"/>
    </row>
    <row r="69" spans="3:75" x14ac:dyDescent="0.25">
      <c r="C69" s="62" t="str">
        <f t="shared" si="35"/>
        <v>-</v>
      </c>
      <c r="D69" s="62" t="str">
        <f t="shared" si="36"/>
        <v>-</v>
      </c>
      <c r="E69" s="62" t="str">
        <f t="shared" si="37"/>
        <v>-</v>
      </c>
      <c r="F69" s="62" t="str">
        <f t="shared" si="38"/>
        <v>-</v>
      </c>
      <c r="G69" s="62" t="str">
        <f t="shared" si="39"/>
        <v>-</v>
      </c>
      <c r="J69" s="17" t="s">
        <v>50</v>
      </c>
      <c r="K69" s="32" t="s">
        <v>289</v>
      </c>
      <c r="M69" s="40" t="s">
        <v>49</v>
      </c>
      <c r="O69" s="25">
        <v>1</v>
      </c>
      <c r="P69" s="62" t="str">
        <f t="shared" si="40"/>
        <v>-</v>
      </c>
      <c r="Q69" s="62">
        <f t="shared" si="41"/>
        <v>1</v>
      </c>
      <c r="R69" s="62" t="str">
        <f t="shared" si="42"/>
        <v>-</v>
      </c>
      <c r="S69" s="62" t="str">
        <f t="shared" si="43"/>
        <v>-</v>
      </c>
      <c r="T69" s="62" t="str">
        <f t="shared" si="44"/>
        <v>-</v>
      </c>
      <c r="V69" s="32">
        <f t="shared" si="45"/>
        <v>6</v>
      </c>
      <c r="Z69" s="25">
        <v>1</v>
      </c>
      <c r="AA69" s="54">
        <f t="shared" si="46"/>
        <v>0</v>
      </c>
      <c r="AB69" s="54">
        <f t="shared" si="47"/>
        <v>0</v>
      </c>
      <c r="AC69" s="54">
        <f t="shared" si="48"/>
        <v>0</v>
      </c>
      <c r="AD69" s="54">
        <f t="shared" si="49"/>
        <v>0</v>
      </c>
      <c r="AE69" s="54">
        <f t="shared" si="50"/>
        <v>0</v>
      </c>
      <c r="AG69" s="32">
        <f t="shared" si="51"/>
        <v>5</v>
      </c>
      <c r="AK69" s="25">
        <v>1</v>
      </c>
      <c r="AL69" s="54">
        <f t="shared" si="52"/>
        <v>0</v>
      </c>
      <c r="AM69" s="54">
        <f t="shared" si="53"/>
        <v>0</v>
      </c>
      <c r="AN69" s="54">
        <f t="shared" si="54"/>
        <v>0</v>
      </c>
      <c r="AO69" s="54">
        <f t="shared" si="55"/>
        <v>0</v>
      </c>
      <c r="AP69" s="54">
        <f t="shared" si="56"/>
        <v>0</v>
      </c>
      <c r="AR69" s="32">
        <f t="shared" si="57"/>
        <v>4</v>
      </c>
      <c r="AV69" s="25">
        <v>1</v>
      </c>
      <c r="AW69" s="54">
        <f t="shared" si="58"/>
        <v>0</v>
      </c>
      <c r="AX69" s="54">
        <f t="shared" si="59"/>
        <v>0</v>
      </c>
      <c r="AY69" s="54">
        <f t="shared" si="60"/>
        <v>0</v>
      </c>
      <c r="AZ69" s="54">
        <f t="shared" si="61"/>
        <v>0</v>
      </c>
      <c r="BA69" s="54">
        <f t="shared" si="62"/>
        <v>0</v>
      </c>
      <c r="BC69" s="32">
        <f t="shared" si="63"/>
        <v>3</v>
      </c>
      <c r="BG69" s="25">
        <v>1</v>
      </c>
      <c r="BH69" s="54">
        <f t="shared" si="64"/>
        <v>0</v>
      </c>
      <c r="BI69" s="54">
        <f t="shared" si="65"/>
        <v>0</v>
      </c>
      <c r="BJ69" s="54">
        <f t="shared" si="66"/>
        <v>0</v>
      </c>
      <c r="BK69" s="54">
        <f t="shared" si="67"/>
        <v>0</v>
      </c>
      <c r="BL69" s="54">
        <f t="shared" si="68"/>
        <v>0</v>
      </c>
      <c r="BN69" s="25">
        <f t="shared" si="69"/>
        <v>1</v>
      </c>
      <c r="BS69" s="39"/>
      <c r="BT69" s="39"/>
      <c r="BU69" s="39"/>
      <c r="BV69" s="39"/>
      <c r="BW69" s="39"/>
    </row>
    <row r="70" spans="3:75" x14ac:dyDescent="0.25">
      <c r="C70" s="62" t="str">
        <f t="shared" si="35"/>
        <v>-</v>
      </c>
      <c r="D70" s="62" t="str">
        <f t="shared" si="36"/>
        <v>-</v>
      </c>
      <c r="E70" s="62" t="str">
        <f t="shared" si="37"/>
        <v>-</v>
      </c>
      <c r="F70" s="62" t="str">
        <f t="shared" si="38"/>
        <v>-</v>
      </c>
      <c r="G70" s="62" t="str">
        <f t="shared" si="39"/>
        <v>-</v>
      </c>
      <c r="J70" s="17" t="s">
        <v>50</v>
      </c>
      <c r="K70" s="32" t="s">
        <v>289</v>
      </c>
      <c r="M70" s="40" t="s">
        <v>47</v>
      </c>
      <c r="O70" s="25">
        <v>1</v>
      </c>
      <c r="P70" s="62" t="str">
        <f t="shared" si="40"/>
        <v>-</v>
      </c>
      <c r="Q70" s="62">
        <f t="shared" si="41"/>
        <v>1</v>
      </c>
      <c r="R70" s="62" t="str">
        <f t="shared" si="42"/>
        <v>-</v>
      </c>
      <c r="S70" s="62" t="str">
        <f t="shared" si="43"/>
        <v>-</v>
      </c>
      <c r="T70" s="62" t="str">
        <f t="shared" si="44"/>
        <v>-</v>
      </c>
      <c r="V70" s="32">
        <f t="shared" si="45"/>
        <v>6</v>
      </c>
      <c r="Z70" s="25">
        <v>1</v>
      </c>
      <c r="AA70" s="54">
        <f t="shared" si="46"/>
        <v>0</v>
      </c>
      <c r="AB70" s="54">
        <f t="shared" si="47"/>
        <v>0</v>
      </c>
      <c r="AC70" s="54">
        <f t="shared" si="48"/>
        <v>0</v>
      </c>
      <c r="AD70" s="54">
        <f t="shared" si="49"/>
        <v>0</v>
      </c>
      <c r="AE70" s="54">
        <f t="shared" si="50"/>
        <v>0</v>
      </c>
      <c r="AG70" s="32">
        <f t="shared" si="51"/>
        <v>5</v>
      </c>
      <c r="AK70" s="25">
        <v>1</v>
      </c>
      <c r="AL70" s="54">
        <f t="shared" si="52"/>
        <v>0</v>
      </c>
      <c r="AM70" s="54">
        <f t="shared" si="53"/>
        <v>0</v>
      </c>
      <c r="AN70" s="54">
        <f t="shared" si="54"/>
        <v>0</v>
      </c>
      <c r="AO70" s="54">
        <f t="shared" si="55"/>
        <v>0</v>
      </c>
      <c r="AP70" s="54">
        <f t="shared" si="56"/>
        <v>0</v>
      </c>
      <c r="AR70" s="32">
        <f t="shared" si="57"/>
        <v>4</v>
      </c>
      <c r="AV70" s="25">
        <v>1</v>
      </c>
      <c r="AW70" s="54">
        <f t="shared" si="58"/>
        <v>0</v>
      </c>
      <c r="AX70" s="54">
        <f t="shared" si="59"/>
        <v>0</v>
      </c>
      <c r="AY70" s="54">
        <f t="shared" si="60"/>
        <v>0</v>
      </c>
      <c r="AZ70" s="54">
        <f t="shared" si="61"/>
        <v>0</v>
      </c>
      <c r="BA70" s="54">
        <f t="shared" si="62"/>
        <v>0</v>
      </c>
      <c r="BC70" s="32">
        <f t="shared" si="63"/>
        <v>3</v>
      </c>
      <c r="BG70" s="25">
        <v>1</v>
      </c>
      <c r="BH70" s="54">
        <f t="shared" si="64"/>
        <v>0</v>
      </c>
      <c r="BI70" s="54">
        <f t="shared" si="65"/>
        <v>0</v>
      </c>
      <c r="BJ70" s="54">
        <f t="shared" si="66"/>
        <v>0</v>
      </c>
      <c r="BK70" s="54">
        <f t="shared" si="67"/>
        <v>0</v>
      </c>
      <c r="BL70" s="54">
        <f t="shared" si="68"/>
        <v>0</v>
      </c>
      <c r="BN70" s="25">
        <f t="shared" si="69"/>
        <v>1</v>
      </c>
      <c r="BS70" s="39"/>
      <c r="BT70" s="39"/>
      <c r="BU70" s="39"/>
      <c r="BV70" s="39"/>
      <c r="BW70" s="39"/>
    </row>
    <row r="71" spans="3:75" x14ac:dyDescent="0.25">
      <c r="C71" s="62" t="str">
        <f t="shared" si="35"/>
        <v>-</v>
      </c>
      <c r="D71" s="62" t="str">
        <f t="shared" si="36"/>
        <v>-</v>
      </c>
      <c r="E71" s="62" t="str">
        <f t="shared" si="37"/>
        <v>-</v>
      </c>
      <c r="F71" s="62" t="str">
        <f t="shared" si="38"/>
        <v>-</v>
      </c>
      <c r="G71" s="62" t="str">
        <f t="shared" si="39"/>
        <v>-</v>
      </c>
      <c r="J71" s="17" t="s">
        <v>50</v>
      </c>
      <c r="K71" s="32" t="s">
        <v>289</v>
      </c>
      <c r="M71" s="40" t="s">
        <v>48</v>
      </c>
      <c r="O71" s="25">
        <v>1</v>
      </c>
      <c r="P71" s="62" t="str">
        <f t="shared" si="40"/>
        <v>-</v>
      </c>
      <c r="Q71" s="62">
        <f t="shared" si="41"/>
        <v>1</v>
      </c>
      <c r="R71" s="62" t="str">
        <f t="shared" si="42"/>
        <v>-</v>
      </c>
      <c r="S71" s="62" t="str">
        <f t="shared" si="43"/>
        <v>-</v>
      </c>
      <c r="T71" s="62" t="str">
        <f t="shared" si="44"/>
        <v>-</v>
      </c>
      <c r="V71" s="32">
        <f t="shared" si="45"/>
        <v>6</v>
      </c>
      <c r="Z71" s="25">
        <v>1</v>
      </c>
      <c r="AA71" s="54">
        <f t="shared" si="46"/>
        <v>0</v>
      </c>
      <c r="AB71" s="54">
        <f t="shared" si="47"/>
        <v>0</v>
      </c>
      <c r="AC71" s="54">
        <f t="shared" si="48"/>
        <v>0</v>
      </c>
      <c r="AD71" s="54">
        <f t="shared" si="49"/>
        <v>0</v>
      </c>
      <c r="AE71" s="54">
        <f t="shared" si="50"/>
        <v>0</v>
      </c>
      <c r="AG71" s="32">
        <f t="shared" si="51"/>
        <v>5</v>
      </c>
      <c r="AK71" s="25">
        <v>1</v>
      </c>
      <c r="AL71" s="54">
        <f t="shared" si="52"/>
        <v>0</v>
      </c>
      <c r="AM71" s="54">
        <f t="shared" si="53"/>
        <v>0</v>
      </c>
      <c r="AN71" s="54">
        <f t="shared" si="54"/>
        <v>0</v>
      </c>
      <c r="AO71" s="54">
        <f t="shared" si="55"/>
        <v>0</v>
      </c>
      <c r="AP71" s="54">
        <f t="shared" si="56"/>
        <v>0</v>
      </c>
      <c r="AR71" s="32">
        <f t="shared" si="57"/>
        <v>4</v>
      </c>
      <c r="AV71" s="25">
        <v>1</v>
      </c>
      <c r="AW71" s="54">
        <f t="shared" si="58"/>
        <v>0</v>
      </c>
      <c r="AX71" s="54">
        <f t="shared" si="59"/>
        <v>0</v>
      </c>
      <c r="AY71" s="54">
        <f t="shared" si="60"/>
        <v>0</v>
      </c>
      <c r="AZ71" s="54">
        <f t="shared" si="61"/>
        <v>0</v>
      </c>
      <c r="BA71" s="54">
        <f t="shared" si="62"/>
        <v>0</v>
      </c>
      <c r="BC71" s="32">
        <f t="shared" si="63"/>
        <v>3</v>
      </c>
      <c r="BG71" s="25">
        <v>1</v>
      </c>
      <c r="BH71" s="54">
        <f t="shared" si="64"/>
        <v>0</v>
      </c>
      <c r="BI71" s="54">
        <f t="shared" si="65"/>
        <v>0</v>
      </c>
      <c r="BJ71" s="54">
        <f t="shared" si="66"/>
        <v>0</v>
      </c>
      <c r="BK71" s="54">
        <f t="shared" si="67"/>
        <v>0</v>
      </c>
      <c r="BL71" s="54">
        <f t="shared" si="68"/>
        <v>0</v>
      </c>
      <c r="BN71" s="25">
        <f t="shared" si="69"/>
        <v>1</v>
      </c>
      <c r="BS71" s="39"/>
      <c r="BT71" s="39"/>
      <c r="BU71" s="39"/>
      <c r="BV71" s="39"/>
      <c r="BW71" s="39"/>
    </row>
    <row r="72" spans="3:75" x14ac:dyDescent="0.25">
      <c r="C72" s="62" t="str">
        <f t="shared" si="35"/>
        <v>-</v>
      </c>
      <c r="D72" s="62" t="str">
        <f t="shared" si="36"/>
        <v>-</v>
      </c>
      <c r="E72" s="62" t="str">
        <f t="shared" si="37"/>
        <v>-</v>
      </c>
      <c r="F72" s="62" t="str">
        <f t="shared" si="38"/>
        <v>-</v>
      </c>
      <c r="G72" s="62" t="str">
        <f t="shared" si="39"/>
        <v>-</v>
      </c>
      <c r="J72" s="17" t="s">
        <v>50</v>
      </c>
      <c r="K72" s="32" t="s">
        <v>62</v>
      </c>
      <c r="L72" s="32" t="s">
        <v>288</v>
      </c>
      <c r="N72" s="40" t="s">
        <v>291</v>
      </c>
      <c r="O72" s="25">
        <v>1</v>
      </c>
      <c r="P72" s="62" t="str">
        <f t="shared" si="40"/>
        <v>-</v>
      </c>
      <c r="Q72" s="62" t="str">
        <f t="shared" si="41"/>
        <v>-</v>
      </c>
      <c r="R72" s="62">
        <f t="shared" si="42"/>
        <v>2</v>
      </c>
      <c r="S72" s="62" t="str">
        <f t="shared" si="43"/>
        <v>-</v>
      </c>
      <c r="T72" s="62" t="str">
        <f t="shared" si="44"/>
        <v>-</v>
      </c>
      <c r="V72" s="32">
        <f t="shared" si="45"/>
        <v>6</v>
      </c>
      <c r="Z72" s="25">
        <v>1</v>
      </c>
      <c r="AA72" s="54">
        <f t="shared" si="46"/>
        <v>0</v>
      </c>
      <c r="AB72" s="54">
        <f t="shared" si="47"/>
        <v>0</v>
      </c>
      <c r="AC72" s="54">
        <f t="shared" si="48"/>
        <v>0</v>
      </c>
      <c r="AD72" s="54">
        <f t="shared" si="49"/>
        <v>0</v>
      </c>
      <c r="AE72" s="54">
        <f t="shared" si="50"/>
        <v>0</v>
      </c>
      <c r="AG72" s="32">
        <f t="shared" si="51"/>
        <v>5</v>
      </c>
      <c r="AK72" s="25">
        <v>1</v>
      </c>
      <c r="AL72" s="54">
        <f t="shared" si="52"/>
        <v>0</v>
      </c>
      <c r="AM72" s="54">
        <f t="shared" si="53"/>
        <v>0</v>
      </c>
      <c r="AN72" s="54">
        <f t="shared" si="54"/>
        <v>0</v>
      </c>
      <c r="AO72" s="54">
        <f t="shared" si="55"/>
        <v>0</v>
      </c>
      <c r="AP72" s="54">
        <f t="shared" si="56"/>
        <v>0</v>
      </c>
      <c r="AR72" s="32">
        <f t="shared" si="57"/>
        <v>4</v>
      </c>
      <c r="AV72" s="25">
        <v>1</v>
      </c>
      <c r="AW72" s="54">
        <f t="shared" si="58"/>
        <v>0</v>
      </c>
      <c r="AX72" s="54">
        <f t="shared" si="59"/>
        <v>0</v>
      </c>
      <c r="AY72" s="54">
        <f t="shared" si="60"/>
        <v>0</v>
      </c>
      <c r="AZ72" s="54">
        <f t="shared" si="61"/>
        <v>0</v>
      </c>
      <c r="BA72" s="54">
        <f t="shared" si="62"/>
        <v>0</v>
      </c>
      <c r="BC72" s="32">
        <f t="shared" si="63"/>
        <v>3</v>
      </c>
      <c r="BG72" s="25">
        <v>1</v>
      </c>
      <c r="BH72" s="54">
        <f t="shared" si="64"/>
        <v>0</v>
      </c>
      <c r="BI72" s="54">
        <f t="shared" si="65"/>
        <v>0</v>
      </c>
      <c r="BJ72" s="54">
        <f t="shared" si="66"/>
        <v>0</v>
      </c>
      <c r="BK72" s="54">
        <f t="shared" si="67"/>
        <v>0</v>
      </c>
      <c r="BL72" s="54">
        <f t="shared" si="68"/>
        <v>0</v>
      </c>
      <c r="BN72" s="25">
        <f t="shared" si="69"/>
        <v>1</v>
      </c>
      <c r="BS72" s="39"/>
      <c r="BT72" s="39"/>
      <c r="BU72" s="39"/>
      <c r="BV72" s="39"/>
      <c r="BW72" s="39"/>
    </row>
    <row r="73" spans="3:75" x14ac:dyDescent="0.25">
      <c r="C73" s="62" t="str">
        <f t="shared" si="35"/>
        <v>-</v>
      </c>
      <c r="D73" s="62" t="str">
        <f t="shared" si="36"/>
        <v>-</v>
      </c>
      <c r="E73" s="62" t="str">
        <f t="shared" si="37"/>
        <v>-</v>
      </c>
      <c r="F73" s="62" t="str">
        <f t="shared" si="38"/>
        <v>-</v>
      </c>
      <c r="G73" s="62" t="str">
        <f t="shared" si="39"/>
        <v>-</v>
      </c>
      <c r="J73" s="17" t="s">
        <v>50</v>
      </c>
      <c r="K73" s="32" t="s">
        <v>62</v>
      </c>
      <c r="L73" s="32" t="s">
        <v>287</v>
      </c>
      <c r="N73" s="40" t="s">
        <v>291</v>
      </c>
      <c r="O73" s="25">
        <v>1</v>
      </c>
      <c r="P73" s="62" t="str">
        <f t="shared" si="40"/>
        <v>-</v>
      </c>
      <c r="Q73" s="62" t="str">
        <f t="shared" si="41"/>
        <v>-</v>
      </c>
      <c r="R73" s="62">
        <f t="shared" si="42"/>
        <v>2</v>
      </c>
      <c r="S73" s="62" t="str">
        <f t="shared" si="43"/>
        <v>-</v>
      </c>
      <c r="T73" s="62" t="str">
        <f t="shared" si="44"/>
        <v>-</v>
      </c>
      <c r="V73" s="32">
        <f t="shared" si="45"/>
        <v>6</v>
      </c>
      <c r="Z73" s="25">
        <v>1</v>
      </c>
      <c r="AA73" s="54">
        <f t="shared" si="46"/>
        <v>0</v>
      </c>
      <c r="AB73" s="54">
        <f t="shared" si="47"/>
        <v>0</v>
      </c>
      <c r="AC73" s="54">
        <f t="shared" si="48"/>
        <v>0</v>
      </c>
      <c r="AD73" s="54">
        <f t="shared" si="49"/>
        <v>0</v>
      </c>
      <c r="AE73" s="54">
        <f t="shared" si="50"/>
        <v>0</v>
      </c>
      <c r="AG73" s="32">
        <f t="shared" si="51"/>
        <v>5</v>
      </c>
      <c r="AK73" s="25">
        <v>1</v>
      </c>
      <c r="AL73" s="54">
        <f t="shared" si="52"/>
        <v>0</v>
      </c>
      <c r="AM73" s="54">
        <f t="shared" si="53"/>
        <v>0</v>
      </c>
      <c r="AN73" s="54">
        <f t="shared" si="54"/>
        <v>0</v>
      </c>
      <c r="AO73" s="54">
        <f t="shared" si="55"/>
        <v>0</v>
      </c>
      <c r="AP73" s="54">
        <f t="shared" si="56"/>
        <v>0</v>
      </c>
      <c r="AR73" s="32">
        <f t="shared" si="57"/>
        <v>4</v>
      </c>
      <c r="AV73" s="25">
        <v>1</v>
      </c>
      <c r="AW73" s="54">
        <f t="shared" si="58"/>
        <v>0</v>
      </c>
      <c r="AX73" s="54">
        <f t="shared" si="59"/>
        <v>0</v>
      </c>
      <c r="AY73" s="54">
        <f t="shared" si="60"/>
        <v>0</v>
      </c>
      <c r="AZ73" s="54">
        <f t="shared" si="61"/>
        <v>0</v>
      </c>
      <c r="BA73" s="54">
        <f t="shared" si="62"/>
        <v>0</v>
      </c>
      <c r="BC73" s="32">
        <f t="shared" si="63"/>
        <v>3</v>
      </c>
      <c r="BG73" s="25">
        <v>1</v>
      </c>
      <c r="BH73" s="54">
        <f t="shared" si="64"/>
        <v>0</v>
      </c>
      <c r="BI73" s="54">
        <f t="shared" si="65"/>
        <v>0</v>
      </c>
      <c r="BJ73" s="54">
        <f t="shared" si="66"/>
        <v>0</v>
      </c>
      <c r="BK73" s="54">
        <f t="shared" si="67"/>
        <v>0</v>
      </c>
      <c r="BL73" s="54">
        <f t="shared" si="68"/>
        <v>0</v>
      </c>
      <c r="BN73" s="25">
        <f t="shared" si="69"/>
        <v>1</v>
      </c>
      <c r="BS73" s="39"/>
      <c r="BT73" s="39"/>
      <c r="BU73" s="39"/>
      <c r="BV73" s="39"/>
      <c r="BW73" s="39"/>
    </row>
    <row r="74" spans="3:75" x14ac:dyDescent="0.25">
      <c r="C74" s="62" t="str">
        <f t="shared" si="35"/>
        <v>-</v>
      </c>
      <c r="D74" s="62" t="str">
        <f t="shared" si="36"/>
        <v>-</v>
      </c>
      <c r="E74" s="62" t="str">
        <f t="shared" si="37"/>
        <v>-</v>
      </c>
      <c r="F74" s="62" t="str">
        <f t="shared" si="38"/>
        <v>-</v>
      </c>
      <c r="G74" s="62" t="str">
        <f t="shared" si="39"/>
        <v>-</v>
      </c>
      <c r="J74" s="17" t="s">
        <v>50</v>
      </c>
      <c r="K74" s="32" t="s">
        <v>65</v>
      </c>
      <c r="L74" s="32" t="s">
        <v>45</v>
      </c>
      <c r="N74" s="40" t="s">
        <v>291</v>
      </c>
      <c r="O74" s="25">
        <v>1</v>
      </c>
      <c r="P74" s="62">
        <f t="shared" si="40"/>
        <v>1</v>
      </c>
      <c r="Q74" s="62" t="str">
        <f t="shared" si="41"/>
        <v>-</v>
      </c>
      <c r="R74" s="62" t="str">
        <f t="shared" si="42"/>
        <v>-</v>
      </c>
      <c r="S74" s="62" t="str">
        <f t="shared" si="43"/>
        <v>-</v>
      </c>
      <c r="T74" s="62" t="str">
        <f t="shared" si="44"/>
        <v>-</v>
      </c>
      <c r="V74" s="32">
        <f t="shared" si="45"/>
        <v>6</v>
      </c>
      <c r="Z74" s="25">
        <v>1</v>
      </c>
      <c r="AA74" s="54">
        <f t="shared" si="46"/>
        <v>0</v>
      </c>
      <c r="AB74" s="54">
        <f t="shared" si="47"/>
        <v>0</v>
      </c>
      <c r="AC74" s="54">
        <f t="shared" si="48"/>
        <v>0</v>
      </c>
      <c r="AD74" s="54">
        <f t="shared" si="49"/>
        <v>0</v>
      </c>
      <c r="AE74" s="54">
        <f t="shared" si="50"/>
        <v>0</v>
      </c>
      <c r="AG74" s="32">
        <f t="shared" si="51"/>
        <v>5</v>
      </c>
      <c r="AK74" s="25">
        <v>1</v>
      </c>
      <c r="AL74" s="54">
        <f t="shared" si="52"/>
        <v>0</v>
      </c>
      <c r="AM74" s="54">
        <f t="shared" si="53"/>
        <v>0</v>
      </c>
      <c r="AN74" s="54">
        <f t="shared" si="54"/>
        <v>0</v>
      </c>
      <c r="AO74" s="54">
        <f t="shared" si="55"/>
        <v>0</v>
      </c>
      <c r="AP74" s="54">
        <f t="shared" si="56"/>
        <v>0</v>
      </c>
      <c r="AR74" s="32">
        <f t="shared" si="57"/>
        <v>4</v>
      </c>
      <c r="AV74" s="25">
        <v>1</v>
      </c>
      <c r="AW74" s="54">
        <f t="shared" si="58"/>
        <v>0</v>
      </c>
      <c r="AX74" s="54">
        <f t="shared" si="59"/>
        <v>0</v>
      </c>
      <c r="AY74" s="54">
        <f t="shared" si="60"/>
        <v>0</v>
      </c>
      <c r="AZ74" s="54">
        <f t="shared" si="61"/>
        <v>0</v>
      </c>
      <c r="BA74" s="54">
        <f t="shared" si="62"/>
        <v>0</v>
      </c>
      <c r="BC74" s="32">
        <f t="shared" si="63"/>
        <v>3</v>
      </c>
      <c r="BG74" s="25">
        <v>1</v>
      </c>
      <c r="BH74" s="54">
        <f t="shared" si="64"/>
        <v>0</v>
      </c>
      <c r="BI74" s="54">
        <f t="shared" si="65"/>
        <v>0</v>
      </c>
      <c r="BJ74" s="54">
        <f t="shared" si="66"/>
        <v>0</v>
      </c>
      <c r="BK74" s="54">
        <f t="shared" si="67"/>
        <v>0</v>
      </c>
      <c r="BL74" s="54">
        <f t="shared" si="68"/>
        <v>0</v>
      </c>
      <c r="BN74" s="25">
        <f t="shared" si="69"/>
        <v>1</v>
      </c>
      <c r="BS74" s="39"/>
      <c r="BT74" s="39"/>
      <c r="BU74" s="39"/>
      <c r="BV74" s="39"/>
      <c r="BW74" s="39"/>
    </row>
    <row r="75" spans="3:75" x14ac:dyDescent="0.25">
      <c r="C75" s="62" t="str">
        <f t="shared" si="35"/>
        <v>-</v>
      </c>
      <c r="D75" s="62" t="str">
        <f t="shared" si="36"/>
        <v>-</v>
      </c>
      <c r="E75" s="62" t="str">
        <f t="shared" si="37"/>
        <v>-</v>
      </c>
      <c r="F75" s="62" t="str">
        <f t="shared" si="38"/>
        <v>-</v>
      </c>
      <c r="G75" s="62" t="str">
        <f t="shared" si="39"/>
        <v>-</v>
      </c>
      <c r="J75" s="17" t="s">
        <v>50</v>
      </c>
      <c r="K75" s="32" t="s">
        <v>65</v>
      </c>
      <c r="L75" s="32" t="s">
        <v>44</v>
      </c>
      <c r="O75" s="25">
        <v>1</v>
      </c>
      <c r="P75" s="62">
        <f t="shared" si="40"/>
        <v>1</v>
      </c>
      <c r="Q75" s="62" t="str">
        <f t="shared" si="41"/>
        <v>-</v>
      </c>
      <c r="R75" s="62" t="str">
        <f t="shared" si="42"/>
        <v>-</v>
      </c>
      <c r="S75" s="62" t="str">
        <f t="shared" si="43"/>
        <v>-</v>
      </c>
      <c r="T75" s="62" t="str">
        <f t="shared" si="44"/>
        <v>-</v>
      </c>
      <c r="V75" s="32">
        <f t="shared" si="45"/>
        <v>6</v>
      </c>
      <c r="Z75" s="25">
        <v>1</v>
      </c>
      <c r="AA75" s="54">
        <f t="shared" si="46"/>
        <v>0</v>
      </c>
      <c r="AB75" s="54">
        <f t="shared" si="47"/>
        <v>0</v>
      </c>
      <c r="AC75" s="54">
        <f t="shared" si="48"/>
        <v>0</v>
      </c>
      <c r="AD75" s="54">
        <f t="shared" si="49"/>
        <v>0</v>
      </c>
      <c r="AE75" s="54">
        <f t="shared" si="50"/>
        <v>0</v>
      </c>
      <c r="AG75" s="32">
        <f t="shared" si="51"/>
        <v>5</v>
      </c>
      <c r="AK75" s="25">
        <v>1</v>
      </c>
      <c r="AL75" s="54">
        <f t="shared" si="52"/>
        <v>0</v>
      </c>
      <c r="AM75" s="54">
        <f t="shared" si="53"/>
        <v>0</v>
      </c>
      <c r="AN75" s="54">
        <f t="shared" si="54"/>
        <v>0</v>
      </c>
      <c r="AO75" s="54">
        <f t="shared" si="55"/>
        <v>0</v>
      </c>
      <c r="AP75" s="54">
        <f t="shared" si="56"/>
        <v>0</v>
      </c>
      <c r="AR75" s="32">
        <f t="shared" si="57"/>
        <v>4</v>
      </c>
      <c r="AV75" s="25">
        <v>1</v>
      </c>
      <c r="AW75" s="54">
        <f t="shared" si="58"/>
        <v>0</v>
      </c>
      <c r="AX75" s="54">
        <f t="shared" si="59"/>
        <v>0</v>
      </c>
      <c r="AY75" s="54">
        <f t="shared" si="60"/>
        <v>0</v>
      </c>
      <c r="AZ75" s="54">
        <f t="shared" si="61"/>
        <v>0</v>
      </c>
      <c r="BA75" s="54">
        <f t="shared" si="62"/>
        <v>0</v>
      </c>
      <c r="BC75" s="32">
        <f t="shared" si="63"/>
        <v>3</v>
      </c>
      <c r="BG75" s="25">
        <v>1</v>
      </c>
      <c r="BH75" s="54">
        <f t="shared" si="64"/>
        <v>0</v>
      </c>
      <c r="BI75" s="54">
        <f t="shared" si="65"/>
        <v>0</v>
      </c>
      <c r="BJ75" s="54">
        <f t="shared" si="66"/>
        <v>0</v>
      </c>
      <c r="BK75" s="54">
        <f t="shared" si="67"/>
        <v>0</v>
      </c>
      <c r="BL75" s="54">
        <f t="shared" si="68"/>
        <v>0</v>
      </c>
      <c r="BN75" s="25">
        <f t="shared" si="69"/>
        <v>1</v>
      </c>
      <c r="BS75" s="39"/>
      <c r="BT75" s="39"/>
      <c r="BU75" s="39"/>
      <c r="BV75" s="39"/>
      <c r="BW75" s="39"/>
    </row>
    <row r="76" spans="3:75" x14ac:dyDescent="0.25">
      <c r="C76" s="62" t="str">
        <f t="shared" si="35"/>
        <v>-</v>
      </c>
      <c r="D76" s="62" t="str">
        <f t="shared" si="36"/>
        <v>-</v>
      </c>
      <c r="E76" s="62" t="str">
        <f t="shared" si="37"/>
        <v>-</v>
      </c>
      <c r="F76" s="62" t="str">
        <f t="shared" si="38"/>
        <v>-</v>
      </c>
      <c r="G76" s="62" t="str">
        <f t="shared" si="39"/>
        <v>-</v>
      </c>
      <c r="J76" s="17" t="s">
        <v>50</v>
      </c>
      <c r="K76" s="32" t="s">
        <v>65</v>
      </c>
      <c r="L76" s="32" t="s">
        <v>91</v>
      </c>
      <c r="N76" s="40" t="s">
        <v>291</v>
      </c>
      <c r="O76" s="25">
        <v>5</v>
      </c>
      <c r="P76" s="62">
        <f t="shared" si="40"/>
        <v>5</v>
      </c>
      <c r="Q76" s="62" t="str">
        <f t="shared" si="41"/>
        <v>-</v>
      </c>
      <c r="R76" s="62" t="str">
        <f t="shared" si="42"/>
        <v>-</v>
      </c>
      <c r="S76" s="62" t="str">
        <f t="shared" si="43"/>
        <v>-</v>
      </c>
      <c r="T76" s="62" t="str">
        <f t="shared" si="44"/>
        <v>-</v>
      </c>
      <c r="V76" s="32">
        <f t="shared" si="45"/>
        <v>6</v>
      </c>
      <c r="Z76" s="25">
        <v>1</v>
      </c>
      <c r="AA76" s="54">
        <f t="shared" si="46"/>
        <v>0</v>
      </c>
      <c r="AB76" s="54">
        <f t="shared" si="47"/>
        <v>0</v>
      </c>
      <c r="AC76" s="54">
        <f t="shared" si="48"/>
        <v>0</v>
      </c>
      <c r="AD76" s="54">
        <f t="shared" si="49"/>
        <v>0</v>
      </c>
      <c r="AE76" s="54">
        <f t="shared" si="50"/>
        <v>0</v>
      </c>
      <c r="AG76" s="32">
        <f t="shared" si="51"/>
        <v>5</v>
      </c>
      <c r="AK76" s="25">
        <v>1</v>
      </c>
      <c r="AL76" s="54">
        <f t="shared" si="52"/>
        <v>0</v>
      </c>
      <c r="AM76" s="54">
        <f t="shared" si="53"/>
        <v>0</v>
      </c>
      <c r="AN76" s="54">
        <f t="shared" si="54"/>
        <v>0</v>
      </c>
      <c r="AO76" s="54">
        <f t="shared" si="55"/>
        <v>0</v>
      </c>
      <c r="AP76" s="54">
        <f t="shared" si="56"/>
        <v>0</v>
      </c>
      <c r="AR76" s="32">
        <f t="shared" si="57"/>
        <v>4</v>
      </c>
      <c r="AV76" s="25">
        <v>1</v>
      </c>
      <c r="AW76" s="54">
        <f t="shared" si="58"/>
        <v>0</v>
      </c>
      <c r="AX76" s="54">
        <f t="shared" si="59"/>
        <v>0</v>
      </c>
      <c r="AY76" s="54">
        <f t="shared" si="60"/>
        <v>0</v>
      </c>
      <c r="AZ76" s="54">
        <f t="shared" si="61"/>
        <v>0</v>
      </c>
      <c r="BA76" s="54">
        <f t="shared" si="62"/>
        <v>0</v>
      </c>
      <c r="BC76" s="32">
        <f t="shared" si="63"/>
        <v>3</v>
      </c>
      <c r="BG76" s="25">
        <v>1</v>
      </c>
      <c r="BH76" s="54">
        <f t="shared" si="64"/>
        <v>0</v>
      </c>
      <c r="BI76" s="54">
        <f t="shared" si="65"/>
        <v>0</v>
      </c>
      <c r="BJ76" s="54">
        <f t="shared" si="66"/>
        <v>0</v>
      </c>
      <c r="BK76" s="54">
        <f t="shared" si="67"/>
        <v>0</v>
      </c>
      <c r="BL76" s="54">
        <f t="shared" si="68"/>
        <v>0</v>
      </c>
      <c r="BN76" s="25">
        <f t="shared" si="69"/>
        <v>1</v>
      </c>
      <c r="BS76" s="39"/>
      <c r="BT76" s="39"/>
      <c r="BU76" s="39"/>
      <c r="BV76" s="39"/>
      <c r="BW76" s="39"/>
    </row>
    <row r="77" spans="3:75" x14ac:dyDescent="0.25">
      <c r="C77" s="62" t="str">
        <f t="shared" si="35"/>
        <v>-</v>
      </c>
      <c r="D77" s="62" t="str">
        <f t="shared" si="36"/>
        <v>-</v>
      </c>
      <c r="E77" s="62" t="str">
        <f t="shared" si="37"/>
        <v>-</v>
      </c>
      <c r="F77" s="62" t="str">
        <f t="shared" si="38"/>
        <v>-</v>
      </c>
      <c r="G77" s="62" t="str">
        <f t="shared" si="39"/>
        <v>-</v>
      </c>
      <c r="J77" s="17" t="s">
        <v>50</v>
      </c>
      <c r="K77" s="40" t="s">
        <v>68</v>
      </c>
      <c r="M77" s="40" t="s">
        <v>37</v>
      </c>
      <c r="N77" s="40" t="s">
        <v>292</v>
      </c>
      <c r="O77" s="25">
        <v>0</v>
      </c>
      <c r="P77" s="62" t="str">
        <f t="shared" si="40"/>
        <v>-</v>
      </c>
      <c r="Q77" s="62" t="str">
        <f t="shared" si="41"/>
        <v>-</v>
      </c>
      <c r="R77" s="62" t="str">
        <f t="shared" si="42"/>
        <v>-</v>
      </c>
      <c r="S77" s="62">
        <f t="shared" si="43"/>
        <v>0</v>
      </c>
      <c r="T77" s="62" t="str">
        <f t="shared" si="44"/>
        <v>-</v>
      </c>
      <c r="V77" s="32">
        <f t="shared" si="45"/>
        <v>6</v>
      </c>
      <c r="Z77" s="25">
        <v>1</v>
      </c>
      <c r="AA77" s="54">
        <f t="shared" si="46"/>
        <v>0</v>
      </c>
      <c r="AB77" s="54">
        <f t="shared" si="47"/>
        <v>0</v>
      </c>
      <c r="AC77" s="54">
        <f t="shared" si="48"/>
        <v>0</v>
      </c>
      <c r="AD77" s="54">
        <f t="shared" si="49"/>
        <v>0</v>
      </c>
      <c r="AE77" s="54">
        <f t="shared" si="50"/>
        <v>0</v>
      </c>
      <c r="AG77" s="32">
        <f t="shared" si="51"/>
        <v>5</v>
      </c>
      <c r="AK77" s="25">
        <v>1</v>
      </c>
      <c r="AL77" s="54">
        <f t="shared" si="52"/>
        <v>0</v>
      </c>
      <c r="AM77" s="54">
        <f t="shared" si="53"/>
        <v>0</v>
      </c>
      <c r="AN77" s="54">
        <f t="shared" si="54"/>
        <v>0</v>
      </c>
      <c r="AO77" s="54">
        <f t="shared" si="55"/>
        <v>0</v>
      </c>
      <c r="AP77" s="54">
        <f t="shared" si="56"/>
        <v>0</v>
      </c>
      <c r="AR77" s="32">
        <f t="shared" si="57"/>
        <v>4</v>
      </c>
      <c r="AV77" s="25">
        <v>1</v>
      </c>
      <c r="AW77" s="54">
        <f t="shared" si="58"/>
        <v>0</v>
      </c>
      <c r="AX77" s="54">
        <f t="shared" si="59"/>
        <v>0</v>
      </c>
      <c r="AY77" s="54">
        <f t="shared" si="60"/>
        <v>0</v>
      </c>
      <c r="AZ77" s="54">
        <f t="shared" si="61"/>
        <v>0</v>
      </c>
      <c r="BA77" s="54">
        <f t="shared" si="62"/>
        <v>0</v>
      </c>
      <c r="BC77" s="32">
        <f t="shared" si="63"/>
        <v>3</v>
      </c>
      <c r="BG77" s="25">
        <v>1</v>
      </c>
      <c r="BH77" s="54">
        <f t="shared" si="64"/>
        <v>0</v>
      </c>
      <c r="BI77" s="54">
        <f t="shared" si="65"/>
        <v>0</v>
      </c>
      <c r="BJ77" s="54">
        <f t="shared" si="66"/>
        <v>0</v>
      </c>
      <c r="BK77" s="54">
        <f t="shared" si="67"/>
        <v>0</v>
      </c>
      <c r="BL77" s="54">
        <f t="shared" si="68"/>
        <v>0</v>
      </c>
      <c r="BN77" s="25">
        <f t="shared" si="69"/>
        <v>1</v>
      </c>
      <c r="BS77" s="39"/>
      <c r="BT77" s="39"/>
      <c r="BU77" s="39"/>
      <c r="BV77" s="39"/>
      <c r="BW77" s="39"/>
    </row>
    <row r="78" spans="3:75" x14ac:dyDescent="0.25">
      <c r="C78" s="62" t="str">
        <f t="shared" si="35"/>
        <v>-</v>
      </c>
      <c r="D78" s="62" t="str">
        <f t="shared" si="36"/>
        <v>-</v>
      </c>
      <c r="E78" s="62" t="str">
        <f t="shared" si="37"/>
        <v>-</v>
      </c>
      <c r="F78" s="62" t="str">
        <f t="shared" si="38"/>
        <v>-</v>
      </c>
      <c r="G78" s="62" t="str">
        <f t="shared" si="39"/>
        <v>-</v>
      </c>
      <c r="J78" s="17" t="s">
        <v>50</v>
      </c>
      <c r="K78" s="40" t="s">
        <v>68</v>
      </c>
      <c r="M78" s="40" t="s">
        <v>36</v>
      </c>
      <c r="N78" s="40" t="s">
        <v>292</v>
      </c>
      <c r="O78" s="25">
        <v>0</v>
      </c>
      <c r="P78" s="62" t="str">
        <f t="shared" si="40"/>
        <v>-</v>
      </c>
      <c r="Q78" s="62" t="str">
        <f t="shared" si="41"/>
        <v>-</v>
      </c>
      <c r="R78" s="62" t="str">
        <f t="shared" si="42"/>
        <v>-</v>
      </c>
      <c r="S78" s="62">
        <f t="shared" si="43"/>
        <v>0</v>
      </c>
      <c r="T78" s="62" t="str">
        <f t="shared" si="44"/>
        <v>-</v>
      </c>
      <c r="V78" s="32">
        <f t="shared" si="45"/>
        <v>6</v>
      </c>
      <c r="Z78" s="25">
        <v>1</v>
      </c>
      <c r="AA78" s="54">
        <f t="shared" si="46"/>
        <v>0</v>
      </c>
      <c r="AB78" s="54">
        <f t="shared" si="47"/>
        <v>0</v>
      </c>
      <c r="AC78" s="54">
        <f t="shared" si="48"/>
        <v>0</v>
      </c>
      <c r="AD78" s="54">
        <f t="shared" si="49"/>
        <v>0</v>
      </c>
      <c r="AE78" s="54">
        <f t="shared" si="50"/>
        <v>0</v>
      </c>
      <c r="AG78" s="32">
        <f t="shared" si="51"/>
        <v>5</v>
      </c>
      <c r="AK78" s="25">
        <v>1</v>
      </c>
      <c r="AL78" s="54">
        <f t="shared" si="52"/>
        <v>0</v>
      </c>
      <c r="AM78" s="54">
        <f t="shared" si="53"/>
        <v>0</v>
      </c>
      <c r="AN78" s="54">
        <f t="shared" si="54"/>
        <v>0</v>
      </c>
      <c r="AO78" s="54">
        <f t="shared" si="55"/>
        <v>0</v>
      </c>
      <c r="AP78" s="54">
        <f t="shared" si="56"/>
        <v>0</v>
      </c>
      <c r="AR78" s="32">
        <f t="shared" si="57"/>
        <v>4</v>
      </c>
      <c r="AV78" s="25">
        <v>1</v>
      </c>
      <c r="AW78" s="54">
        <f t="shared" si="58"/>
        <v>0</v>
      </c>
      <c r="AX78" s="54">
        <f t="shared" si="59"/>
        <v>0</v>
      </c>
      <c r="AY78" s="54">
        <f t="shared" si="60"/>
        <v>0</v>
      </c>
      <c r="AZ78" s="54">
        <f t="shared" si="61"/>
        <v>0</v>
      </c>
      <c r="BA78" s="54">
        <f t="shared" si="62"/>
        <v>0</v>
      </c>
      <c r="BC78" s="32">
        <f t="shared" si="63"/>
        <v>3</v>
      </c>
      <c r="BG78" s="25">
        <v>1</v>
      </c>
      <c r="BH78" s="54">
        <f t="shared" si="64"/>
        <v>0</v>
      </c>
      <c r="BI78" s="54">
        <f t="shared" si="65"/>
        <v>0</v>
      </c>
      <c r="BJ78" s="54">
        <f t="shared" si="66"/>
        <v>0</v>
      </c>
      <c r="BK78" s="54">
        <f t="shared" si="67"/>
        <v>0</v>
      </c>
      <c r="BL78" s="54">
        <f t="shared" si="68"/>
        <v>0</v>
      </c>
      <c r="BN78" s="25">
        <f t="shared" si="69"/>
        <v>1</v>
      </c>
      <c r="BS78" s="39"/>
      <c r="BT78" s="39"/>
      <c r="BU78" s="39"/>
      <c r="BV78" s="39"/>
      <c r="BW78" s="39"/>
    </row>
    <row r="79" spans="3:75" x14ac:dyDescent="0.25">
      <c r="C79" s="62" t="str">
        <f t="shared" si="35"/>
        <v>-</v>
      </c>
      <c r="D79" s="62" t="str">
        <f t="shared" si="36"/>
        <v>-</v>
      </c>
      <c r="E79" s="62" t="str">
        <f t="shared" si="37"/>
        <v>-</v>
      </c>
      <c r="F79" s="62" t="str">
        <f t="shared" si="38"/>
        <v>-</v>
      </c>
      <c r="G79" s="62" t="str">
        <f t="shared" si="39"/>
        <v>-</v>
      </c>
      <c r="J79" s="17" t="s">
        <v>50</v>
      </c>
      <c r="K79" s="40" t="s">
        <v>68</v>
      </c>
      <c r="M79" s="40" t="s">
        <v>46</v>
      </c>
      <c r="N79" s="40" t="s">
        <v>292</v>
      </c>
      <c r="O79" s="25">
        <v>0</v>
      </c>
      <c r="P79" s="62" t="str">
        <f t="shared" si="40"/>
        <v>-</v>
      </c>
      <c r="Q79" s="62" t="str">
        <f t="shared" si="41"/>
        <v>-</v>
      </c>
      <c r="R79" s="62" t="str">
        <f t="shared" si="42"/>
        <v>-</v>
      </c>
      <c r="S79" s="62">
        <f t="shared" si="43"/>
        <v>0</v>
      </c>
      <c r="T79" s="62" t="str">
        <f t="shared" si="44"/>
        <v>-</v>
      </c>
      <c r="V79" s="32">
        <f t="shared" si="45"/>
        <v>6</v>
      </c>
      <c r="Z79" s="25">
        <v>1</v>
      </c>
      <c r="AA79" s="54">
        <f t="shared" si="46"/>
        <v>0</v>
      </c>
      <c r="AB79" s="54">
        <f t="shared" si="47"/>
        <v>0</v>
      </c>
      <c r="AC79" s="54">
        <f t="shared" si="48"/>
        <v>0</v>
      </c>
      <c r="AD79" s="54">
        <f t="shared" si="49"/>
        <v>0</v>
      </c>
      <c r="AE79" s="54">
        <f t="shared" si="50"/>
        <v>0</v>
      </c>
      <c r="AG79" s="32">
        <f t="shared" si="51"/>
        <v>5</v>
      </c>
      <c r="AK79" s="25">
        <v>1</v>
      </c>
      <c r="AL79" s="54">
        <f t="shared" si="52"/>
        <v>0</v>
      </c>
      <c r="AM79" s="54">
        <f t="shared" si="53"/>
        <v>0</v>
      </c>
      <c r="AN79" s="54">
        <f t="shared" si="54"/>
        <v>0</v>
      </c>
      <c r="AO79" s="54">
        <f t="shared" si="55"/>
        <v>0</v>
      </c>
      <c r="AP79" s="54">
        <f t="shared" si="56"/>
        <v>0</v>
      </c>
      <c r="AR79" s="32">
        <f t="shared" si="57"/>
        <v>4</v>
      </c>
      <c r="AV79" s="25">
        <v>1</v>
      </c>
      <c r="AW79" s="54">
        <f t="shared" si="58"/>
        <v>0</v>
      </c>
      <c r="AX79" s="54">
        <f t="shared" si="59"/>
        <v>0</v>
      </c>
      <c r="AY79" s="54">
        <f t="shared" si="60"/>
        <v>0</v>
      </c>
      <c r="AZ79" s="54">
        <f t="shared" si="61"/>
        <v>0</v>
      </c>
      <c r="BA79" s="54">
        <f t="shared" si="62"/>
        <v>0</v>
      </c>
      <c r="BC79" s="32">
        <f t="shared" si="63"/>
        <v>3</v>
      </c>
      <c r="BG79" s="25">
        <v>1</v>
      </c>
      <c r="BH79" s="54">
        <f t="shared" si="64"/>
        <v>0</v>
      </c>
      <c r="BI79" s="54">
        <f t="shared" si="65"/>
        <v>0</v>
      </c>
      <c r="BJ79" s="54">
        <f t="shared" si="66"/>
        <v>0</v>
      </c>
      <c r="BK79" s="54">
        <f t="shared" si="67"/>
        <v>0</v>
      </c>
      <c r="BL79" s="54">
        <f t="shared" si="68"/>
        <v>0</v>
      </c>
      <c r="BN79" s="25">
        <f t="shared" si="69"/>
        <v>1</v>
      </c>
      <c r="BS79" s="39"/>
      <c r="BT79" s="39"/>
      <c r="BU79" s="39"/>
      <c r="BV79" s="39"/>
      <c r="BW79" s="39"/>
    </row>
    <row r="80" spans="3:75" x14ac:dyDescent="0.25">
      <c r="C80" s="62" t="str">
        <f t="shared" si="35"/>
        <v>-</v>
      </c>
      <c r="D80" s="62" t="str">
        <f t="shared" si="36"/>
        <v>-</v>
      </c>
      <c r="E80" s="62" t="str">
        <f t="shared" si="37"/>
        <v>-</v>
      </c>
      <c r="F80" s="62" t="str">
        <f t="shared" si="38"/>
        <v>-</v>
      </c>
      <c r="G80" s="62" t="str">
        <f t="shared" si="39"/>
        <v>-</v>
      </c>
      <c r="J80" s="17" t="s">
        <v>50</v>
      </c>
      <c r="K80" s="40" t="s">
        <v>68</v>
      </c>
      <c r="M80" s="40" t="s">
        <v>26</v>
      </c>
      <c r="N80" s="40" t="s">
        <v>292</v>
      </c>
      <c r="O80" s="25">
        <v>0</v>
      </c>
      <c r="P80" s="62" t="str">
        <f t="shared" si="40"/>
        <v>-</v>
      </c>
      <c r="Q80" s="62" t="str">
        <f t="shared" si="41"/>
        <v>-</v>
      </c>
      <c r="R80" s="62" t="str">
        <f t="shared" si="42"/>
        <v>-</v>
      </c>
      <c r="S80" s="62">
        <f t="shared" si="43"/>
        <v>0</v>
      </c>
      <c r="T80" s="62" t="str">
        <f t="shared" si="44"/>
        <v>-</v>
      </c>
      <c r="V80" s="32">
        <f t="shared" si="45"/>
        <v>6</v>
      </c>
      <c r="Z80" s="25">
        <v>1</v>
      </c>
      <c r="AA80" s="54">
        <f t="shared" si="46"/>
        <v>0</v>
      </c>
      <c r="AB80" s="54">
        <f t="shared" si="47"/>
        <v>0</v>
      </c>
      <c r="AC80" s="54">
        <f t="shared" si="48"/>
        <v>0</v>
      </c>
      <c r="AD80" s="54">
        <f t="shared" si="49"/>
        <v>0</v>
      </c>
      <c r="AE80" s="54">
        <f t="shared" si="50"/>
        <v>0</v>
      </c>
      <c r="AG80" s="32">
        <f t="shared" si="51"/>
        <v>5</v>
      </c>
      <c r="AK80" s="25">
        <v>1</v>
      </c>
      <c r="AL80" s="54">
        <f t="shared" si="52"/>
        <v>0</v>
      </c>
      <c r="AM80" s="54">
        <f t="shared" si="53"/>
        <v>0</v>
      </c>
      <c r="AN80" s="54">
        <f t="shared" si="54"/>
        <v>0</v>
      </c>
      <c r="AO80" s="54">
        <f t="shared" si="55"/>
        <v>0</v>
      </c>
      <c r="AP80" s="54">
        <f t="shared" si="56"/>
        <v>0</v>
      </c>
      <c r="AR80" s="32">
        <f t="shared" si="57"/>
        <v>4</v>
      </c>
      <c r="AV80" s="25">
        <v>1</v>
      </c>
      <c r="AW80" s="54">
        <f t="shared" si="58"/>
        <v>0</v>
      </c>
      <c r="AX80" s="54">
        <f t="shared" si="59"/>
        <v>0</v>
      </c>
      <c r="AY80" s="54">
        <f t="shared" si="60"/>
        <v>0</v>
      </c>
      <c r="AZ80" s="54">
        <f t="shared" si="61"/>
        <v>0</v>
      </c>
      <c r="BA80" s="54">
        <f t="shared" si="62"/>
        <v>0</v>
      </c>
      <c r="BC80" s="32">
        <f t="shared" si="63"/>
        <v>3</v>
      </c>
      <c r="BG80" s="25">
        <v>1</v>
      </c>
      <c r="BH80" s="54">
        <f t="shared" si="64"/>
        <v>0</v>
      </c>
      <c r="BI80" s="54">
        <f t="shared" si="65"/>
        <v>0</v>
      </c>
      <c r="BJ80" s="54">
        <f t="shared" si="66"/>
        <v>0</v>
      </c>
      <c r="BK80" s="54">
        <f t="shared" si="67"/>
        <v>0</v>
      </c>
      <c r="BL80" s="54">
        <f t="shared" si="68"/>
        <v>0</v>
      </c>
      <c r="BN80" s="25">
        <f t="shared" si="69"/>
        <v>1</v>
      </c>
      <c r="BS80" s="39"/>
      <c r="BT80" s="39"/>
      <c r="BU80" s="39"/>
      <c r="BV80" s="39"/>
      <c r="BW80" s="39"/>
    </row>
    <row r="81" spans="3:75" x14ac:dyDescent="0.25">
      <c r="C81" s="62" t="str">
        <f t="shared" si="35"/>
        <v>-</v>
      </c>
      <c r="D81" s="62" t="str">
        <f t="shared" si="36"/>
        <v>-</v>
      </c>
      <c r="E81" s="62" t="str">
        <f t="shared" si="37"/>
        <v>-</v>
      </c>
      <c r="F81" s="62" t="str">
        <f t="shared" si="38"/>
        <v>-</v>
      </c>
      <c r="G81" s="62" t="str">
        <f t="shared" si="39"/>
        <v>-</v>
      </c>
      <c r="J81" s="17" t="s">
        <v>70</v>
      </c>
      <c r="K81" s="32" t="s">
        <v>55</v>
      </c>
      <c r="M81" s="40" t="s">
        <v>56</v>
      </c>
      <c r="O81" s="25">
        <v>1</v>
      </c>
      <c r="P81" s="62" t="str">
        <f t="shared" si="40"/>
        <v>-</v>
      </c>
      <c r="Q81" s="62" t="str">
        <f t="shared" si="41"/>
        <v>-</v>
      </c>
      <c r="R81" s="62">
        <f t="shared" si="42"/>
        <v>2</v>
      </c>
      <c r="S81" s="62">
        <f t="shared" si="43"/>
        <v>2</v>
      </c>
      <c r="T81" s="62" t="str">
        <f t="shared" si="44"/>
        <v>-</v>
      </c>
      <c r="V81" s="32">
        <f t="shared" si="45"/>
        <v>6</v>
      </c>
      <c r="Z81" s="25">
        <v>1</v>
      </c>
      <c r="AA81" s="54">
        <f t="shared" si="46"/>
        <v>0</v>
      </c>
      <c r="AB81" s="54">
        <f t="shared" si="47"/>
        <v>0</v>
      </c>
      <c r="AC81" s="54">
        <f t="shared" si="48"/>
        <v>0</v>
      </c>
      <c r="AD81" s="54">
        <f t="shared" si="49"/>
        <v>0</v>
      </c>
      <c r="AE81" s="54">
        <f t="shared" si="50"/>
        <v>0</v>
      </c>
      <c r="AG81" s="32">
        <f t="shared" si="51"/>
        <v>5</v>
      </c>
      <c r="AK81" s="25">
        <v>1</v>
      </c>
      <c r="AL81" s="54">
        <f t="shared" si="52"/>
        <v>0</v>
      </c>
      <c r="AM81" s="54">
        <f t="shared" si="53"/>
        <v>0</v>
      </c>
      <c r="AN81" s="54">
        <f t="shared" si="54"/>
        <v>0</v>
      </c>
      <c r="AO81" s="54">
        <f t="shared" si="55"/>
        <v>0</v>
      </c>
      <c r="AP81" s="54">
        <f t="shared" si="56"/>
        <v>0</v>
      </c>
      <c r="AR81" s="32">
        <f t="shared" si="57"/>
        <v>4</v>
      </c>
      <c r="AV81" s="25">
        <v>1</v>
      </c>
      <c r="AW81" s="54">
        <f t="shared" si="58"/>
        <v>0</v>
      </c>
      <c r="AX81" s="54">
        <f t="shared" si="59"/>
        <v>0</v>
      </c>
      <c r="AY81" s="54">
        <f t="shared" si="60"/>
        <v>0</v>
      </c>
      <c r="AZ81" s="54">
        <f t="shared" si="61"/>
        <v>0</v>
      </c>
      <c r="BA81" s="54">
        <f t="shared" si="62"/>
        <v>0</v>
      </c>
      <c r="BC81" s="32">
        <f t="shared" si="63"/>
        <v>3</v>
      </c>
      <c r="BG81" s="25">
        <v>1</v>
      </c>
      <c r="BH81" s="54">
        <f t="shared" si="64"/>
        <v>0</v>
      </c>
      <c r="BI81" s="54">
        <f t="shared" si="65"/>
        <v>0</v>
      </c>
      <c r="BJ81" s="54">
        <f t="shared" si="66"/>
        <v>0</v>
      </c>
      <c r="BK81" s="54">
        <f t="shared" si="67"/>
        <v>0</v>
      </c>
      <c r="BL81" s="54">
        <f t="shared" si="68"/>
        <v>0</v>
      </c>
      <c r="BN81" s="25">
        <f t="shared" si="69"/>
        <v>1</v>
      </c>
      <c r="BS81" s="39"/>
      <c r="BT81" s="39"/>
      <c r="BU81" s="39"/>
      <c r="BV81" s="39"/>
      <c r="BW81" s="39"/>
    </row>
    <row r="82" spans="3:75" x14ac:dyDescent="0.25">
      <c r="C82" s="62" t="str">
        <f t="shared" si="35"/>
        <v>-</v>
      </c>
      <c r="D82" s="62" t="str">
        <f t="shared" si="36"/>
        <v>-</v>
      </c>
      <c r="E82" s="62" t="str">
        <f t="shared" si="37"/>
        <v>-</v>
      </c>
      <c r="F82" s="62" t="str">
        <f t="shared" si="38"/>
        <v>-</v>
      </c>
      <c r="G82" s="62" t="str">
        <f t="shared" si="39"/>
        <v>-</v>
      </c>
      <c r="J82" s="17" t="s">
        <v>70</v>
      </c>
      <c r="K82" s="32" t="s">
        <v>55</v>
      </c>
      <c r="M82" s="40" t="s">
        <v>57</v>
      </c>
      <c r="O82" s="25">
        <v>1</v>
      </c>
      <c r="P82" s="62" t="str">
        <f t="shared" si="40"/>
        <v>-</v>
      </c>
      <c r="Q82" s="62" t="str">
        <f t="shared" si="41"/>
        <v>-</v>
      </c>
      <c r="R82" s="62">
        <f t="shared" si="42"/>
        <v>2</v>
      </c>
      <c r="S82" s="62">
        <f t="shared" si="43"/>
        <v>2</v>
      </c>
      <c r="T82" s="62" t="str">
        <f t="shared" si="44"/>
        <v>-</v>
      </c>
      <c r="V82" s="32">
        <f t="shared" si="45"/>
        <v>6</v>
      </c>
      <c r="Z82" s="25">
        <v>1</v>
      </c>
      <c r="AA82" s="54">
        <f t="shared" si="46"/>
        <v>0</v>
      </c>
      <c r="AB82" s="54">
        <f t="shared" si="47"/>
        <v>0</v>
      </c>
      <c r="AC82" s="54">
        <f t="shared" si="48"/>
        <v>0</v>
      </c>
      <c r="AD82" s="54">
        <f t="shared" si="49"/>
        <v>0</v>
      </c>
      <c r="AE82" s="54">
        <f t="shared" si="50"/>
        <v>0</v>
      </c>
      <c r="AG82" s="32">
        <f t="shared" si="51"/>
        <v>5</v>
      </c>
      <c r="AK82" s="25">
        <v>1</v>
      </c>
      <c r="AL82" s="54">
        <f t="shared" si="52"/>
        <v>0</v>
      </c>
      <c r="AM82" s="54">
        <f t="shared" si="53"/>
        <v>0</v>
      </c>
      <c r="AN82" s="54">
        <f t="shared" si="54"/>
        <v>0</v>
      </c>
      <c r="AO82" s="54">
        <f t="shared" si="55"/>
        <v>0</v>
      </c>
      <c r="AP82" s="54">
        <f t="shared" si="56"/>
        <v>0</v>
      </c>
      <c r="AR82" s="32">
        <f t="shared" si="57"/>
        <v>4</v>
      </c>
      <c r="AV82" s="25">
        <v>1</v>
      </c>
      <c r="AW82" s="54">
        <f t="shared" si="58"/>
        <v>0</v>
      </c>
      <c r="AX82" s="54">
        <f t="shared" si="59"/>
        <v>0</v>
      </c>
      <c r="AY82" s="54">
        <f t="shared" si="60"/>
        <v>0</v>
      </c>
      <c r="AZ82" s="54">
        <f t="shared" si="61"/>
        <v>0</v>
      </c>
      <c r="BA82" s="54">
        <f t="shared" si="62"/>
        <v>0</v>
      </c>
      <c r="BC82" s="32">
        <f t="shared" si="63"/>
        <v>3</v>
      </c>
      <c r="BG82" s="25">
        <v>1</v>
      </c>
      <c r="BH82" s="54">
        <f t="shared" si="64"/>
        <v>0</v>
      </c>
      <c r="BI82" s="54">
        <f t="shared" si="65"/>
        <v>0</v>
      </c>
      <c r="BJ82" s="54">
        <f t="shared" si="66"/>
        <v>0</v>
      </c>
      <c r="BK82" s="54">
        <f t="shared" si="67"/>
        <v>0</v>
      </c>
      <c r="BL82" s="54">
        <f t="shared" si="68"/>
        <v>0</v>
      </c>
      <c r="BN82" s="25">
        <f t="shared" si="69"/>
        <v>1</v>
      </c>
      <c r="BS82" s="39"/>
      <c r="BT82" s="39"/>
      <c r="BU82" s="39"/>
      <c r="BV82" s="39"/>
      <c r="BW82" s="39"/>
    </row>
    <row r="83" spans="3:75" x14ac:dyDescent="0.25">
      <c r="C83" s="62" t="str">
        <f t="shared" si="35"/>
        <v>-</v>
      </c>
      <c r="D83" s="62" t="str">
        <f t="shared" si="36"/>
        <v>-</v>
      </c>
      <c r="E83" s="62" t="str">
        <f t="shared" si="37"/>
        <v>-</v>
      </c>
      <c r="F83" s="62" t="str">
        <f t="shared" si="38"/>
        <v>-</v>
      </c>
      <c r="G83" s="62" t="str">
        <f t="shared" si="39"/>
        <v>-</v>
      </c>
      <c r="J83" s="17" t="s">
        <v>70</v>
      </c>
      <c r="K83" s="40" t="s">
        <v>66</v>
      </c>
      <c r="L83" s="32" t="s">
        <v>45</v>
      </c>
      <c r="M83" s="40" t="s">
        <v>52</v>
      </c>
      <c r="O83" s="25">
        <v>1</v>
      </c>
      <c r="P83" s="62" t="str">
        <f t="shared" si="40"/>
        <v>-</v>
      </c>
      <c r="Q83" s="62" t="str">
        <f t="shared" si="41"/>
        <v>-</v>
      </c>
      <c r="R83" s="62" t="str">
        <f t="shared" si="42"/>
        <v>-</v>
      </c>
      <c r="S83" s="62" t="str">
        <f t="shared" si="43"/>
        <v>-</v>
      </c>
      <c r="T83" s="62">
        <f t="shared" si="44"/>
        <v>4</v>
      </c>
      <c r="V83" s="32">
        <f t="shared" si="45"/>
        <v>6</v>
      </c>
      <c r="Z83" s="25">
        <v>1</v>
      </c>
      <c r="AA83" s="54">
        <f t="shared" si="46"/>
        <v>0</v>
      </c>
      <c r="AB83" s="54">
        <f t="shared" si="47"/>
        <v>0</v>
      </c>
      <c r="AC83" s="54">
        <f t="shared" si="48"/>
        <v>0</v>
      </c>
      <c r="AD83" s="54">
        <f t="shared" si="49"/>
        <v>0</v>
      </c>
      <c r="AE83" s="54">
        <f t="shared" si="50"/>
        <v>0</v>
      </c>
      <c r="AG83" s="32">
        <f t="shared" si="51"/>
        <v>5</v>
      </c>
      <c r="AK83" s="25">
        <v>1</v>
      </c>
      <c r="AL83" s="54">
        <f t="shared" si="52"/>
        <v>0</v>
      </c>
      <c r="AM83" s="54">
        <f t="shared" si="53"/>
        <v>0</v>
      </c>
      <c r="AN83" s="54">
        <f t="shared" si="54"/>
        <v>0</v>
      </c>
      <c r="AO83" s="54">
        <f t="shared" si="55"/>
        <v>0</v>
      </c>
      <c r="AP83" s="54">
        <f t="shared" si="56"/>
        <v>0</v>
      </c>
      <c r="AR83" s="32">
        <f t="shared" si="57"/>
        <v>4</v>
      </c>
      <c r="AV83" s="25">
        <v>1</v>
      </c>
      <c r="AW83" s="54">
        <f t="shared" si="58"/>
        <v>0</v>
      </c>
      <c r="AX83" s="54">
        <f t="shared" si="59"/>
        <v>0</v>
      </c>
      <c r="AY83" s="54">
        <f t="shared" si="60"/>
        <v>0</v>
      </c>
      <c r="AZ83" s="54">
        <f t="shared" si="61"/>
        <v>0</v>
      </c>
      <c r="BA83" s="54">
        <f t="shared" si="62"/>
        <v>0</v>
      </c>
      <c r="BC83" s="32">
        <f t="shared" si="63"/>
        <v>3</v>
      </c>
      <c r="BG83" s="25">
        <v>1</v>
      </c>
      <c r="BH83" s="54">
        <f t="shared" si="64"/>
        <v>0</v>
      </c>
      <c r="BI83" s="54">
        <f t="shared" si="65"/>
        <v>0</v>
      </c>
      <c r="BJ83" s="54">
        <f t="shared" si="66"/>
        <v>0</v>
      </c>
      <c r="BK83" s="54">
        <f t="shared" si="67"/>
        <v>0</v>
      </c>
      <c r="BL83" s="54">
        <f t="shared" si="68"/>
        <v>0</v>
      </c>
      <c r="BN83" s="25">
        <f t="shared" si="69"/>
        <v>1</v>
      </c>
      <c r="BS83" s="39"/>
      <c r="BT83" s="39"/>
      <c r="BU83" s="39"/>
      <c r="BV83" s="39"/>
      <c r="BW83" s="39"/>
    </row>
    <row r="84" spans="3:75" x14ac:dyDescent="0.25">
      <c r="C84" s="62" t="str">
        <f t="shared" si="35"/>
        <v>-</v>
      </c>
      <c r="D84" s="62" t="str">
        <f t="shared" si="36"/>
        <v>-</v>
      </c>
      <c r="E84" s="62" t="str">
        <f t="shared" si="37"/>
        <v>-</v>
      </c>
      <c r="F84" s="62" t="str">
        <f t="shared" si="38"/>
        <v>-</v>
      </c>
      <c r="G84" s="62" t="str">
        <f t="shared" si="39"/>
        <v>-</v>
      </c>
      <c r="J84" s="17" t="s">
        <v>70</v>
      </c>
      <c r="K84" s="40" t="s">
        <v>53</v>
      </c>
      <c r="L84" s="32" t="s">
        <v>44</v>
      </c>
      <c r="O84" s="25">
        <v>2</v>
      </c>
      <c r="P84" s="62">
        <f t="shared" si="40"/>
        <v>2</v>
      </c>
      <c r="Q84" s="62" t="str">
        <f t="shared" si="41"/>
        <v>-</v>
      </c>
      <c r="R84" s="62">
        <f t="shared" si="42"/>
        <v>2</v>
      </c>
      <c r="S84" s="62" t="str">
        <f t="shared" si="43"/>
        <v>-</v>
      </c>
      <c r="T84" s="62" t="str">
        <f t="shared" si="44"/>
        <v>-</v>
      </c>
      <c r="V84" s="32">
        <f t="shared" si="45"/>
        <v>6</v>
      </c>
      <c r="Z84" s="25">
        <v>1</v>
      </c>
      <c r="AA84" s="54">
        <f t="shared" si="46"/>
        <v>0</v>
      </c>
      <c r="AB84" s="54">
        <f t="shared" si="47"/>
        <v>0</v>
      </c>
      <c r="AC84" s="54">
        <f t="shared" si="48"/>
        <v>0</v>
      </c>
      <c r="AD84" s="54">
        <f t="shared" si="49"/>
        <v>0</v>
      </c>
      <c r="AE84" s="54">
        <f t="shared" si="50"/>
        <v>0</v>
      </c>
      <c r="AG84" s="32">
        <f t="shared" si="51"/>
        <v>5</v>
      </c>
      <c r="AK84" s="25">
        <v>1</v>
      </c>
      <c r="AL84" s="54">
        <f t="shared" si="52"/>
        <v>0</v>
      </c>
      <c r="AM84" s="54">
        <f t="shared" si="53"/>
        <v>0</v>
      </c>
      <c r="AN84" s="54">
        <f t="shared" si="54"/>
        <v>0</v>
      </c>
      <c r="AO84" s="54">
        <f t="shared" si="55"/>
        <v>0</v>
      </c>
      <c r="AP84" s="54">
        <f t="shared" si="56"/>
        <v>0</v>
      </c>
      <c r="AR84" s="32">
        <f t="shared" si="57"/>
        <v>4</v>
      </c>
      <c r="AV84" s="25">
        <v>1</v>
      </c>
      <c r="AW84" s="54">
        <f t="shared" si="58"/>
        <v>0</v>
      </c>
      <c r="AX84" s="54">
        <f t="shared" si="59"/>
        <v>0</v>
      </c>
      <c r="AY84" s="54">
        <f t="shared" si="60"/>
        <v>0</v>
      </c>
      <c r="AZ84" s="54">
        <f t="shared" si="61"/>
        <v>0</v>
      </c>
      <c r="BA84" s="54">
        <f t="shared" si="62"/>
        <v>0</v>
      </c>
      <c r="BC84" s="32">
        <f t="shared" si="63"/>
        <v>3</v>
      </c>
      <c r="BG84" s="25">
        <v>1</v>
      </c>
      <c r="BH84" s="54">
        <f t="shared" si="64"/>
        <v>0</v>
      </c>
      <c r="BI84" s="54">
        <f t="shared" si="65"/>
        <v>0</v>
      </c>
      <c r="BJ84" s="54">
        <f t="shared" si="66"/>
        <v>0</v>
      </c>
      <c r="BK84" s="54">
        <f t="shared" si="67"/>
        <v>0</v>
      </c>
      <c r="BL84" s="54">
        <f t="shared" si="68"/>
        <v>0</v>
      </c>
      <c r="BN84" s="25">
        <f t="shared" si="69"/>
        <v>1</v>
      </c>
      <c r="BS84" s="39"/>
      <c r="BT84" s="39"/>
      <c r="BU84" s="39"/>
      <c r="BV84" s="39"/>
      <c r="BW84" s="39"/>
    </row>
    <row r="85" spans="3:75" x14ac:dyDescent="0.25">
      <c r="C85" s="62" t="str">
        <f t="shared" si="35"/>
        <v>-</v>
      </c>
      <c r="D85" s="62" t="str">
        <f t="shared" si="36"/>
        <v>-</v>
      </c>
      <c r="E85" s="62" t="str">
        <f t="shared" si="37"/>
        <v>-</v>
      </c>
      <c r="F85" s="62" t="str">
        <f t="shared" si="38"/>
        <v>-</v>
      </c>
      <c r="G85" s="62" t="str">
        <f t="shared" si="39"/>
        <v>-</v>
      </c>
      <c r="J85" s="17" t="s">
        <v>70</v>
      </c>
      <c r="K85" s="32" t="s">
        <v>62</v>
      </c>
      <c r="L85" s="32" t="s">
        <v>45</v>
      </c>
      <c r="M85" s="40" t="s">
        <v>63</v>
      </c>
      <c r="O85" s="25">
        <v>2</v>
      </c>
      <c r="P85" s="62" t="str">
        <f t="shared" si="40"/>
        <v>-</v>
      </c>
      <c r="Q85" s="62" t="str">
        <f t="shared" si="41"/>
        <v>-</v>
      </c>
      <c r="R85" s="62">
        <f t="shared" si="42"/>
        <v>4</v>
      </c>
      <c r="S85" s="62" t="str">
        <f t="shared" si="43"/>
        <v>-</v>
      </c>
      <c r="T85" s="62" t="str">
        <f t="shared" si="44"/>
        <v>-</v>
      </c>
      <c r="V85" s="32">
        <f t="shared" si="45"/>
        <v>6</v>
      </c>
      <c r="Z85" s="25">
        <v>1</v>
      </c>
      <c r="AA85" s="54">
        <f t="shared" si="46"/>
        <v>0</v>
      </c>
      <c r="AB85" s="54">
        <f t="shared" si="47"/>
        <v>0</v>
      </c>
      <c r="AC85" s="54">
        <f t="shared" si="48"/>
        <v>0</v>
      </c>
      <c r="AD85" s="54">
        <f t="shared" si="49"/>
        <v>0</v>
      </c>
      <c r="AE85" s="54">
        <f t="shared" si="50"/>
        <v>0</v>
      </c>
      <c r="AG85" s="32">
        <f t="shared" si="51"/>
        <v>5</v>
      </c>
      <c r="AK85" s="25">
        <v>1</v>
      </c>
      <c r="AL85" s="54">
        <f t="shared" si="52"/>
        <v>0</v>
      </c>
      <c r="AM85" s="54">
        <f t="shared" si="53"/>
        <v>0</v>
      </c>
      <c r="AN85" s="54">
        <f t="shared" si="54"/>
        <v>0</v>
      </c>
      <c r="AO85" s="54">
        <f t="shared" si="55"/>
        <v>0</v>
      </c>
      <c r="AP85" s="54">
        <f t="shared" si="56"/>
        <v>0</v>
      </c>
      <c r="AR85" s="32">
        <f t="shared" si="57"/>
        <v>4</v>
      </c>
      <c r="AV85" s="25">
        <v>1</v>
      </c>
      <c r="AW85" s="54">
        <f t="shared" si="58"/>
        <v>0</v>
      </c>
      <c r="AX85" s="54">
        <f t="shared" si="59"/>
        <v>0</v>
      </c>
      <c r="AY85" s="54">
        <f t="shared" si="60"/>
        <v>0</v>
      </c>
      <c r="AZ85" s="54">
        <f t="shared" si="61"/>
        <v>0</v>
      </c>
      <c r="BA85" s="54">
        <f t="shared" si="62"/>
        <v>0</v>
      </c>
      <c r="BC85" s="32">
        <f t="shared" si="63"/>
        <v>3</v>
      </c>
      <c r="BG85" s="25">
        <v>1</v>
      </c>
      <c r="BH85" s="54">
        <f t="shared" si="64"/>
        <v>0</v>
      </c>
      <c r="BI85" s="54">
        <f t="shared" si="65"/>
        <v>0</v>
      </c>
      <c r="BJ85" s="54">
        <f t="shared" si="66"/>
        <v>0</v>
      </c>
      <c r="BK85" s="54">
        <f t="shared" si="67"/>
        <v>0</v>
      </c>
      <c r="BL85" s="54">
        <f t="shared" si="68"/>
        <v>0</v>
      </c>
      <c r="BN85" s="25">
        <f t="shared" si="69"/>
        <v>1</v>
      </c>
      <c r="BS85" s="39"/>
      <c r="BT85" s="39"/>
      <c r="BU85" s="39"/>
      <c r="BV85" s="39"/>
      <c r="BW85" s="39"/>
    </row>
    <row r="86" spans="3:75" x14ac:dyDescent="0.25">
      <c r="C86" s="62" t="str">
        <f t="shared" si="35"/>
        <v>-</v>
      </c>
      <c r="D86" s="62" t="str">
        <f t="shared" si="36"/>
        <v>-</v>
      </c>
      <c r="E86" s="62" t="str">
        <f t="shared" si="37"/>
        <v>-</v>
      </c>
      <c r="F86" s="62" t="str">
        <f t="shared" si="38"/>
        <v>-</v>
      </c>
      <c r="G86" s="62" t="str">
        <f t="shared" si="39"/>
        <v>-</v>
      </c>
      <c r="J86" s="17" t="s">
        <v>70</v>
      </c>
      <c r="K86" s="32" t="s">
        <v>62</v>
      </c>
      <c r="L86" s="32" t="s">
        <v>44</v>
      </c>
      <c r="M86" s="40" t="s">
        <v>64</v>
      </c>
      <c r="O86" s="25">
        <v>2</v>
      </c>
      <c r="P86" s="62" t="str">
        <f t="shared" si="40"/>
        <v>-</v>
      </c>
      <c r="Q86" s="62" t="str">
        <f t="shared" si="41"/>
        <v>-</v>
      </c>
      <c r="R86" s="62">
        <f t="shared" si="42"/>
        <v>4</v>
      </c>
      <c r="S86" s="62" t="str">
        <f t="shared" si="43"/>
        <v>-</v>
      </c>
      <c r="T86" s="62" t="str">
        <f t="shared" si="44"/>
        <v>-</v>
      </c>
      <c r="V86" s="32">
        <f t="shared" si="45"/>
        <v>6</v>
      </c>
      <c r="Z86" s="25">
        <v>1</v>
      </c>
      <c r="AA86" s="54">
        <f t="shared" si="46"/>
        <v>0</v>
      </c>
      <c r="AB86" s="54">
        <f t="shared" si="47"/>
        <v>0</v>
      </c>
      <c r="AC86" s="54">
        <f t="shared" si="48"/>
        <v>0</v>
      </c>
      <c r="AD86" s="54">
        <f t="shared" si="49"/>
        <v>0</v>
      </c>
      <c r="AE86" s="54">
        <f t="shared" si="50"/>
        <v>0</v>
      </c>
      <c r="AG86" s="32">
        <f t="shared" si="51"/>
        <v>5</v>
      </c>
      <c r="AK86" s="25">
        <v>1</v>
      </c>
      <c r="AL86" s="54">
        <f t="shared" si="52"/>
        <v>0</v>
      </c>
      <c r="AM86" s="54">
        <f t="shared" si="53"/>
        <v>0</v>
      </c>
      <c r="AN86" s="54">
        <f t="shared" si="54"/>
        <v>0</v>
      </c>
      <c r="AO86" s="54">
        <f t="shared" si="55"/>
        <v>0</v>
      </c>
      <c r="AP86" s="54">
        <f t="shared" si="56"/>
        <v>0</v>
      </c>
      <c r="AR86" s="32">
        <f t="shared" si="57"/>
        <v>4</v>
      </c>
      <c r="AV86" s="25">
        <v>1</v>
      </c>
      <c r="AW86" s="54">
        <f t="shared" si="58"/>
        <v>0</v>
      </c>
      <c r="AX86" s="54">
        <f t="shared" si="59"/>
        <v>0</v>
      </c>
      <c r="AY86" s="54">
        <f t="shared" si="60"/>
        <v>0</v>
      </c>
      <c r="AZ86" s="54">
        <f t="shared" si="61"/>
        <v>0</v>
      </c>
      <c r="BA86" s="54">
        <f t="shared" si="62"/>
        <v>0</v>
      </c>
      <c r="BC86" s="32">
        <f t="shared" si="63"/>
        <v>3</v>
      </c>
      <c r="BG86" s="25">
        <v>1</v>
      </c>
      <c r="BH86" s="54">
        <f t="shared" si="64"/>
        <v>0</v>
      </c>
      <c r="BI86" s="54">
        <f t="shared" si="65"/>
        <v>0</v>
      </c>
      <c r="BJ86" s="54">
        <f t="shared" si="66"/>
        <v>0</v>
      </c>
      <c r="BK86" s="54">
        <f t="shared" si="67"/>
        <v>0</v>
      </c>
      <c r="BL86" s="54">
        <f t="shared" si="68"/>
        <v>0</v>
      </c>
      <c r="BN86" s="25">
        <f t="shared" si="69"/>
        <v>1</v>
      </c>
      <c r="BS86" s="39"/>
      <c r="BT86" s="39"/>
      <c r="BU86" s="39"/>
      <c r="BV86" s="39"/>
      <c r="BW86" s="39"/>
    </row>
    <row r="87" spans="3:75" x14ac:dyDescent="0.25">
      <c r="C87" s="62" t="str">
        <f t="shared" si="35"/>
        <v>-</v>
      </c>
      <c r="D87" s="62" t="str">
        <f t="shared" si="36"/>
        <v>-</v>
      </c>
      <c r="E87" s="62" t="str">
        <f t="shared" si="37"/>
        <v>-</v>
      </c>
      <c r="F87" s="62" t="str">
        <f t="shared" si="38"/>
        <v>-</v>
      </c>
      <c r="G87" s="62" t="str">
        <f t="shared" si="39"/>
        <v>-</v>
      </c>
      <c r="J87" s="17" t="s">
        <v>70</v>
      </c>
      <c r="K87" s="40" t="s">
        <v>65</v>
      </c>
      <c r="L87" s="32" t="s">
        <v>44</v>
      </c>
      <c r="M87" s="40" t="s">
        <v>54</v>
      </c>
      <c r="O87" s="25">
        <v>1</v>
      </c>
      <c r="P87" s="62">
        <f t="shared" si="40"/>
        <v>1</v>
      </c>
      <c r="Q87" s="62" t="str">
        <f t="shared" si="41"/>
        <v>-</v>
      </c>
      <c r="R87" s="62" t="str">
        <f t="shared" si="42"/>
        <v>-</v>
      </c>
      <c r="S87" s="62" t="str">
        <f t="shared" si="43"/>
        <v>-</v>
      </c>
      <c r="T87" s="62" t="str">
        <f t="shared" si="44"/>
        <v>-</v>
      </c>
      <c r="V87" s="32">
        <f t="shared" si="45"/>
        <v>6</v>
      </c>
      <c r="Z87" s="25">
        <v>1</v>
      </c>
      <c r="AA87" s="54">
        <f t="shared" si="46"/>
        <v>0</v>
      </c>
      <c r="AB87" s="54">
        <f t="shared" si="47"/>
        <v>0</v>
      </c>
      <c r="AC87" s="54">
        <f t="shared" si="48"/>
        <v>0</v>
      </c>
      <c r="AD87" s="54">
        <f t="shared" si="49"/>
        <v>0</v>
      </c>
      <c r="AE87" s="54">
        <f t="shared" si="50"/>
        <v>0</v>
      </c>
      <c r="AG87" s="32">
        <f t="shared" si="51"/>
        <v>5</v>
      </c>
      <c r="AK87" s="25">
        <v>1</v>
      </c>
      <c r="AL87" s="54">
        <f t="shared" si="52"/>
        <v>0</v>
      </c>
      <c r="AM87" s="54">
        <f t="shared" si="53"/>
        <v>0</v>
      </c>
      <c r="AN87" s="54">
        <f t="shared" si="54"/>
        <v>0</v>
      </c>
      <c r="AO87" s="54">
        <f t="shared" si="55"/>
        <v>0</v>
      </c>
      <c r="AP87" s="54">
        <f t="shared" si="56"/>
        <v>0</v>
      </c>
      <c r="AR87" s="32">
        <f t="shared" si="57"/>
        <v>4</v>
      </c>
      <c r="AV87" s="25">
        <v>1</v>
      </c>
      <c r="AW87" s="54">
        <f t="shared" si="58"/>
        <v>0</v>
      </c>
      <c r="AX87" s="54">
        <f t="shared" si="59"/>
        <v>0</v>
      </c>
      <c r="AY87" s="54">
        <f t="shared" si="60"/>
        <v>0</v>
      </c>
      <c r="AZ87" s="54">
        <f t="shared" si="61"/>
        <v>0</v>
      </c>
      <c r="BA87" s="54">
        <f t="shared" si="62"/>
        <v>0</v>
      </c>
      <c r="BC87" s="32">
        <f t="shared" si="63"/>
        <v>3</v>
      </c>
      <c r="BG87" s="25">
        <v>1</v>
      </c>
      <c r="BH87" s="54">
        <f t="shared" si="64"/>
        <v>0</v>
      </c>
      <c r="BI87" s="54">
        <f t="shared" si="65"/>
        <v>0</v>
      </c>
      <c r="BJ87" s="54">
        <f t="shared" si="66"/>
        <v>0</v>
      </c>
      <c r="BK87" s="54">
        <f t="shared" si="67"/>
        <v>0</v>
      </c>
      <c r="BL87" s="54">
        <f t="shared" si="68"/>
        <v>0</v>
      </c>
      <c r="BN87" s="25">
        <f t="shared" si="69"/>
        <v>1</v>
      </c>
      <c r="BS87" s="39"/>
      <c r="BT87" s="39"/>
      <c r="BU87" s="39"/>
      <c r="BV87" s="39"/>
      <c r="BW87" s="39"/>
    </row>
    <row r="88" spans="3:75" x14ac:dyDescent="0.25">
      <c r="C88" s="62" t="str">
        <f t="shared" si="35"/>
        <v>-</v>
      </c>
      <c r="D88" s="62" t="str">
        <f t="shared" si="36"/>
        <v>-</v>
      </c>
      <c r="E88" s="62" t="str">
        <f t="shared" si="37"/>
        <v>-</v>
      </c>
      <c r="F88" s="62" t="str">
        <f t="shared" si="38"/>
        <v>-</v>
      </c>
      <c r="G88" s="62" t="str">
        <f t="shared" si="39"/>
        <v>-</v>
      </c>
      <c r="J88" s="17" t="s">
        <v>70</v>
      </c>
      <c r="K88" s="32" t="s">
        <v>65</v>
      </c>
      <c r="L88" s="32" t="s">
        <v>67</v>
      </c>
      <c r="M88" s="40" t="s">
        <v>40</v>
      </c>
      <c r="O88" s="25">
        <v>1</v>
      </c>
      <c r="P88" s="62">
        <f t="shared" si="40"/>
        <v>1</v>
      </c>
      <c r="Q88" s="62" t="str">
        <f t="shared" si="41"/>
        <v>-</v>
      </c>
      <c r="R88" s="62" t="str">
        <f t="shared" si="42"/>
        <v>-</v>
      </c>
      <c r="S88" s="62" t="str">
        <f t="shared" si="43"/>
        <v>-</v>
      </c>
      <c r="T88" s="62" t="str">
        <f t="shared" si="44"/>
        <v>-</v>
      </c>
      <c r="V88" s="32">
        <f t="shared" si="45"/>
        <v>6</v>
      </c>
      <c r="Z88" s="25">
        <v>1</v>
      </c>
      <c r="AA88" s="54">
        <f t="shared" si="46"/>
        <v>0</v>
      </c>
      <c r="AB88" s="54">
        <f t="shared" si="47"/>
        <v>0</v>
      </c>
      <c r="AC88" s="54">
        <f t="shared" si="48"/>
        <v>0</v>
      </c>
      <c r="AD88" s="54">
        <f t="shared" si="49"/>
        <v>0</v>
      </c>
      <c r="AE88" s="54">
        <f t="shared" si="50"/>
        <v>0</v>
      </c>
      <c r="AG88" s="32">
        <f t="shared" si="51"/>
        <v>5</v>
      </c>
      <c r="AK88" s="25">
        <v>1</v>
      </c>
      <c r="AL88" s="54">
        <f t="shared" si="52"/>
        <v>0</v>
      </c>
      <c r="AM88" s="54">
        <f t="shared" si="53"/>
        <v>0</v>
      </c>
      <c r="AN88" s="54">
        <f t="shared" si="54"/>
        <v>0</v>
      </c>
      <c r="AO88" s="54">
        <f t="shared" si="55"/>
        <v>0</v>
      </c>
      <c r="AP88" s="54">
        <f t="shared" si="56"/>
        <v>0</v>
      </c>
      <c r="AR88" s="32">
        <f t="shared" si="57"/>
        <v>4</v>
      </c>
      <c r="AV88" s="25">
        <v>1</v>
      </c>
      <c r="AW88" s="54">
        <f t="shared" si="58"/>
        <v>0</v>
      </c>
      <c r="AX88" s="54">
        <f t="shared" si="59"/>
        <v>0</v>
      </c>
      <c r="AY88" s="54">
        <f t="shared" si="60"/>
        <v>0</v>
      </c>
      <c r="AZ88" s="54">
        <f t="shared" si="61"/>
        <v>0</v>
      </c>
      <c r="BA88" s="54">
        <f t="shared" si="62"/>
        <v>0</v>
      </c>
      <c r="BC88" s="32">
        <f t="shared" si="63"/>
        <v>3</v>
      </c>
      <c r="BG88" s="25">
        <v>1</v>
      </c>
      <c r="BH88" s="54">
        <f t="shared" si="64"/>
        <v>0</v>
      </c>
      <c r="BI88" s="54">
        <f t="shared" si="65"/>
        <v>0</v>
      </c>
      <c r="BJ88" s="54">
        <f t="shared" si="66"/>
        <v>0</v>
      </c>
      <c r="BK88" s="54">
        <f t="shared" si="67"/>
        <v>0</v>
      </c>
      <c r="BL88" s="54">
        <f t="shared" si="68"/>
        <v>0</v>
      </c>
      <c r="BN88" s="25">
        <f t="shared" si="69"/>
        <v>1</v>
      </c>
      <c r="BS88" s="39"/>
      <c r="BT88" s="39"/>
      <c r="BU88" s="39"/>
      <c r="BV88" s="39"/>
      <c r="BW88" s="39"/>
    </row>
    <row r="89" spans="3:75" x14ac:dyDescent="0.25">
      <c r="C89" s="62" t="str">
        <f t="shared" si="35"/>
        <v>-</v>
      </c>
      <c r="D89" s="62" t="str">
        <f t="shared" si="36"/>
        <v>-</v>
      </c>
      <c r="E89" s="62" t="str">
        <f t="shared" si="37"/>
        <v>-</v>
      </c>
      <c r="F89" s="62" t="str">
        <f t="shared" si="38"/>
        <v>-</v>
      </c>
      <c r="G89" s="62" t="str">
        <f t="shared" si="39"/>
        <v>-</v>
      </c>
      <c r="J89" s="17" t="s">
        <v>36</v>
      </c>
      <c r="K89" s="32" t="s">
        <v>62</v>
      </c>
      <c r="L89" s="32" t="s">
        <v>44</v>
      </c>
      <c r="M89" s="40" t="s">
        <v>95</v>
      </c>
      <c r="O89" s="25">
        <v>1</v>
      </c>
      <c r="P89" s="62" t="str">
        <f t="shared" si="40"/>
        <v>-</v>
      </c>
      <c r="Q89" s="62" t="str">
        <f t="shared" si="41"/>
        <v>-</v>
      </c>
      <c r="R89" s="62">
        <f t="shared" si="42"/>
        <v>2</v>
      </c>
      <c r="S89" s="62" t="str">
        <f t="shared" si="43"/>
        <v>-</v>
      </c>
      <c r="T89" s="62" t="str">
        <f t="shared" si="44"/>
        <v>-</v>
      </c>
      <c r="V89" s="32">
        <f t="shared" si="45"/>
        <v>6</v>
      </c>
      <c r="Z89" s="25">
        <v>1</v>
      </c>
      <c r="AA89" s="54">
        <f t="shared" si="46"/>
        <v>0</v>
      </c>
      <c r="AB89" s="54">
        <f t="shared" si="47"/>
        <v>0</v>
      </c>
      <c r="AC89" s="54">
        <f t="shared" si="48"/>
        <v>0</v>
      </c>
      <c r="AD89" s="54">
        <f t="shared" si="49"/>
        <v>0</v>
      </c>
      <c r="AE89" s="54">
        <f t="shared" si="50"/>
        <v>0</v>
      </c>
      <c r="AG89" s="32">
        <f t="shared" si="51"/>
        <v>5</v>
      </c>
      <c r="AK89" s="25">
        <v>1</v>
      </c>
      <c r="AL89" s="54">
        <f t="shared" si="52"/>
        <v>0</v>
      </c>
      <c r="AM89" s="54">
        <f t="shared" si="53"/>
        <v>0</v>
      </c>
      <c r="AN89" s="54">
        <f t="shared" si="54"/>
        <v>0</v>
      </c>
      <c r="AO89" s="54">
        <f t="shared" si="55"/>
        <v>0</v>
      </c>
      <c r="AP89" s="54">
        <f t="shared" si="56"/>
        <v>0</v>
      </c>
      <c r="AR89" s="32">
        <f t="shared" si="57"/>
        <v>4</v>
      </c>
      <c r="AV89" s="25">
        <v>1</v>
      </c>
      <c r="AW89" s="54">
        <f t="shared" si="58"/>
        <v>0</v>
      </c>
      <c r="AX89" s="54">
        <f t="shared" si="59"/>
        <v>0</v>
      </c>
      <c r="AY89" s="54">
        <f t="shared" si="60"/>
        <v>0</v>
      </c>
      <c r="AZ89" s="54">
        <f t="shared" si="61"/>
        <v>0</v>
      </c>
      <c r="BA89" s="54">
        <f t="shared" si="62"/>
        <v>0</v>
      </c>
      <c r="BC89" s="32">
        <f t="shared" si="63"/>
        <v>3</v>
      </c>
      <c r="BG89" s="25">
        <v>1</v>
      </c>
      <c r="BH89" s="54">
        <f t="shared" si="64"/>
        <v>0</v>
      </c>
      <c r="BI89" s="54">
        <f t="shared" si="65"/>
        <v>0</v>
      </c>
      <c r="BJ89" s="54">
        <f t="shared" si="66"/>
        <v>0</v>
      </c>
      <c r="BK89" s="54">
        <f t="shared" si="67"/>
        <v>0</v>
      </c>
      <c r="BL89" s="54">
        <f t="shared" si="68"/>
        <v>0</v>
      </c>
      <c r="BN89" s="25">
        <f t="shared" si="69"/>
        <v>1</v>
      </c>
      <c r="BS89" s="39"/>
      <c r="BT89" s="39"/>
      <c r="BU89" s="39"/>
      <c r="BV89" s="39"/>
      <c r="BW89" s="39"/>
    </row>
    <row r="90" spans="3:75" x14ac:dyDescent="0.25">
      <c r="C90" s="62" t="str">
        <f t="shared" si="35"/>
        <v>-</v>
      </c>
      <c r="D90" s="62" t="str">
        <f t="shared" si="36"/>
        <v>-</v>
      </c>
      <c r="E90" s="62" t="str">
        <f t="shared" si="37"/>
        <v>-</v>
      </c>
      <c r="F90" s="62" t="str">
        <f t="shared" si="38"/>
        <v>-</v>
      </c>
      <c r="G90" s="62" t="str">
        <f t="shared" si="39"/>
        <v>-</v>
      </c>
      <c r="J90" s="17" t="s">
        <v>36</v>
      </c>
      <c r="K90" s="32" t="s">
        <v>65</v>
      </c>
      <c r="L90" s="32" t="s">
        <v>44</v>
      </c>
      <c r="M90" s="32" t="s">
        <v>94</v>
      </c>
      <c r="N90" s="32"/>
      <c r="O90" s="25">
        <v>1</v>
      </c>
      <c r="P90" s="62">
        <f t="shared" si="40"/>
        <v>1</v>
      </c>
      <c r="Q90" s="62" t="str">
        <f t="shared" si="41"/>
        <v>-</v>
      </c>
      <c r="R90" s="62" t="str">
        <f t="shared" si="42"/>
        <v>-</v>
      </c>
      <c r="S90" s="62" t="str">
        <f t="shared" si="43"/>
        <v>-</v>
      </c>
      <c r="T90" s="62" t="str">
        <f t="shared" si="44"/>
        <v>-</v>
      </c>
      <c r="V90" s="32">
        <f t="shared" si="45"/>
        <v>6</v>
      </c>
      <c r="Z90" s="25">
        <v>1</v>
      </c>
      <c r="AA90" s="54">
        <f t="shared" si="46"/>
        <v>0</v>
      </c>
      <c r="AB90" s="54">
        <f t="shared" si="47"/>
        <v>0</v>
      </c>
      <c r="AC90" s="54">
        <f t="shared" si="48"/>
        <v>0</v>
      </c>
      <c r="AD90" s="54">
        <f t="shared" si="49"/>
        <v>0</v>
      </c>
      <c r="AE90" s="54">
        <f t="shared" si="50"/>
        <v>0</v>
      </c>
      <c r="AG90" s="32">
        <f t="shared" si="51"/>
        <v>5</v>
      </c>
      <c r="AK90" s="25">
        <v>1</v>
      </c>
      <c r="AL90" s="54">
        <f t="shared" si="52"/>
        <v>0</v>
      </c>
      <c r="AM90" s="54">
        <f t="shared" si="53"/>
        <v>0</v>
      </c>
      <c r="AN90" s="54">
        <f t="shared" si="54"/>
        <v>0</v>
      </c>
      <c r="AO90" s="54">
        <f t="shared" si="55"/>
        <v>0</v>
      </c>
      <c r="AP90" s="54">
        <f t="shared" si="56"/>
        <v>0</v>
      </c>
      <c r="AR90" s="32">
        <f t="shared" si="57"/>
        <v>4</v>
      </c>
      <c r="AV90" s="25">
        <v>1</v>
      </c>
      <c r="AW90" s="54">
        <f t="shared" si="58"/>
        <v>0</v>
      </c>
      <c r="AX90" s="54">
        <f t="shared" si="59"/>
        <v>0</v>
      </c>
      <c r="AY90" s="54">
        <f t="shared" si="60"/>
        <v>0</v>
      </c>
      <c r="AZ90" s="54">
        <f t="shared" si="61"/>
        <v>0</v>
      </c>
      <c r="BA90" s="54">
        <f t="shared" si="62"/>
        <v>0</v>
      </c>
      <c r="BC90" s="32">
        <f t="shared" si="63"/>
        <v>3</v>
      </c>
      <c r="BG90" s="25">
        <v>1</v>
      </c>
      <c r="BH90" s="54">
        <f t="shared" si="64"/>
        <v>0</v>
      </c>
      <c r="BI90" s="54">
        <f t="shared" si="65"/>
        <v>0</v>
      </c>
      <c r="BJ90" s="54">
        <f t="shared" si="66"/>
        <v>0</v>
      </c>
      <c r="BK90" s="54">
        <f t="shared" si="67"/>
        <v>0</v>
      </c>
      <c r="BL90" s="54">
        <f t="shared" si="68"/>
        <v>0</v>
      </c>
      <c r="BN90" s="25">
        <f t="shared" si="69"/>
        <v>1</v>
      </c>
      <c r="BS90" s="39"/>
      <c r="BT90" s="39"/>
      <c r="BU90" s="39"/>
      <c r="BV90" s="39"/>
      <c r="BW90" s="39"/>
    </row>
    <row r="91" spans="3:75" x14ac:dyDescent="0.25">
      <c r="C91" s="62" t="str">
        <f t="shared" si="35"/>
        <v>-</v>
      </c>
      <c r="D91" s="62" t="str">
        <f t="shared" si="36"/>
        <v>-</v>
      </c>
      <c r="E91" s="62" t="str">
        <f t="shared" si="37"/>
        <v>-</v>
      </c>
      <c r="F91" s="62" t="str">
        <f t="shared" si="38"/>
        <v>-</v>
      </c>
      <c r="G91" s="62" t="str">
        <f t="shared" si="39"/>
        <v>-</v>
      </c>
      <c r="J91" s="17" t="s">
        <v>107</v>
      </c>
      <c r="K91" s="32" t="s">
        <v>65</v>
      </c>
      <c r="L91" s="32" t="s">
        <v>45</v>
      </c>
      <c r="O91" s="25">
        <v>1</v>
      </c>
      <c r="P91" s="62">
        <f t="shared" si="40"/>
        <v>1</v>
      </c>
      <c r="Q91" s="62" t="str">
        <f t="shared" si="41"/>
        <v>-</v>
      </c>
      <c r="R91" s="62" t="str">
        <f t="shared" si="42"/>
        <v>-</v>
      </c>
      <c r="S91" s="62" t="str">
        <f t="shared" si="43"/>
        <v>-</v>
      </c>
      <c r="T91" s="62" t="str">
        <f t="shared" si="44"/>
        <v>-</v>
      </c>
      <c r="V91" s="32">
        <f t="shared" si="45"/>
        <v>6</v>
      </c>
      <c r="Z91" s="25">
        <v>1</v>
      </c>
      <c r="AA91" s="54">
        <f t="shared" si="46"/>
        <v>0</v>
      </c>
      <c r="AB91" s="54">
        <f t="shared" si="47"/>
        <v>0</v>
      </c>
      <c r="AC91" s="54">
        <f t="shared" si="48"/>
        <v>0</v>
      </c>
      <c r="AD91" s="54">
        <f t="shared" si="49"/>
        <v>0</v>
      </c>
      <c r="AE91" s="54">
        <f t="shared" si="50"/>
        <v>0</v>
      </c>
      <c r="AG91" s="32">
        <f t="shared" si="51"/>
        <v>5</v>
      </c>
      <c r="AK91" s="25">
        <v>1</v>
      </c>
      <c r="AL91" s="54">
        <f t="shared" si="52"/>
        <v>0</v>
      </c>
      <c r="AM91" s="54">
        <f t="shared" si="53"/>
        <v>0</v>
      </c>
      <c r="AN91" s="54">
        <f t="shared" si="54"/>
        <v>0</v>
      </c>
      <c r="AO91" s="54">
        <f t="shared" si="55"/>
        <v>0</v>
      </c>
      <c r="AP91" s="54">
        <f t="shared" si="56"/>
        <v>0</v>
      </c>
      <c r="AR91" s="32">
        <f t="shared" si="57"/>
        <v>4</v>
      </c>
      <c r="AV91" s="25">
        <v>1</v>
      </c>
      <c r="AW91" s="54">
        <f t="shared" si="58"/>
        <v>0</v>
      </c>
      <c r="AX91" s="54">
        <f t="shared" si="59"/>
        <v>0</v>
      </c>
      <c r="AY91" s="54">
        <f t="shared" si="60"/>
        <v>0</v>
      </c>
      <c r="AZ91" s="54">
        <f t="shared" si="61"/>
        <v>0</v>
      </c>
      <c r="BA91" s="54">
        <f t="shared" si="62"/>
        <v>0</v>
      </c>
      <c r="BC91" s="32">
        <f t="shared" si="63"/>
        <v>3</v>
      </c>
      <c r="BG91" s="25">
        <v>1</v>
      </c>
      <c r="BH91" s="54">
        <f t="shared" si="64"/>
        <v>0</v>
      </c>
      <c r="BI91" s="54">
        <f t="shared" si="65"/>
        <v>0</v>
      </c>
      <c r="BJ91" s="54">
        <f t="shared" si="66"/>
        <v>0</v>
      </c>
      <c r="BK91" s="54">
        <f t="shared" si="67"/>
        <v>0</v>
      </c>
      <c r="BL91" s="54">
        <f t="shared" si="68"/>
        <v>0</v>
      </c>
      <c r="BN91" s="25">
        <f t="shared" si="69"/>
        <v>1</v>
      </c>
      <c r="BS91" s="39"/>
      <c r="BT91" s="39"/>
      <c r="BU91" s="39"/>
      <c r="BV91" s="39"/>
      <c r="BW91" s="39"/>
    </row>
    <row r="92" spans="3:75" x14ac:dyDescent="0.25">
      <c r="C92" s="62" t="str">
        <f t="shared" si="35"/>
        <v>-</v>
      </c>
      <c r="D92" s="62" t="str">
        <f t="shared" si="36"/>
        <v>-</v>
      </c>
      <c r="E92" s="62" t="str">
        <f t="shared" si="37"/>
        <v>-</v>
      </c>
      <c r="F92" s="62" t="str">
        <f t="shared" si="38"/>
        <v>-</v>
      </c>
      <c r="G92" s="62" t="str">
        <f t="shared" si="39"/>
        <v>-</v>
      </c>
      <c r="J92" s="17" t="s">
        <v>127</v>
      </c>
      <c r="K92" s="32" t="s">
        <v>53</v>
      </c>
      <c r="O92" s="25">
        <v>2</v>
      </c>
      <c r="P92" s="62">
        <f t="shared" si="40"/>
        <v>2</v>
      </c>
      <c r="Q92" s="62" t="str">
        <f t="shared" si="41"/>
        <v>-</v>
      </c>
      <c r="R92" s="62">
        <f t="shared" si="42"/>
        <v>2</v>
      </c>
      <c r="S92" s="62" t="str">
        <f t="shared" si="43"/>
        <v>-</v>
      </c>
      <c r="T92" s="62" t="str">
        <f t="shared" si="44"/>
        <v>-</v>
      </c>
      <c r="V92" s="32">
        <f t="shared" si="45"/>
        <v>6</v>
      </c>
      <c r="Z92" s="25">
        <v>1</v>
      </c>
      <c r="AA92" s="54">
        <f t="shared" si="46"/>
        <v>0</v>
      </c>
      <c r="AB92" s="54">
        <f t="shared" si="47"/>
        <v>0</v>
      </c>
      <c r="AC92" s="54">
        <f t="shared" si="48"/>
        <v>0</v>
      </c>
      <c r="AD92" s="54">
        <f t="shared" si="49"/>
        <v>0</v>
      </c>
      <c r="AE92" s="54">
        <f t="shared" si="50"/>
        <v>0</v>
      </c>
      <c r="AG92" s="32">
        <f t="shared" si="51"/>
        <v>5</v>
      </c>
      <c r="AK92" s="25">
        <v>1</v>
      </c>
      <c r="AL92" s="54">
        <f t="shared" si="52"/>
        <v>0</v>
      </c>
      <c r="AM92" s="54">
        <f t="shared" si="53"/>
        <v>0</v>
      </c>
      <c r="AN92" s="54">
        <f t="shared" si="54"/>
        <v>0</v>
      </c>
      <c r="AO92" s="54">
        <f t="shared" si="55"/>
        <v>0</v>
      </c>
      <c r="AP92" s="54">
        <f t="shared" si="56"/>
        <v>0</v>
      </c>
      <c r="AR92" s="32">
        <f t="shared" si="57"/>
        <v>4</v>
      </c>
      <c r="AV92" s="25">
        <v>1</v>
      </c>
      <c r="AW92" s="54">
        <f t="shared" si="58"/>
        <v>0</v>
      </c>
      <c r="AX92" s="54">
        <f t="shared" si="59"/>
        <v>0</v>
      </c>
      <c r="AY92" s="54">
        <f t="shared" si="60"/>
        <v>0</v>
      </c>
      <c r="AZ92" s="54">
        <f t="shared" si="61"/>
        <v>0</v>
      </c>
      <c r="BA92" s="54">
        <f t="shared" si="62"/>
        <v>0</v>
      </c>
      <c r="BC92" s="32">
        <f t="shared" si="63"/>
        <v>3</v>
      </c>
      <c r="BG92" s="25">
        <v>1</v>
      </c>
      <c r="BH92" s="54">
        <f t="shared" si="64"/>
        <v>0</v>
      </c>
      <c r="BI92" s="54">
        <f t="shared" si="65"/>
        <v>0</v>
      </c>
      <c r="BJ92" s="54">
        <f t="shared" si="66"/>
        <v>0</v>
      </c>
      <c r="BK92" s="54">
        <f t="shared" si="67"/>
        <v>0</v>
      </c>
      <c r="BL92" s="54">
        <f t="shared" si="68"/>
        <v>0</v>
      </c>
      <c r="BN92" s="25">
        <f t="shared" si="69"/>
        <v>1</v>
      </c>
      <c r="BS92" s="39"/>
      <c r="BT92" s="39"/>
      <c r="BU92" s="39"/>
      <c r="BV92" s="39"/>
      <c r="BW92" s="39"/>
    </row>
    <row r="93" spans="3:75" x14ac:dyDescent="0.25">
      <c r="C93" s="62" t="str">
        <f t="shared" si="35"/>
        <v>-</v>
      </c>
      <c r="D93" s="62" t="str">
        <f t="shared" si="36"/>
        <v>-</v>
      </c>
      <c r="E93" s="62" t="str">
        <f t="shared" si="37"/>
        <v>-</v>
      </c>
      <c r="F93" s="62" t="str">
        <f t="shared" si="38"/>
        <v>-</v>
      </c>
      <c r="G93" s="62" t="str">
        <f t="shared" si="39"/>
        <v>-</v>
      </c>
      <c r="J93" s="17" t="s">
        <v>127</v>
      </c>
      <c r="K93" s="32" t="s">
        <v>62</v>
      </c>
      <c r="L93" s="32" t="s">
        <v>45</v>
      </c>
      <c r="M93" s="40" t="s">
        <v>61</v>
      </c>
      <c r="O93" s="25">
        <v>2</v>
      </c>
      <c r="P93" s="62" t="str">
        <f t="shared" si="40"/>
        <v>-</v>
      </c>
      <c r="Q93" s="62" t="str">
        <f t="shared" si="41"/>
        <v>-</v>
      </c>
      <c r="R93" s="62">
        <f t="shared" si="42"/>
        <v>4</v>
      </c>
      <c r="S93" s="62" t="str">
        <f t="shared" si="43"/>
        <v>-</v>
      </c>
      <c r="T93" s="62" t="str">
        <f t="shared" si="44"/>
        <v>-</v>
      </c>
      <c r="V93" s="32">
        <f t="shared" si="45"/>
        <v>6</v>
      </c>
      <c r="Z93" s="25">
        <v>1</v>
      </c>
      <c r="AA93" s="54">
        <f t="shared" si="46"/>
        <v>0</v>
      </c>
      <c r="AB93" s="54">
        <f t="shared" si="47"/>
        <v>0</v>
      </c>
      <c r="AC93" s="54">
        <f t="shared" si="48"/>
        <v>0</v>
      </c>
      <c r="AD93" s="54">
        <f t="shared" si="49"/>
        <v>0</v>
      </c>
      <c r="AE93" s="54">
        <f t="shared" si="50"/>
        <v>0</v>
      </c>
      <c r="AG93" s="32">
        <f t="shared" si="51"/>
        <v>5</v>
      </c>
      <c r="AK93" s="25">
        <v>1</v>
      </c>
      <c r="AL93" s="54">
        <f t="shared" si="52"/>
        <v>0</v>
      </c>
      <c r="AM93" s="54">
        <f t="shared" si="53"/>
        <v>0</v>
      </c>
      <c r="AN93" s="54">
        <f t="shared" si="54"/>
        <v>0</v>
      </c>
      <c r="AO93" s="54">
        <f t="shared" si="55"/>
        <v>0</v>
      </c>
      <c r="AP93" s="54">
        <f t="shared" si="56"/>
        <v>0</v>
      </c>
      <c r="AR93" s="32">
        <f t="shared" si="57"/>
        <v>4</v>
      </c>
      <c r="AV93" s="25">
        <v>1</v>
      </c>
      <c r="AW93" s="54">
        <f t="shared" si="58"/>
        <v>0</v>
      </c>
      <c r="AX93" s="54">
        <f t="shared" si="59"/>
        <v>0</v>
      </c>
      <c r="AY93" s="54">
        <f t="shared" si="60"/>
        <v>0</v>
      </c>
      <c r="AZ93" s="54">
        <f t="shared" si="61"/>
        <v>0</v>
      </c>
      <c r="BA93" s="54">
        <f t="shared" si="62"/>
        <v>0</v>
      </c>
      <c r="BC93" s="32">
        <f t="shared" si="63"/>
        <v>3</v>
      </c>
      <c r="BG93" s="25">
        <v>1</v>
      </c>
      <c r="BH93" s="54">
        <f t="shared" si="64"/>
        <v>0</v>
      </c>
      <c r="BI93" s="54">
        <f t="shared" si="65"/>
        <v>0</v>
      </c>
      <c r="BJ93" s="54">
        <f t="shared" si="66"/>
        <v>0</v>
      </c>
      <c r="BK93" s="54">
        <f t="shared" si="67"/>
        <v>0</v>
      </c>
      <c r="BL93" s="54">
        <f t="shared" si="68"/>
        <v>0</v>
      </c>
      <c r="BN93" s="25">
        <f t="shared" si="69"/>
        <v>1</v>
      </c>
      <c r="BS93" s="39"/>
      <c r="BT93" s="39"/>
      <c r="BU93" s="39"/>
      <c r="BV93" s="39"/>
      <c r="BW93" s="39"/>
    </row>
    <row r="94" spans="3:75" x14ac:dyDescent="0.25">
      <c r="C94" s="62" t="str">
        <f t="shared" si="35"/>
        <v>-</v>
      </c>
      <c r="D94" s="62" t="str">
        <f t="shared" si="36"/>
        <v>-</v>
      </c>
      <c r="E94" s="62" t="str">
        <f t="shared" si="37"/>
        <v>-</v>
      </c>
      <c r="F94" s="62" t="str">
        <f t="shared" si="38"/>
        <v>-</v>
      </c>
      <c r="G94" s="62" t="str">
        <f t="shared" si="39"/>
        <v>-</v>
      </c>
      <c r="J94" s="17" t="s">
        <v>127</v>
      </c>
      <c r="K94" s="32" t="s">
        <v>65</v>
      </c>
      <c r="L94" s="32" t="s">
        <v>44</v>
      </c>
      <c r="O94" s="25">
        <v>3</v>
      </c>
      <c r="P94" s="62">
        <f t="shared" si="40"/>
        <v>3</v>
      </c>
      <c r="Q94" s="62" t="str">
        <f t="shared" si="41"/>
        <v>-</v>
      </c>
      <c r="R94" s="62" t="str">
        <f t="shared" si="42"/>
        <v>-</v>
      </c>
      <c r="S94" s="62" t="str">
        <f t="shared" si="43"/>
        <v>-</v>
      </c>
      <c r="T94" s="62" t="str">
        <f t="shared" si="44"/>
        <v>-</v>
      </c>
      <c r="V94" s="32">
        <f t="shared" si="45"/>
        <v>6</v>
      </c>
      <c r="Z94" s="25">
        <v>1</v>
      </c>
      <c r="AA94" s="54">
        <f t="shared" si="46"/>
        <v>0</v>
      </c>
      <c r="AB94" s="54">
        <f t="shared" si="47"/>
        <v>0</v>
      </c>
      <c r="AC94" s="54">
        <f t="shared" si="48"/>
        <v>0</v>
      </c>
      <c r="AD94" s="54">
        <f t="shared" si="49"/>
        <v>0</v>
      </c>
      <c r="AE94" s="54">
        <f t="shared" si="50"/>
        <v>0</v>
      </c>
      <c r="AG94" s="32">
        <f t="shared" si="51"/>
        <v>5</v>
      </c>
      <c r="AK94" s="25">
        <v>1</v>
      </c>
      <c r="AL94" s="54">
        <f t="shared" si="52"/>
        <v>0</v>
      </c>
      <c r="AM94" s="54">
        <f t="shared" si="53"/>
        <v>0</v>
      </c>
      <c r="AN94" s="54">
        <f t="shared" si="54"/>
        <v>0</v>
      </c>
      <c r="AO94" s="54">
        <f t="shared" si="55"/>
        <v>0</v>
      </c>
      <c r="AP94" s="54">
        <f t="shared" si="56"/>
        <v>0</v>
      </c>
      <c r="AR94" s="32">
        <f t="shared" si="57"/>
        <v>4</v>
      </c>
      <c r="AV94" s="25">
        <v>1</v>
      </c>
      <c r="AW94" s="54">
        <f t="shared" si="58"/>
        <v>0</v>
      </c>
      <c r="AX94" s="54">
        <f t="shared" si="59"/>
        <v>0</v>
      </c>
      <c r="AY94" s="54">
        <f t="shared" si="60"/>
        <v>0</v>
      </c>
      <c r="AZ94" s="54">
        <f t="shared" si="61"/>
        <v>0</v>
      </c>
      <c r="BA94" s="54">
        <f t="shared" si="62"/>
        <v>0</v>
      </c>
      <c r="BC94" s="32">
        <f t="shared" si="63"/>
        <v>3</v>
      </c>
      <c r="BG94" s="25">
        <v>1</v>
      </c>
      <c r="BH94" s="54">
        <f t="shared" si="64"/>
        <v>0</v>
      </c>
      <c r="BI94" s="54">
        <f t="shared" si="65"/>
        <v>0</v>
      </c>
      <c r="BJ94" s="54">
        <f t="shared" si="66"/>
        <v>0</v>
      </c>
      <c r="BK94" s="54">
        <f t="shared" si="67"/>
        <v>0</v>
      </c>
      <c r="BL94" s="54">
        <f t="shared" si="68"/>
        <v>0</v>
      </c>
      <c r="BN94" s="25">
        <f t="shared" si="69"/>
        <v>1</v>
      </c>
      <c r="BS94" s="39"/>
      <c r="BT94" s="39"/>
      <c r="BU94" s="39"/>
      <c r="BV94" s="39"/>
      <c r="BW94" s="39"/>
    </row>
    <row r="95" spans="3:75" x14ac:dyDescent="0.25">
      <c r="C95" s="62" t="str">
        <f t="shared" si="35"/>
        <v>-</v>
      </c>
      <c r="D95" s="62" t="str">
        <f t="shared" si="36"/>
        <v>-</v>
      </c>
      <c r="E95" s="62" t="str">
        <f t="shared" si="37"/>
        <v>-</v>
      </c>
      <c r="F95" s="62" t="str">
        <f t="shared" si="38"/>
        <v>-</v>
      </c>
      <c r="G95" s="62" t="str">
        <f t="shared" si="39"/>
        <v>-</v>
      </c>
      <c r="J95" s="17" t="s">
        <v>127</v>
      </c>
      <c r="K95" s="32" t="s">
        <v>83</v>
      </c>
      <c r="L95" s="32" t="s">
        <v>45</v>
      </c>
      <c r="O95" s="25">
        <v>3</v>
      </c>
      <c r="P95" s="62" t="str">
        <f t="shared" si="40"/>
        <v>-</v>
      </c>
      <c r="Q95" s="62" t="str">
        <f t="shared" si="41"/>
        <v>-</v>
      </c>
      <c r="R95" s="62">
        <f t="shared" si="42"/>
        <v>6</v>
      </c>
      <c r="S95" s="62">
        <f t="shared" si="43"/>
        <v>3</v>
      </c>
      <c r="T95" s="62" t="str">
        <f t="shared" si="44"/>
        <v>-</v>
      </c>
      <c r="V95" s="32">
        <f t="shared" si="45"/>
        <v>6</v>
      </c>
      <c r="Z95" s="25">
        <v>1</v>
      </c>
      <c r="AA95" s="54">
        <f t="shared" si="46"/>
        <v>0</v>
      </c>
      <c r="AB95" s="54">
        <f t="shared" si="47"/>
        <v>0</v>
      </c>
      <c r="AC95" s="54">
        <f t="shared" si="48"/>
        <v>0</v>
      </c>
      <c r="AD95" s="54">
        <f t="shared" si="49"/>
        <v>0</v>
      </c>
      <c r="AE95" s="54">
        <f t="shared" si="50"/>
        <v>0</v>
      </c>
      <c r="AG95" s="32">
        <f t="shared" si="51"/>
        <v>5</v>
      </c>
      <c r="AK95" s="25">
        <v>1</v>
      </c>
      <c r="AL95" s="54">
        <f t="shared" si="52"/>
        <v>0</v>
      </c>
      <c r="AM95" s="54">
        <f t="shared" si="53"/>
        <v>0</v>
      </c>
      <c r="AN95" s="54">
        <f t="shared" si="54"/>
        <v>0</v>
      </c>
      <c r="AO95" s="54">
        <f t="shared" si="55"/>
        <v>0</v>
      </c>
      <c r="AP95" s="54">
        <f t="shared" si="56"/>
        <v>0</v>
      </c>
      <c r="AR95" s="32">
        <f t="shared" si="57"/>
        <v>4</v>
      </c>
      <c r="AV95" s="25">
        <v>1</v>
      </c>
      <c r="AW95" s="54">
        <f t="shared" si="58"/>
        <v>0</v>
      </c>
      <c r="AX95" s="54">
        <f t="shared" si="59"/>
        <v>0</v>
      </c>
      <c r="AY95" s="54">
        <f t="shared" si="60"/>
        <v>0</v>
      </c>
      <c r="AZ95" s="54">
        <f t="shared" si="61"/>
        <v>0</v>
      </c>
      <c r="BA95" s="54">
        <f t="shared" si="62"/>
        <v>0</v>
      </c>
      <c r="BC95" s="32">
        <f t="shared" si="63"/>
        <v>3</v>
      </c>
      <c r="BG95" s="25">
        <v>1</v>
      </c>
      <c r="BH95" s="54">
        <f t="shared" si="64"/>
        <v>0</v>
      </c>
      <c r="BI95" s="54">
        <f t="shared" si="65"/>
        <v>0</v>
      </c>
      <c r="BJ95" s="54">
        <f t="shared" si="66"/>
        <v>0</v>
      </c>
      <c r="BK95" s="54">
        <f t="shared" si="67"/>
        <v>0</v>
      </c>
      <c r="BL95" s="54">
        <f t="shared" si="68"/>
        <v>0</v>
      </c>
      <c r="BN95" s="25">
        <f t="shared" si="69"/>
        <v>1</v>
      </c>
      <c r="BS95" s="39"/>
      <c r="BT95" s="39"/>
      <c r="BU95" s="39"/>
      <c r="BV95" s="39"/>
      <c r="BW95" s="39"/>
    </row>
    <row r="96" spans="3:75" x14ac:dyDescent="0.25">
      <c r="C96" s="62" t="str">
        <f t="shared" si="35"/>
        <v>-</v>
      </c>
      <c r="D96" s="62" t="str">
        <f t="shared" si="36"/>
        <v>-</v>
      </c>
      <c r="E96" s="62" t="str">
        <f t="shared" si="37"/>
        <v>-</v>
      </c>
      <c r="F96" s="62" t="str">
        <f t="shared" si="38"/>
        <v>-</v>
      </c>
      <c r="G96" s="62" t="str">
        <f t="shared" si="39"/>
        <v>-</v>
      </c>
      <c r="J96" s="17" t="s">
        <v>132</v>
      </c>
      <c r="K96" s="32" t="s">
        <v>58</v>
      </c>
      <c r="L96" s="32" t="s">
        <v>45</v>
      </c>
      <c r="O96" s="25">
        <v>1</v>
      </c>
      <c r="P96" s="62">
        <f t="shared" si="40"/>
        <v>1</v>
      </c>
      <c r="Q96" s="62">
        <f t="shared" si="41"/>
        <v>1</v>
      </c>
      <c r="R96" s="62" t="str">
        <f t="shared" si="42"/>
        <v>-</v>
      </c>
      <c r="S96" s="62" t="str">
        <f t="shared" si="43"/>
        <v>-</v>
      </c>
      <c r="T96" s="62" t="str">
        <f t="shared" si="44"/>
        <v>-</v>
      </c>
      <c r="V96" s="32">
        <f t="shared" si="45"/>
        <v>6</v>
      </c>
      <c r="Z96" s="25">
        <v>1</v>
      </c>
      <c r="AA96" s="54">
        <f t="shared" si="46"/>
        <v>0</v>
      </c>
      <c r="AB96" s="54">
        <f t="shared" si="47"/>
        <v>0</v>
      </c>
      <c r="AC96" s="54">
        <f t="shared" si="48"/>
        <v>0</v>
      </c>
      <c r="AD96" s="54">
        <f t="shared" si="49"/>
        <v>0</v>
      </c>
      <c r="AE96" s="54">
        <f t="shared" si="50"/>
        <v>0</v>
      </c>
      <c r="AG96" s="32">
        <f t="shared" si="51"/>
        <v>5</v>
      </c>
      <c r="AK96" s="25">
        <v>1</v>
      </c>
      <c r="AL96" s="54">
        <f t="shared" si="52"/>
        <v>0</v>
      </c>
      <c r="AM96" s="54">
        <f t="shared" si="53"/>
        <v>0</v>
      </c>
      <c r="AN96" s="54">
        <f t="shared" si="54"/>
        <v>0</v>
      </c>
      <c r="AO96" s="54">
        <f t="shared" si="55"/>
        <v>0</v>
      </c>
      <c r="AP96" s="54">
        <f t="shared" si="56"/>
        <v>0</v>
      </c>
      <c r="AR96" s="32">
        <f t="shared" si="57"/>
        <v>4</v>
      </c>
      <c r="AV96" s="25">
        <v>1</v>
      </c>
      <c r="AW96" s="54">
        <f t="shared" si="58"/>
        <v>0</v>
      </c>
      <c r="AX96" s="54">
        <f t="shared" si="59"/>
        <v>0</v>
      </c>
      <c r="AY96" s="54">
        <f t="shared" si="60"/>
        <v>0</v>
      </c>
      <c r="AZ96" s="54">
        <f t="shared" si="61"/>
        <v>0</v>
      </c>
      <c r="BA96" s="54">
        <f t="shared" si="62"/>
        <v>0</v>
      </c>
      <c r="BC96" s="32">
        <f t="shared" si="63"/>
        <v>3</v>
      </c>
      <c r="BG96" s="25">
        <v>1</v>
      </c>
      <c r="BH96" s="54">
        <f t="shared" si="64"/>
        <v>0</v>
      </c>
      <c r="BI96" s="54">
        <f t="shared" si="65"/>
        <v>0</v>
      </c>
      <c r="BJ96" s="54">
        <f t="shared" si="66"/>
        <v>0</v>
      </c>
      <c r="BK96" s="54">
        <f t="shared" si="67"/>
        <v>0</v>
      </c>
      <c r="BL96" s="54">
        <f t="shared" si="68"/>
        <v>0</v>
      </c>
      <c r="BN96" s="25">
        <f t="shared" si="69"/>
        <v>1</v>
      </c>
      <c r="BS96" s="39"/>
      <c r="BT96" s="39"/>
      <c r="BU96" s="39"/>
      <c r="BV96" s="39"/>
      <c r="BW96" s="39"/>
    </row>
    <row r="97" spans="3:75" x14ac:dyDescent="0.25">
      <c r="C97" s="62" t="str">
        <f t="shared" si="35"/>
        <v>-</v>
      </c>
      <c r="D97" s="62" t="str">
        <f t="shared" si="36"/>
        <v>-</v>
      </c>
      <c r="E97" s="62" t="str">
        <f t="shared" si="37"/>
        <v>-</v>
      </c>
      <c r="F97" s="62" t="str">
        <f t="shared" si="38"/>
        <v>-</v>
      </c>
      <c r="G97" s="62" t="str">
        <f t="shared" si="39"/>
        <v>-</v>
      </c>
      <c r="J97" s="17" t="s">
        <v>132</v>
      </c>
      <c r="K97" s="32" t="s">
        <v>65</v>
      </c>
      <c r="L97" s="32" t="s">
        <v>45</v>
      </c>
      <c r="O97" s="25">
        <v>1</v>
      </c>
      <c r="P97" s="62">
        <f t="shared" si="40"/>
        <v>1</v>
      </c>
      <c r="Q97" s="62" t="str">
        <f t="shared" si="41"/>
        <v>-</v>
      </c>
      <c r="R97" s="62" t="str">
        <f t="shared" si="42"/>
        <v>-</v>
      </c>
      <c r="S97" s="62" t="str">
        <f t="shared" si="43"/>
        <v>-</v>
      </c>
      <c r="T97" s="62" t="str">
        <f t="shared" si="44"/>
        <v>-</v>
      </c>
      <c r="V97" s="32">
        <f t="shared" si="45"/>
        <v>6</v>
      </c>
      <c r="Z97" s="25">
        <v>1</v>
      </c>
      <c r="AA97" s="54">
        <f t="shared" si="46"/>
        <v>0</v>
      </c>
      <c r="AB97" s="54">
        <f t="shared" si="47"/>
        <v>0</v>
      </c>
      <c r="AC97" s="54">
        <f t="shared" si="48"/>
        <v>0</v>
      </c>
      <c r="AD97" s="54">
        <f t="shared" si="49"/>
        <v>0</v>
      </c>
      <c r="AE97" s="54">
        <f t="shared" si="50"/>
        <v>0</v>
      </c>
      <c r="AG97" s="32">
        <f t="shared" si="51"/>
        <v>5</v>
      </c>
      <c r="AK97" s="25">
        <v>1</v>
      </c>
      <c r="AL97" s="54">
        <f t="shared" si="52"/>
        <v>0</v>
      </c>
      <c r="AM97" s="54">
        <f t="shared" si="53"/>
        <v>0</v>
      </c>
      <c r="AN97" s="54">
        <f t="shared" si="54"/>
        <v>0</v>
      </c>
      <c r="AO97" s="54">
        <f t="shared" si="55"/>
        <v>0</v>
      </c>
      <c r="AP97" s="54">
        <f t="shared" si="56"/>
        <v>0</v>
      </c>
      <c r="AR97" s="32">
        <f t="shared" si="57"/>
        <v>4</v>
      </c>
      <c r="AV97" s="25">
        <v>1</v>
      </c>
      <c r="AW97" s="54">
        <f t="shared" si="58"/>
        <v>0</v>
      </c>
      <c r="AX97" s="54">
        <f t="shared" si="59"/>
        <v>0</v>
      </c>
      <c r="AY97" s="54">
        <f t="shared" si="60"/>
        <v>0</v>
      </c>
      <c r="AZ97" s="54">
        <f t="shared" si="61"/>
        <v>0</v>
      </c>
      <c r="BA97" s="54">
        <f t="shared" si="62"/>
        <v>0</v>
      </c>
      <c r="BC97" s="32">
        <f t="shared" si="63"/>
        <v>3</v>
      </c>
      <c r="BG97" s="25">
        <v>1</v>
      </c>
      <c r="BH97" s="54">
        <f t="shared" si="64"/>
        <v>0</v>
      </c>
      <c r="BI97" s="54">
        <f t="shared" si="65"/>
        <v>0</v>
      </c>
      <c r="BJ97" s="54">
        <f t="shared" si="66"/>
        <v>0</v>
      </c>
      <c r="BK97" s="54">
        <f t="shared" si="67"/>
        <v>0</v>
      </c>
      <c r="BL97" s="54">
        <f t="shared" si="68"/>
        <v>0</v>
      </c>
      <c r="BN97" s="25">
        <f t="shared" si="69"/>
        <v>1</v>
      </c>
      <c r="BS97" s="39"/>
      <c r="BT97" s="39"/>
      <c r="BU97" s="39"/>
      <c r="BV97" s="39"/>
      <c r="BW97" s="39"/>
    </row>
    <row r="98" spans="3:75" x14ac:dyDescent="0.25">
      <c r="C98" s="62" t="str">
        <f t="shared" si="35"/>
        <v>-</v>
      </c>
      <c r="D98" s="62" t="str">
        <f t="shared" si="36"/>
        <v>-</v>
      </c>
      <c r="E98" s="62" t="str">
        <f t="shared" si="37"/>
        <v>-</v>
      </c>
      <c r="F98" s="62" t="str">
        <f t="shared" si="38"/>
        <v>-</v>
      </c>
      <c r="G98" s="62" t="str">
        <f t="shared" si="39"/>
        <v>-</v>
      </c>
      <c r="J98" s="17" t="s">
        <v>183</v>
      </c>
      <c r="O98" s="25">
        <v>1</v>
      </c>
      <c r="P98" s="62" t="str">
        <f t="shared" si="40"/>
        <v>-</v>
      </c>
      <c r="Q98" s="62" t="str">
        <f t="shared" si="41"/>
        <v>-</v>
      </c>
      <c r="R98" s="62" t="str">
        <f t="shared" si="42"/>
        <v>-</v>
      </c>
      <c r="S98" s="62" t="str">
        <f t="shared" si="43"/>
        <v>-</v>
      </c>
      <c r="T98" s="62" t="str">
        <f t="shared" si="44"/>
        <v>-</v>
      </c>
      <c r="V98" s="32">
        <f t="shared" si="45"/>
        <v>6</v>
      </c>
      <c r="Z98" s="25">
        <v>1</v>
      </c>
      <c r="AA98" s="54">
        <f t="shared" si="46"/>
        <v>0</v>
      </c>
      <c r="AB98" s="54">
        <f t="shared" si="47"/>
        <v>0</v>
      </c>
      <c r="AC98" s="54">
        <f t="shared" si="48"/>
        <v>0</v>
      </c>
      <c r="AD98" s="54">
        <f t="shared" si="49"/>
        <v>0</v>
      </c>
      <c r="AE98" s="54">
        <f t="shared" si="50"/>
        <v>0</v>
      </c>
      <c r="AG98" s="32">
        <f t="shared" si="51"/>
        <v>5</v>
      </c>
      <c r="AK98" s="25">
        <v>1</v>
      </c>
      <c r="AL98" s="54">
        <f t="shared" si="52"/>
        <v>0</v>
      </c>
      <c r="AM98" s="54">
        <f t="shared" si="53"/>
        <v>0</v>
      </c>
      <c r="AN98" s="54">
        <f t="shared" si="54"/>
        <v>0</v>
      </c>
      <c r="AO98" s="54">
        <f t="shared" si="55"/>
        <v>0</v>
      </c>
      <c r="AP98" s="54">
        <f t="shared" si="56"/>
        <v>0</v>
      </c>
      <c r="AR98" s="32">
        <f t="shared" si="57"/>
        <v>4</v>
      </c>
      <c r="AV98" s="25">
        <v>1</v>
      </c>
      <c r="AW98" s="54">
        <f t="shared" si="58"/>
        <v>0</v>
      </c>
      <c r="AX98" s="54">
        <f t="shared" si="59"/>
        <v>0</v>
      </c>
      <c r="AY98" s="54">
        <f t="shared" si="60"/>
        <v>0</v>
      </c>
      <c r="AZ98" s="54">
        <f t="shared" si="61"/>
        <v>0</v>
      </c>
      <c r="BA98" s="54">
        <f t="shared" si="62"/>
        <v>0</v>
      </c>
      <c r="BC98" s="32">
        <f t="shared" si="63"/>
        <v>3</v>
      </c>
      <c r="BG98" s="25">
        <v>1</v>
      </c>
      <c r="BH98" s="54">
        <f t="shared" si="64"/>
        <v>0</v>
      </c>
      <c r="BI98" s="54">
        <f t="shared" si="65"/>
        <v>0</v>
      </c>
      <c r="BJ98" s="54">
        <f t="shared" si="66"/>
        <v>0</v>
      </c>
      <c r="BK98" s="54">
        <f t="shared" si="67"/>
        <v>0</v>
      </c>
      <c r="BL98" s="54">
        <f t="shared" si="68"/>
        <v>0</v>
      </c>
      <c r="BN98" s="25">
        <f t="shared" si="69"/>
        <v>1</v>
      </c>
      <c r="BS98" s="39"/>
      <c r="BT98" s="39"/>
      <c r="BU98" s="39"/>
      <c r="BV98" s="39"/>
      <c r="BW98" s="39"/>
    </row>
    <row r="99" spans="3:75" x14ac:dyDescent="0.25">
      <c r="C99" s="62" t="str">
        <f t="shared" si="35"/>
        <v>-</v>
      </c>
      <c r="D99" s="62" t="str">
        <f t="shared" si="36"/>
        <v>-</v>
      </c>
      <c r="E99" s="62" t="str">
        <f t="shared" si="37"/>
        <v>-</v>
      </c>
      <c r="F99" s="62" t="str">
        <f t="shared" si="38"/>
        <v>-</v>
      </c>
      <c r="G99" s="62" t="str">
        <f t="shared" si="39"/>
        <v>-</v>
      </c>
      <c r="J99" s="17" t="s">
        <v>35</v>
      </c>
      <c r="K99" s="32" t="s">
        <v>58</v>
      </c>
      <c r="L99" s="32" t="s">
        <v>45</v>
      </c>
      <c r="M99" s="40" t="s">
        <v>74</v>
      </c>
      <c r="O99" s="25">
        <v>1</v>
      </c>
      <c r="P99" s="62">
        <f t="shared" si="40"/>
        <v>1</v>
      </c>
      <c r="Q99" s="62">
        <f t="shared" si="41"/>
        <v>1</v>
      </c>
      <c r="R99" s="62" t="str">
        <f t="shared" si="42"/>
        <v>-</v>
      </c>
      <c r="S99" s="62" t="str">
        <f t="shared" si="43"/>
        <v>-</v>
      </c>
      <c r="T99" s="62" t="str">
        <f t="shared" si="44"/>
        <v>-</v>
      </c>
      <c r="V99" s="32">
        <f t="shared" si="45"/>
        <v>6</v>
      </c>
      <c r="Z99" s="25">
        <v>1</v>
      </c>
      <c r="AA99" s="54">
        <f t="shared" si="46"/>
        <v>0</v>
      </c>
      <c r="AB99" s="54">
        <f t="shared" si="47"/>
        <v>0</v>
      </c>
      <c r="AC99" s="54">
        <f t="shared" si="48"/>
        <v>0</v>
      </c>
      <c r="AD99" s="54">
        <f t="shared" si="49"/>
        <v>0</v>
      </c>
      <c r="AE99" s="54">
        <f t="shared" si="50"/>
        <v>0</v>
      </c>
      <c r="AG99" s="32">
        <f t="shared" si="51"/>
        <v>5</v>
      </c>
      <c r="AK99" s="25">
        <v>1</v>
      </c>
      <c r="AL99" s="54">
        <f t="shared" si="52"/>
        <v>0</v>
      </c>
      <c r="AM99" s="54">
        <f t="shared" si="53"/>
        <v>0</v>
      </c>
      <c r="AN99" s="54">
        <f t="shared" si="54"/>
        <v>0</v>
      </c>
      <c r="AO99" s="54">
        <f t="shared" si="55"/>
        <v>0</v>
      </c>
      <c r="AP99" s="54">
        <f t="shared" si="56"/>
        <v>0</v>
      </c>
      <c r="AR99" s="32">
        <f t="shared" si="57"/>
        <v>4</v>
      </c>
      <c r="AV99" s="25">
        <v>1</v>
      </c>
      <c r="AW99" s="54">
        <f t="shared" si="58"/>
        <v>0</v>
      </c>
      <c r="AX99" s="54">
        <f t="shared" si="59"/>
        <v>0</v>
      </c>
      <c r="AY99" s="54">
        <f t="shared" si="60"/>
        <v>0</v>
      </c>
      <c r="AZ99" s="54">
        <f t="shared" si="61"/>
        <v>0</v>
      </c>
      <c r="BA99" s="54">
        <f t="shared" si="62"/>
        <v>0</v>
      </c>
      <c r="BC99" s="32">
        <f t="shared" si="63"/>
        <v>3</v>
      </c>
      <c r="BG99" s="25">
        <v>1</v>
      </c>
      <c r="BH99" s="54">
        <f t="shared" si="64"/>
        <v>0</v>
      </c>
      <c r="BI99" s="54">
        <f t="shared" si="65"/>
        <v>0</v>
      </c>
      <c r="BJ99" s="54">
        <f t="shared" si="66"/>
        <v>0</v>
      </c>
      <c r="BK99" s="54">
        <f t="shared" si="67"/>
        <v>0</v>
      </c>
      <c r="BL99" s="54">
        <f t="shared" si="68"/>
        <v>0</v>
      </c>
      <c r="BN99" s="25">
        <f t="shared" si="69"/>
        <v>1</v>
      </c>
      <c r="BS99" s="39"/>
      <c r="BT99" s="39"/>
      <c r="BU99" s="39"/>
      <c r="BV99" s="39"/>
      <c r="BW99" s="39"/>
    </row>
    <row r="100" spans="3:75" x14ac:dyDescent="0.25">
      <c r="C100" s="62" t="str">
        <f t="shared" si="35"/>
        <v>-</v>
      </c>
      <c r="D100" s="62" t="str">
        <f t="shared" si="36"/>
        <v>-</v>
      </c>
      <c r="E100" s="62" t="str">
        <f t="shared" si="37"/>
        <v>-</v>
      </c>
      <c r="F100" s="62" t="str">
        <f t="shared" si="38"/>
        <v>-</v>
      </c>
      <c r="G100" s="62" t="str">
        <f t="shared" si="39"/>
        <v>-</v>
      </c>
      <c r="J100" s="17" t="s">
        <v>35</v>
      </c>
      <c r="K100" s="32" t="s">
        <v>58</v>
      </c>
      <c r="L100" s="32" t="s">
        <v>45</v>
      </c>
      <c r="M100" s="40" t="s">
        <v>73</v>
      </c>
      <c r="O100" s="25">
        <v>1</v>
      </c>
      <c r="P100" s="62">
        <f t="shared" si="40"/>
        <v>1</v>
      </c>
      <c r="Q100" s="62">
        <f t="shared" si="41"/>
        <v>1</v>
      </c>
      <c r="R100" s="62" t="str">
        <f t="shared" si="42"/>
        <v>-</v>
      </c>
      <c r="S100" s="62" t="str">
        <f t="shared" si="43"/>
        <v>-</v>
      </c>
      <c r="T100" s="62" t="str">
        <f t="shared" si="44"/>
        <v>-</v>
      </c>
      <c r="V100" s="32">
        <f t="shared" si="45"/>
        <v>6</v>
      </c>
      <c r="Z100" s="25">
        <v>1</v>
      </c>
      <c r="AA100" s="54">
        <f t="shared" si="46"/>
        <v>0</v>
      </c>
      <c r="AB100" s="54">
        <f t="shared" si="47"/>
        <v>0</v>
      </c>
      <c r="AC100" s="54">
        <f t="shared" si="48"/>
        <v>0</v>
      </c>
      <c r="AD100" s="54">
        <f t="shared" si="49"/>
        <v>0</v>
      </c>
      <c r="AE100" s="54">
        <f t="shared" si="50"/>
        <v>0</v>
      </c>
      <c r="AG100" s="32">
        <f t="shared" si="51"/>
        <v>5</v>
      </c>
      <c r="AK100" s="25">
        <v>1</v>
      </c>
      <c r="AL100" s="54">
        <f t="shared" si="52"/>
        <v>0</v>
      </c>
      <c r="AM100" s="54">
        <f t="shared" si="53"/>
        <v>0</v>
      </c>
      <c r="AN100" s="54">
        <f t="shared" si="54"/>
        <v>0</v>
      </c>
      <c r="AO100" s="54">
        <f t="shared" si="55"/>
        <v>0</v>
      </c>
      <c r="AP100" s="54">
        <f t="shared" si="56"/>
        <v>0</v>
      </c>
      <c r="AR100" s="32">
        <f t="shared" si="57"/>
        <v>4</v>
      </c>
      <c r="AV100" s="25">
        <v>1</v>
      </c>
      <c r="AW100" s="54">
        <f t="shared" si="58"/>
        <v>0</v>
      </c>
      <c r="AX100" s="54">
        <f t="shared" si="59"/>
        <v>0</v>
      </c>
      <c r="AY100" s="54">
        <f t="shared" si="60"/>
        <v>0</v>
      </c>
      <c r="AZ100" s="54">
        <f t="shared" si="61"/>
        <v>0</v>
      </c>
      <c r="BA100" s="54">
        <f t="shared" si="62"/>
        <v>0</v>
      </c>
      <c r="BC100" s="32">
        <f t="shared" si="63"/>
        <v>3</v>
      </c>
      <c r="BG100" s="25">
        <v>1</v>
      </c>
      <c r="BH100" s="54">
        <f t="shared" si="64"/>
        <v>0</v>
      </c>
      <c r="BI100" s="54">
        <f t="shared" si="65"/>
        <v>0</v>
      </c>
      <c r="BJ100" s="54">
        <f t="shared" si="66"/>
        <v>0</v>
      </c>
      <c r="BK100" s="54">
        <f t="shared" si="67"/>
        <v>0</v>
      </c>
      <c r="BL100" s="54">
        <f t="shared" si="68"/>
        <v>0</v>
      </c>
      <c r="BN100" s="25">
        <f t="shared" si="69"/>
        <v>1</v>
      </c>
      <c r="BS100" s="39"/>
      <c r="BT100" s="39"/>
      <c r="BU100" s="39"/>
      <c r="BV100" s="39"/>
      <c r="BW100" s="39"/>
    </row>
    <row r="101" spans="3:75" x14ac:dyDescent="0.25">
      <c r="C101" s="62" t="str">
        <f t="shared" si="35"/>
        <v>-</v>
      </c>
      <c r="D101" s="62" t="str">
        <f t="shared" si="36"/>
        <v>-</v>
      </c>
      <c r="E101" s="62" t="str">
        <f t="shared" si="37"/>
        <v>-</v>
      </c>
      <c r="F101" s="62" t="str">
        <f t="shared" si="38"/>
        <v>-</v>
      </c>
      <c r="G101" s="62" t="str">
        <f t="shared" si="39"/>
        <v>-</v>
      </c>
      <c r="J101" s="17" t="s">
        <v>35</v>
      </c>
      <c r="K101" s="32" t="s">
        <v>58</v>
      </c>
      <c r="L101" s="32" t="s">
        <v>44</v>
      </c>
      <c r="M101" s="40" t="s">
        <v>44</v>
      </c>
      <c r="O101" s="25">
        <v>1</v>
      </c>
      <c r="P101" s="62">
        <f t="shared" si="40"/>
        <v>1</v>
      </c>
      <c r="Q101" s="62">
        <f t="shared" si="41"/>
        <v>1</v>
      </c>
      <c r="R101" s="62" t="str">
        <f t="shared" si="42"/>
        <v>-</v>
      </c>
      <c r="S101" s="62" t="str">
        <f t="shared" si="43"/>
        <v>-</v>
      </c>
      <c r="T101" s="62" t="str">
        <f t="shared" si="44"/>
        <v>-</v>
      </c>
      <c r="V101" s="32">
        <f t="shared" si="45"/>
        <v>6</v>
      </c>
      <c r="Z101" s="25">
        <v>1</v>
      </c>
      <c r="AA101" s="54">
        <f t="shared" si="46"/>
        <v>0</v>
      </c>
      <c r="AB101" s="54">
        <f t="shared" si="47"/>
        <v>0</v>
      </c>
      <c r="AC101" s="54">
        <f t="shared" si="48"/>
        <v>0</v>
      </c>
      <c r="AD101" s="54">
        <f t="shared" si="49"/>
        <v>0</v>
      </c>
      <c r="AE101" s="54">
        <f t="shared" si="50"/>
        <v>0</v>
      </c>
      <c r="AG101" s="32">
        <f t="shared" si="51"/>
        <v>5</v>
      </c>
      <c r="AK101" s="25">
        <v>1</v>
      </c>
      <c r="AL101" s="54">
        <f t="shared" si="52"/>
        <v>0</v>
      </c>
      <c r="AM101" s="54">
        <f t="shared" si="53"/>
        <v>0</v>
      </c>
      <c r="AN101" s="54">
        <f t="shared" si="54"/>
        <v>0</v>
      </c>
      <c r="AO101" s="54">
        <f t="shared" si="55"/>
        <v>0</v>
      </c>
      <c r="AP101" s="54">
        <f t="shared" si="56"/>
        <v>0</v>
      </c>
      <c r="AR101" s="32">
        <f t="shared" si="57"/>
        <v>4</v>
      </c>
      <c r="AV101" s="25">
        <v>1</v>
      </c>
      <c r="AW101" s="54">
        <f t="shared" si="58"/>
        <v>0</v>
      </c>
      <c r="AX101" s="54">
        <f t="shared" si="59"/>
        <v>0</v>
      </c>
      <c r="AY101" s="54">
        <f t="shared" si="60"/>
        <v>0</v>
      </c>
      <c r="AZ101" s="54">
        <f t="shared" si="61"/>
        <v>0</v>
      </c>
      <c r="BA101" s="54">
        <f t="shared" si="62"/>
        <v>0</v>
      </c>
      <c r="BC101" s="32">
        <f t="shared" si="63"/>
        <v>3</v>
      </c>
      <c r="BG101" s="25">
        <v>1</v>
      </c>
      <c r="BH101" s="54">
        <f t="shared" si="64"/>
        <v>0</v>
      </c>
      <c r="BI101" s="54">
        <f t="shared" si="65"/>
        <v>0</v>
      </c>
      <c r="BJ101" s="54">
        <f t="shared" si="66"/>
        <v>0</v>
      </c>
      <c r="BK101" s="54">
        <f t="shared" si="67"/>
        <v>0</v>
      </c>
      <c r="BL101" s="54">
        <f t="shared" si="68"/>
        <v>0</v>
      </c>
      <c r="BN101" s="25">
        <f t="shared" si="69"/>
        <v>1</v>
      </c>
      <c r="BS101" s="39"/>
      <c r="BT101" s="39"/>
      <c r="BU101" s="39"/>
      <c r="BV101" s="39"/>
      <c r="BW101" s="39"/>
    </row>
    <row r="102" spans="3:75" x14ac:dyDescent="0.25">
      <c r="C102" s="62" t="str">
        <f t="shared" si="35"/>
        <v>-</v>
      </c>
      <c r="D102" s="62" t="str">
        <f t="shared" si="36"/>
        <v>-</v>
      </c>
      <c r="E102" s="62" t="str">
        <f t="shared" si="37"/>
        <v>-</v>
      </c>
      <c r="F102" s="62" t="str">
        <f t="shared" si="38"/>
        <v>-</v>
      </c>
      <c r="G102" s="62" t="str">
        <f t="shared" si="39"/>
        <v>-</v>
      </c>
      <c r="J102" s="17" t="s">
        <v>35</v>
      </c>
      <c r="K102" s="32" t="s">
        <v>62</v>
      </c>
      <c r="L102" s="32" t="s">
        <v>45</v>
      </c>
      <c r="M102" s="40" t="s">
        <v>81</v>
      </c>
      <c r="O102" s="25">
        <v>2</v>
      </c>
      <c r="P102" s="62" t="str">
        <f t="shared" si="40"/>
        <v>-</v>
      </c>
      <c r="Q102" s="62" t="str">
        <f t="shared" si="41"/>
        <v>-</v>
      </c>
      <c r="R102" s="62">
        <f t="shared" si="42"/>
        <v>4</v>
      </c>
      <c r="S102" s="62" t="str">
        <f t="shared" si="43"/>
        <v>-</v>
      </c>
      <c r="T102" s="62" t="str">
        <f t="shared" si="44"/>
        <v>-</v>
      </c>
      <c r="V102" s="32">
        <f t="shared" si="45"/>
        <v>6</v>
      </c>
      <c r="Z102" s="25">
        <v>1</v>
      </c>
      <c r="AA102" s="54">
        <f t="shared" si="46"/>
        <v>0</v>
      </c>
      <c r="AB102" s="54">
        <f t="shared" si="47"/>
        <v>0</v>
      </c>
      <c r="AC102" s="54">
        <f t="shared" si="48"/>
        <v>0</v>
      </c>
      <c r="AD102" s="54">
        <f t="shared" si="49"/>
        <v>0</v>
      </c>
      <c r="AE102" s="54">
        <f t="shared" si="50"/>
        <v>0</v>
      </c>
      <c r="AG102" s="32">
        <f t="shared" si="51"/>
        <v>5</v>
      </c>
      <c r="AK102" s="25">
        <v>1</v>
      </c>
      <c r="AL102" s="54">
        <f t="shared" si="52"/>
        <v>0</v>
      </c>
      <c r="AM102" s="54">
        <f t="shared" si="53"/>
        <v>0</v>
      </c>
      <c r="AN102" s="54">
        <f t="shared" si="54"/>
        <v>0</v>
      </c>
      <c r="AO102" s="54">
        <f t="shared" si="55"/>
        <v>0</v>
      </c>
      <c r="AP102" s="54">
        <f t="shared" si="56"/>
        <v>0</v>
      </c>
      <c r="AR102" s="32">
        <f t="shared" si="57"/>
        <v>4</v>
      </c>
      <c r="AV102" s="25">
        <v>1</v>
      </c>
      <c r="AW102" s="54">
        <f t="shared" si="58"/>
        <v>0</v>
      </c>
      <c r="AX102" s="54">
        <f t="shared" si="59"/>
        <v>0</v>
      </c>
      <c r="AY102" s="54">
        <f t="shared" si="60"/>
        <v>0</v>
      </c>
      <c r="AZ102" s="54">
        <f t="shared" si="61"/>
        <v>0</v>
      </c>
      <c r="BA102" s="54">
        <f t="shared" si="62"/>
        <v>0</v>
      </c>
      <c r="BC102" s="32">
        <f t="shared" si="63"/>
        <v>3</v>
      </c>
      <c r="BG102" s="25">
        <v>1</v>
      </c>
      <c r="BH102" s="54">
        <f t="shared" si="64"/>
        <v>0</v>
      </c>
      <c r="BI102" s="54">
        <f t="shared" si="65"/>
        <v>0</v>
      </c>
      <c r="BJ102" s="54">
        <f t="shared" si="66"/>
        <v>0</v>
      </c>
      <c r="BK102" s="54">
        <f t="shared" si="67"/>
        <v>0</v>
      </c>
      <c r="BL102" s="54">
        <f t="shared" si="68"/>
        <v>0</v>
      </c>
      <c r="BN102" s="25">
        <f t="shared" si="69"/>
        <v>1</v>
      </c>
      <c r="BS102" s="39"/>
      <c r="BT102" s="39"/>
      <c r="BU102" s="39"/>
      <c r="BV102" s="39"/>
      <c r="BW102" s="39"/>
    </row>
    <row r="103" spans="3:75" x14ac:dyDescent="0.25">
      <c r="C103" s="62" t="str">
        <f t="shared" si="35"/>
        <v>-</v>
      </c>
      <c r="D103" s="62" t="str">
        <f t="shared" si="36"/>
        <v>-</v>
      </c>
      <c r="E103" s="62" t="str">
        <f t="shared" si="37"/>
        <v>-</v>
      </c>
      <c r="F103" s="62" t="str">
        <f t="shared" si="38"/>
        <v>-</v>
      </c>
      <c r="G103" s="62" t="str">
        <f t="shared" si="39"/>
        <v>-</v>
      </c>
      <c r="J103" s="17" t="s">
        <v>35</v>
      </c>
      <c r="K103" s="32" t="s">
        <v>65</v>
      </c>
      <c r="L103" s="40" t="s">
        <v>45</v>
      </c>
      <c r="M103" s="40" t="s">
        <v>45</v>
      </c>
      <c r="O103" s="25">
        <v>1</v>
      </c>
      <c r="P103" s="62">
        <f t="shared" si="40"/>
        <v>1</v>
      </c>
      <c r="Q103" s="62" t="str">
        <f t="shared" si="41"/>
        <v>-</v>
      </c>
      <c r="R103" s="62" t="str">
        <f t="shared" si="42"/>
        <v>-</v>
      </c>
      <c r="S103" s="62" t="str">
        <f t="shared" si="43"/>
        <v>-</v>
      </c>
      <c r="T103" s="62" t="str">
        <f t="shared" si="44"/>
        <v>-</v>
      </c>
      <c r="V103" s="32">
        <f t="shared" si="45"/>
        <v>6</v>
      </c>
      <c r="Z103" s="25">
        <v>1</v>
      </c>
      <c r="AA103" s="54">
        <f t="shared" si="46"/>
        <v>0</v>
      </c>
      <c r="AB103" s="54">
        <f t="shared" si="47"/>
        <v>0</v>
      </c>
      <c r="AC103" s="54">
        <f t="shared" si="48"/>
        <v>0</v>
      </c>
      <c r="AD103" s="54">
        <f t="shared" si="49"/>
        <v>0</v>
      </c>
      <c r="AE103" s="54">
        <f t="shared" si="50"/>
        <v>0</v>
      </c>
      <c r="AG103" s="32">
        <f t="shared" si="51"/>
        <v>5</v>
      </c>
      <c r="AK103" s="25">
        <v>1</v>
      </c>
      <c r="AL103" s="54">
        <f t="shared" si="52"/>
        <v>0</v>
      </c>
      <c r="AM103" s="54">
        <f t="shared" si="53"/>
        <v>0</v>
      </c>
      <c r="AN103" s="54">
        <f t="shared" si="54"/>
        <v>0</v>
      </c>
      <c r="AO103" s="54">
        <f t="shared" si="55"/>
        <v>0</v>
      </c>
      <c r="AP103" s="54">
        <f t="shared" si="56"/>
        <v>0</v>
      </c>
      <c r="AR103" s="32">
        <f t="shared" si="57"/>
        <v>4</v>
      </c>
      <c r="AV103" s="25">
        <v>1</v>
      </c>
      <c r="AW103" s="54">
        <f t="shared" si="58"/>
        <v>0</v>
      </c>
      <c r="AX103" s="54">
        <f t="shared" si="59"/>
        <v>0</v>
      </c>
      <c r="AY103" s="54">
        <f t="shared" si="60"/>
        <v>0</v>
      </c>
      <c r="AZ103" s="54">
        <f t="shared" si="61"/>
        <v>0</v>
      </c>
      <c r="BA103" s="54">
        <f t="shared" si="62"/>
        <v>0</v>
      </c>
      <c r="BC103" s="32">
        <f t="shared" si="63"/>
        <v>3</v>
      </c>
      <c r="BG103" s="25">
        <v>1</v>
      </c>
      <c r="BH103" s="54">
        <f t="shared" si="64"/>
        <v>0</v>
      </c>
      <c r="BI103" s="54">
        <f t="shared" si="65"/>
        <v>0</v>
      </c>
      <c r="BJ103" s="54">
        <f t="shared" si="66"/>
        <v>0</v>
      </c>
      <c r="BK103" s="54">
        <f t="shared" si="67"/>
        <v>0</v>
      </c>
      <c r="BL103" s="54">
        <f t="shared" si="68"/>
        <v>0</v>
      </c>
      <c r="BN103" s="25">
        <f t="shared" si="69"/>
        <v>1</v>
      </c>
      <c r="BS103" s="39"/>
      <c r="BT103" s="39"/>
      <c r="BU103" s="39"/>
      <c r="BV103" s="39"/>
      <c r="BW103" s="39"/>
    </row>
    <row r="104" spans="3:75" x14ac:dyDescent="0.25">
      <c r="C104" s="62" t="str">
        <f t="shared" si="35"/>
        <v>-</v>
      </c>
      <c r="D104" s="62" t="str">
        <f t="shared" si="36"/>
        <v>-</v>
      </c>
      <c r="E104" s="62" t="str">
        <f t="shared" si="37"/>
        <v>-</v>
      </c>
      <c r="F104" s="62" t="str">
        <f t="shared" si="38"/>
        <v>-</v>
      </c>
      <c r="G104" s="62" t="str">
        <f t="shared" si="39"/>
        <v>-</v>
      </c>
      <c r="J104" s="17" t="s">
        <v>35</v>
      </c>
      <c r="K104" s="32" t="s">
        <v>65</v>
      </c>
      <c r="L104" s="32" t="s">
        <v>45</v>
      </c>
      <c r="M104" s="40" t="s">
        <v>80</v>
      </c>
      <c r="O104" s="25">
        <v>1</v>
      </c>
      <c r="P104" s="62">
        <f t="shared" si="40"/>
        <v>1</v>
      </c>
      <c r="Q104" s="62" t="str">
        <f t="shared" si="41"/>
        <v>-</v>
      </c>
      <c r="R104" s="62" t="str">
        <f t="shared" si="42"/>
        <v>-</v>
      </c>
      <c r="S104" s="62" t="str">
        <f t="shared" si="43"/>
        <v>-</v>
      </c>
      <c r="T104" s="62" t="str">
        <f t="shared" si="44"/>
        <v>-</v>
      </c>
      <c r="V104" s="32">
        <f t="shared" si="45"/>
        <v>6</v>
      </c>
      <c r="Z104" s="25">
        <v>1</v>
      </c>
      <c r="AA104" s="54">
        <f t="shared" si="46"/>
        <v>0</v>
      </c>
      <c r="AB104" s="54">
        <f t="shared" si="47"/>
        <v>0</v>
      </c>
      <c r="AC104" s="54">
        <f t="shared" si="48"/>
        <v>0</v>
      </c>
      <c r="AD104" s="54">
        <f t="shared" si="49"/>
        <v>0</v>
      </c>
      <c r="AE104" s="54">
        <f t="shared" si="50"/>
        <v>0</v>
      </c>
      <c r="AG104" s="32">
        <f t="shared" si="51"/>
        <v>5</v>
      </c>
      <c r="AK104" s="25">
        <v>1</v>
      </c>
      <c r="AL104" s="54">
        <f t="shared" si="52"/>
        <v>0</v>
      </c>
      <c r="AM104" s="54">
        <f t="shared" si="53"/>
        <v>0</v>
      </c>
      <c r="AN104" s="54">
        <f t="shared" si="54"/>
        <v>0</v>
      </c>
      <c r="AO104" s="54">
        <f t="shared" si="55"/>
        <v>0</v>
      </c>
      <c r="AP104" s="54">
        <f t="shared" si="56"/>
        <v>0</v>
      </c>
      <c r="AR104" s="32">
        <f t="shared" si="57"/>
        <v>4</v>
      </c>
      <c r="AV104" s="25">
        <v>1</v>
      </c>
      <c r="AW104" s="54">
        <f t="shared" si="58"/>
        <v>0</v>
      </c>
      <c r="AX104" s="54">
        <f t="shared" si="59"/>
        <v>0</v>
      </c>
      <c r="AY104" s="54">
        <f t="shared" si="60"/>
        <v>0</v>
      </c>
      <c r="AZ104" s="54">
        <f t="shared" si="61"/>
        <v>0</v>
      </c>
      <c r="BA104" s="54">
        <f t="shared" si="62"/>
        <v>0</v>
      </c>
      <c r="BC104" s="32">
        <f t="shared" si="63"/>
        <v>3</v>
      </c>
      <c r="BG104" s="25">
        <v>1</v>
      </c>
      <c r="BH104" s="54">
        <f t="shared" si="64"/>
        <v>0</v>
      </c>
      <c r="BI104" s="54">
        <f t="shared" si="65"/>
        <v>0</v>
      </c>
      <c r="BJ104" s="54">
        <f t="shared" si="66"/>
        <v>0</v>
      </c>
      <c r="BK104" s="54">
        <f t="shared" si="67"/>
        <v>0</v>
      </c>
      <c r="BL104" s="54">
        <f t="shared" si="68"/>
        <v>0</v>
      </c>
      <c r="BN104" s="25">
        <f t="shared" si="69"/>
        <v>1</v>
      </c>
      <c r="BS104" s="39"/>
      <c r="BT104" s="39"/>
      <c r="BU104" s="39"/>
      <c r="BV104" s="39"/>
      <c r="BW104" s="39"/>
    </row>
    <row r="105" spans="3:75" x14ac:dyDescent="0.25">
      <c r="C105" s="62" t="str">
        <f t="shared" si="35"/>
        <v>-</v>
      </c>
      <c r="D105" s="62" t="str">
        <f t="shared" si="36"/>
        <v>-</v>
      </c>
      <c r="E105" s="62" t="str">
        <f t="shared" si="37"/>
        <v>-</v>
      </c>
      <c r="F105" s="62" t="str">
        <f t="shared" si="38"/>
        <v>-</v>
      </c>
      <c r="G105" s="62" t="str">
        <f t="shared" si="39"/>
        <v>-</v>
      </c>
      <c r="J105" s="17" t="s">
        <v>35</v>
      </c>
      <c r="K105" s="32" t="s">
        <v>65</v>
      </c>
      <c r="L105" s="40" t="s">
        <v>44</v>
      </c>
      <c r="M105" s="40" t="s">
        <v>44</v>
      </c>
      <c r="O105" s="25">
        <v>2</v>
      </c>
      <c r="P105" s="62">
        <f t="shared" si="40"/>
        <v>2</v>
      </c>
      <c r="Q105" s="62" t="str">
        <f t="shared" si="41"/>
        <v>-</v>
      </c>
      <c r="R105" s="62" t="str">
        <f t="shared" si="42"/>
        <v>-</v>
      </c>
      <c r="S105" s="62" t="str">
        <f t="shared" si="43"/>
        <v>-</v>
      </c>
      <c r="T105" s="62" t="str">
        <f t="shared" si="44"/>
        <v>-</v>
      </c>
      <c r="V105" s="32">
        <f t="shared" si="45"/>
        <v>6</v>
      </c>
      <c r="Z105" s="25">
        <v>1</v>
      </c>
      <c r="AA105" s="54">
        <f t="shared" si="46"/>
        <v>0</v>
      </c>
      <c r="AB105" s="54">
        <f t="shared" si="47"/>
        <v>0</v>
      </c>
      <c r="AC105" s="54">
        <f t="shared" si="48"/>
        <v>0</v>
      </c>
      <c r="AD105" s="54">
        <f t="shared" si="49"/>
        <v>0</v>
      </c>
      <c r="AE105" s="54">
        <f t="shared" si="50"/>
        <v>0</v>
      </c>
      <c r="AG105" s="32">
        <f t="shared" si="51"/>
        <v>5</v>
      </c>
      <c r="AK105" s="25">
        <v>1</v>
      </c>
      <c r="AL105" s="54">
        <f t="shared" si="52"/>
        <v>0</v>
      </c>
      <c r="AM105" s="54">
        <f t="shared" si="53"/>
        <v>0</v>
      </c>
      <c r="AN105" s="54">
        <f t="shared" si="54"/>
        <v>0</v>
      </c>
      <c r="AO105" s="54">
        <f t="shared" si="55"/>
        <v>0</v>
      </c>
      <c r="AP105" s="54">
        <f t="shared" si="56"/>
        <v>0</v>
      </c>
      <c r="AR105" s="32">
        <f t="shared" si="57"/>
        <v>4</v>
      </c>
      <c r="AV105" s="25">
        <v>1</v>
      </c>
      <c r="AW105" s="54">
        <f t="shared" si="58"/>
        <v>0</v>
      </c>
      <c r="AX105" s="54">
        <f t="shared" si="59"/>
        <v>0</v>
      </c>
      <c r="AY105" s="54">
        <f t="shared" si="60"/>
        <v>0</v>
      </c>
      <c r="AZ105" s="54">
        <f t="shared" si="61"/>
        <v>0</v>
      </c>
      <c r="BA105" s="54">
        <f t="shared" si="62"/>
        <v>0</v>
      </c>
      <c r="BC105" s="32">
        <f t="shared" si="63"/>
        <v>3</v>
      </c>
      <c r="BG105" s="25">
        <v>1</v>
      </c>
      <c r="BH105" s="54">
        <f t="shared" si="64"/>
        <v>0</v>
      </c>
      <c r="BI105" s="54">
        <f t="shared" si="65"/>
        <v>0</v>
      </c>
      <c r="BJ105" s="54">
        <f t="shared" si="66"/>
        <v>0</v>
      </c>
      <c r="BK105" s="54">
        <f t="shared" si="67"/>
        <v>0</v>
      </c>
      <c r="BL105" s="54">
        <f t="shared" si="68"/>
        <v>0</v>
      </c>
      <c r="BN105" s="25">
        <f t="shared" si="69"/>
        <v>1</v>
      </c>
      <c r="BS105" s="39"/>
      <c r="BT105" s="39"/>
      <c r="BU105" s="39"/>
      <c r="BV105" s="39"/>
      <c r="BW105" s="39"/>
    </row>
    <row r="106" spans="3:75" x14ac:dyDescent="0.25">
      <c r="C106" s="62" t="str">
        <f t="shared" si="35"/>
        <v>-</v>
      </c>
      <c r="D106" s="62" t="str">
        <f t="shared" si="36"/>
        <v>-</v>
      </c>
      <c r="E106" s="62" t="str">
        <f t="shared" si="37"/>
        <v>-</v>
      </c>
      <c r="F106" s="62" t="str">
        <f t="shared" si="38"/>
        <v>-</v>
      </c>
      <c r="G106" s="62" t="str">
        <f t="shared" si="39"/>
        <v>-</v>
      </c>
      <c r="J106" s="17" t="s">
        <v>35</v>
      </c>
      <c r="K106" s="32" t="s">
        <v>65</v>
      </c>
      <c r="L106" s="32" t="s">
        <v>67</v>
      </c>
      <c r="M106" s="40" t="s">
        <v>72</v>
      </c>
      <c r="O106" s="25">
        <v>2</v>
      </c>
      <c r="P106" s="62">
        <f t="shared" si="40"/>
        <v>2</v>
      </c>
      <c r="Q106" s="62" t="str">
        <f t="shared" si="41"/>
        <v>-</v>
      </c>
      <c r="R106" s="62" t="str">
        <f t="shared" si="42"/>
        <v>-</v>
      </c>
      <c r="S106" s="62" t="str">
        <f t="shared" si="43"/>
        <v>-</v>
      </c>
      <c r="T106" s="62" t="str">
        <f t="shared" si="44"/>
        <v>-</v>
      </c>
      <c r="V106" s="32">
        <f t="shared" si="45"/>
        <v>6</v>
      </c>
      <c r="Z106" s="25">
        <v>1</v>
      </c>
      <c r="AA106" s="54">
        <f t="shared" si="46"/>
        <v>0</v>
      </c>
      <c r="AB106" s="54">
        <f t="shared" si="47"/>
        <v>0</v>
      </c>
      <c r="AC106" s="54">
        <f t="shared" si="48"/>
        <v>0</v>
      </c>
      <c r="AD106" s="54">
        <f t="shared" si="49"/>
        <v>0</v>
      </c>
      <c r="AE106" s="54">
        <f t="shared" si="50"/>
        <v>0</v>
      </c>
      <c r="AG106" s="32">
        <f t="shared" si="51"/>
        <v>5</v>
      </c>
      <c r="AK106" s="25">
        <v>1</v>
      </c>
      <c r="AL106" s="54">
        <f t="shared" si="52"/>
        <v>0</v>
      </c>
      <c r="AM106" s="54">
        <f t="shared" si="53"/>
        <v>0</v>
      </c>
      <c r="AN106" s="54">
        <f t="shared" si="54"/>
        <v>0</v>
      </c>
      <c r="AO106" s="54">
        <f t="shared" si="55"/>
        <v>0</v>
      </c>
      <c r="AP106" s="54">
        <f t="shared" si="56"/>
        <v>0</v>
      </c>
      <c r="AR106" s="32">
        <f t="shared" si="57"/>
        <v>4</v>
      </c>
      <c r="AV106" s="25">
        <v>1</v>
      </c>
      <c r="AW106" s="54">
        <f t="shared" si="58"/>
        <v>0</v>
      </c>
      <c r="AX106" s="54">
        <f t="shared" si="59"/>
        <v>0</v>
      </c>
      <c r="AY106" s="54">
        <f t="shared" si="60"/>
        <v>0</v>
      </c>
      <c r="AZ106" s="54">
        <f t="shared" si="61"/>
        <v>0</v>
      </c>
      <c r="BA106" s="54">
        <f t="shared" si="62"/>
        <v>0</v>
      </c>
      <c r="BC106" s="32">
        <f t="shared" si="63"/>
        <v>3</v>
      </c>
      <c r="BG106" s="25">
        <v>1</v>
      </c>
      <c r="BH106" s="54">
        <f t="shared" si="64"/>
        <v>0</v>
      </c>
      <c r="BI106" s="54">
        <f t="shared" si="65"/>
        <v>0</v>
      </c>
      <c r="BJ106" s="54">
        <f t="shared" si="66"/>
        <v>0</v>
      </c>
      <c r="BK106" s="54">
        <f t="shared" si="67"/>
        <v>0</v>
      </c>
      <c r="BL106" s="54">
        <f t="shared" si="68"/>
        <v>0</v>
      </c>
      <c r="BN106" s="25">
        <f t="shared" si="69"/>
        <v>1</v>
      </c>
      <c r="BS106" s="39"/>
      <c r="BT106" s="39"/>
      <c r="BU106" s="39"/>
      <c r="BV106" s="39"/>
      <c r="BW106" s="39"/>
    </row>
    <row r="107" spans="3:75" x14ac:dyDescent="0.25">
      <c r="C107" s="62" t="str">
        <f t="shared" si="35"/>
        <v>-</v>
      </c>
      <c r="D107" s="62" t="str">
        <f t="shared" si="36"/>
        <v>-</v>
      </c>
      <c r="E107" s="62" t="str">
        <f t="shared" si="37"/>
        <v>-</v>
      </c>
      <c r="F107" s="62" t="str">
        <f t="shared" si="38"/>
        <v>-</v>
      </c>
      <c r="G107" s="62" t="str">
        <f t="shared" si="39"/>
        <v>-</v>
      </c>
      <c r="J107" s="17" t="s">
        <v>35</v>
      </c>
      <c r="K107" s="40" t="s">
        <v>68</v>
      </c>
      <c r="M107" s="40" t="s">
        <v>86</v>
      </c>
      <c r="O107" s="25">
        <v>2</v>
      </c>
      <c r="P107" s="62" t="str">
        <f t="shared" si="40"/>
        <v>-</v>
      </c>
      <c r="Q107" s="62" t="str">
        <f t="shared" si="41"/>
        <v>-</v>
      </c>
      <c r="R107" s="62" t="str">
        <f t="shared" si="42"/>
        <v>-</v>
      </c>
      <c r="S107" s="62">
        <f t="shared" si="43"/>
        <v>2</v>
      </c>
      <c r="T107" s="62" t="str">
        <f t="shared" si="44"/>
        <v>-</v>
      </c>
      <c r="V107" s="32">
        <f t="shared" si="45"/>
        <v>6</v>
      </c>
      <c r="Z107" s="25">
        <v>1</v>
      </c>
      <c r="AA107" s="54">
        <f t="shared" si="46"/>
        <v>0</v>
      </c>
      <c r="AB107" s="54">
        <f t="shared" si="47"/>
        <v>0</v>
      </c>
      <c r="AC107" s="54">
        <f t="shared" si="48"/>
        <v>0</v>
      </c>
      <c r="AD107" s="54">
        <f t="shared" si="49"/>
        <v>0</v>
      </c>
      <c r="AE107" s="54">
        <f t="shared" si="50"/>
        <v>0</v>
      </c>
      <c r="AG107" s="32">
        <f t="shared" si="51"/>
        <v>5</v>
      </c>
      <c r="AK107" s="25">
        <v>1</v>
      </c>
      <c r="AL107" s="54">
        <f t="shared" si="52"/>
        <v>0</v>
      </c>
      <c r="AM107" s="54">
        <f t="shared" si="53"/>
        <v>0</v>
      </c>
      <c r="AN107" s="54">
        <f t="shared" si="54"/>
        <v>0</v>
      </c>
      <c r="AO107" s="54">
        <f t="shared" si="55"/>
        <v>0</v>
      </c>
      <c r="AP107" s="54">
        <f t="shared" si="56"/>
        <v>0</v>
      </c>
      <c r="AR107" s="32">
        <f t="shared" si="57"/>
        <v>4</v>
      </c>
      <c r="AV107" s="25">
        <v>1</v>
      </c>
      <c r="AW107" s="54">
        <f t="shared" si="58"/>
        <v>0</v>
      </c>
      <c r="AX107" s="54">
        <f t="shared" si="59"/>
        <v>0</v>
      </c>
      <c r="AY107" s="54">
        <f t="shared" si="60"/>
        <v>0</v>
      </c>
      <c r="AZ107" s="54">
        <f t="shared" si="61"/>
        <v>0</v>
      </c>
      <c r="BA107" s="54">
        <f t="shared" si="62"/>
        <v>0</v>
      </c>
      <c r="BC107" s="32">
        <f t="shared" si="63"/>
        <v>3</v>
      </c>
      <c r="BG107" s="25">
        <v>1</v>
      </c>
      <c r="BH107" s="54">
        <f t="shared" si="64"/>
        <v>0</v>
      </c>
      <c r="BI107" s="54">
        <f t="shared" si="65"/>
        <v>0</v>
      </c>
      <c r="BJ107" s="54">
        <f t="shared" si="66"/>
        <v>0</v>
      </c>
      <c r="BK107" s="54">
        <f t="shared" si="67"/>
        <v>0</v>
      </c>
      <c r="BL107" s="54">
        <f t="shared" si="68"/>
        <v>0</v>
      </c>
      <c r="BN107" s="25">
        <f t="shared" si="69"/>
        <v>1</v>
      </c>
      <c r="BS107" s="39"/>
      <c r="BT107" s="39"/>
      <c r="BU107" s="39"/>
      <c r="BV107" s="39"/>
      <c r="BW107" s="39"/>
    </row>
    <row r="108" spans="3:75" x14ac:dyDescent="0.25">
      <c r="C108" s="62" t="str">
        <f t="shared" si="35"/>
        <v>-</v>
      </c>
      <c r="D108" s="62" t="str">
        <f t="shared" si="36"/>
        <v>-</v>
      </c>
      <c r="E108" s="62" t="str">
        <f t="shared" si="37"/>
        <v>-</v>
      </c>
      <c r="F108" s="62" t="str">
        <f t="shared" si="38"/>
        <v>-</v>
      </c>
      <c r="G108" s="62" t="str">
        <f t="shared" si="39"/>
        <v>-</v>
      </c>
      <c r="J108" s="17" t="s">
        <v>35</v>
      </c>
      <c r="K108" s="40" t="s">
        <v>84</v>
      </c>
      <c r="M108" s="40" t="s">
        <v>82</v>
      </c>
      <c r="O108" s="25">
        <v>1</v>
      </c>
      <c r="P108" s="62" t="str">
        <f t="shared" si="40"/>
        <v>-</v>
      </c>
      <c r="Q108" s="62" t="str">
        <f t="shared" si="41"/>
        <v>-</v>
      </c>
      <c r="R108" s="62">
        <f t="shared" si="42"/>
        <v>2</v>
      </c>
      <c r="S108" s="62">
        <f t="shared" si="43"/>
        <v>2</v>
      </c>
      <c r="T108" s="62" t="str">
        <f t="shared" si="44"/>
        <v>-</v>
      </c>
      <c r="V108" s="32">
        <f t="shared" si="45"/>
        <v>6</v>
      </c>
      <c r="Z108" s="25">
        <v>1</v>
      </c>
      <c r="AA108" s="54">
        <f t="shared" si="46"/>
        <v>0</v>
      </c>
      <c r="AB108" s="54">
        <f t="shared" si="47"/>
        <v>0</v>
      </c>
      <c r="AC108" s="54">
        <f t="shared" si="48"/>
        <v>0</v>
      </c>
      <c r="AD108" s="54">
        <f t="shared" si="49"/>
        <v>0</v>
      </c>
      <c r="AE108" s="54">
        <f t="shared" si="50"/>
        <v>0</v>
      </c>
      <c r="AG108" s="32">
        <f t="shared" si="51"/>
        <v>5</v>
      </c>
      <c r="AK108" s="25">
        <v>1</v>
      </c>
      <c r="AL108" s="54">
        <f t="shared" si="52"/>
        <v>0</v>
      </c>
      <c r="AM108" s="54">
        <f t="shared" si="53"/>
        <v>0</v>
      </c>
      <c r="AN108" s="54">
        <f t="shared" si="54"/>
        <v>0</v>
      </c>
      <c r="AO108" s="54">
        <f t="shared" si="55"/>
        <v>0</v>
      </c>
      <c r="AP108" s="54">
        <f t="shared" si="56"/>
        <v>0</v>
      </c>
      <c r="AR108" s="32">
        <f t="shared" si="57"/>
        <v>4</v>
      </c>
      <c r="AV108" s="25">
        <v>1</v>
      </c>
      <c r="AW108" s="54">
        <f t="shared" si="58"/>
        <v>0</v>
      </c>
      <c r="AX108" s="54">
        <f t="shared" si="59"/>
        <v>0</v>
      </c>
      <c r="AY108" s="54">
        <f t="shared" si="60"/>
        <v>0</v>
      </c>
      <c r="AZ108" s="54">
        <f t="shared" si="61"/>
        <v>0</v>
      </c>
      <c r="BA108" s="54">
        <f t="shared" si="62"/>
        <v>0</v>
      </c>
      <c r="BC108" s="32">
        <f t="shared" si="63"/>
        <v>3</v>
      </c>
      <c r="BG108" s="25">
        <v>1</v>
      </c>
      <c r="BH108" s="54">
        <f t="shared" si="64"/>
        <v>0</v>
      </c>
      <c r="BI108" s="54">
        <f t="shared" si="65"/>
        <v>0</v>
      </c>
      <c r="BJ108" s="54">
        <f t="shared" si="66"/>
        <v>0</v>
      </c>
      <c r="BK108" s="54">
        <f t="shared" si="67"/>
        <v>0</v>
      </c>
      <c r="BL108" s="54">
        <f t="shared" si="68"/>
        <v>0</v>
      </c>
      <c r="BN108" s="25">
        <f t="shared" si="69"/>
        <v>1</v>
      </c>
      <c r="BS108" s="39"/>
      <c r="BT108" s="39"/>
      <c r="BU108" s="39"/>
      <c r="BV108" s="39"/>
      <c r="BW108" s="39"/>
    </row>
    <row r="109" spans="3:75" x14ac:dyDescent="0.25">
      <c r="C109" s="62" t="str">
        <f t="shared" si="35"/>
        <v>-</v>
      </c>
      <c r="D109" s="62" t="str">
        <f t="shared" si="36"/>
        <v>-</v>
      </c>
      <c r="E109" s="62" t="str">
        <f t="shared" si="37"/>
        <v>-</v>
      </c>
      <c r="F109" s="62" t="str">
        <f t="shared" si="38"/>
        <v>-</v>
      </c>
      <c r="G109" s="62" t="str">
        <f t="shared" si="39"/>
        <v>-</v>
      </c>
      <c r="J109" s="17" t="s">
        <v>35</v>
      </c>
      <c r="K109" s="40" t="s">
        <v>84</v>
      </c>
      <c r="M109" s="40" t="s">
        <v>85</v>
      </c>
      <c r="O109" s="25">
        <v>4</v>
      </c>
      <c r="P109" s="62" t="str">
        <f t="shared" si="40"/>
        <v>-</v>
      </c>
      <c r="Q109" s="62" t="str">
        <f t="shared" si="41"/>
        <v>-</v>
      </c>
      <c r="R109" s="62">
        <f t="shared" si="42"/>
        <v>8</v>
      </c>
      <c r="S109" s="62">
        <f t="shared" si="43"/>
        <v>8</v>
      </c>
      <c r="T109" s="62" t="str">
        <f t="shared" si="44"/>
        <v>-</v>
      </c>
      <c r="V109" s="32">
        <f t="shared" si="45"/>
        <v>6</v>
      </c>
      <c r="Z109" s="25">
        <v>1</v>
      </c>
      <c r="AA109" s="54">
        <f t="shared" si="46"/>
        <v>0</v>
      </c>
      <c r="AB109" s="54">
        <f t="shared" si="47"/>
        <v>0</v>
      </c>
      <c r="AC109" s="54">
        <f t="shared" si="48"/>
        <v>0</v>
      </c>
      <c r="AD109" s="54">
        <f t="shared" si="49"/>
        <v>0</v>
      </c>
      <c r="AE109" s="54">
        <f t="shared" si="50"/>
        <v>0</v>
      </c>
      <c r="AG109" s="32">
        <f t="shared" si="51"/>
        <v>5</v>
      </c>
      <c r="AK109" s="25">
        <v>1</v>
      </c>
      <c r="AL109" s="54">
        <f t="shared" si="52"/>
        <v>0</v>
      </c>
      <c r="AM109" s="54">
        <f t="shared" si="53"/>
        <v>0</v>
      </c>
      <c r="AN109" s="54">
        <f t="shared" si="54"/>
        <v>0</v>
      </c>
      <c r="AO109" s="54">
        <f t="shared" si="55"/>
        <v>0</v>
      </c>
      <c r="AP109" s="54">
        <f t="shared" si="56"/>
        <v>0</v>
      </c>
      <c r="AR109" s="32">
        <f t="shared" si="57"/>
        <v>4</v>
      </c>
      <c r="AV109" s="25">
        <v>1</v>
      </c>
      <c r="AW109" s="54">
        <f t="shared" si="58"/>
        <v>0</v>
      </c>
      <c r="AX109" s="54">
        <f t="shared" si="59"/>
        <v>0</v>
      </c>
      <c r="AY109" s="54">
        <f t="shared" si="60"/>
        <v>0</v>
      </c>
      <c r="AZ109" s="54">
        <f t="shared" si="61"/>
        <v>0</v>
      </c>
      <c r="BA109" s="54">
        <f t="shared" si="62"/>
        <v>0</v>
      </c>
      <c r="BC109" s="32">
        <f t="shared" si="63"/>
        <v>3</v>
      </c>
      <c r="BG109" s="25">
        <v>1</v>
      </c>
      <c r="BH109" s="54">
        <f t="shared" si="64"/>
        <v>0</v>
      </c>
      <c r="BI109" s="54">
        <f t="shared" si="65"/>
        <v>0</v>
      </c>
      <c r="BJ109" s="54">
        <f t="shared" si="66"/>
        <v>0</v>
      </c>
      <c r="BK109" s="54">
        <f t="shared" si="67"/>
        <v>0</v>
      </c>
      <c r="BL109" s="54">
        <f t="shared" si="68"/>
        <v>0</v>
      </c>
      <c r="BN109" s="25">
        <f t="shared" si="69"/>
        <v>1</v>
      </c>
      <c r="BS109" s="39"/>
      <c r="BT109" s="39"/>
      <c r="BU109" s="39"/>
      <c r="BV109" s="39"/>
      <c r="BW109" s="39"/>
    </row>
    <row r="110" spans="3:75" x14ac:dyDescent="0.25">
      <c r="C110" s="62" t="str">
        <f t="shared" si="35"/>
        <v>-</v>
      </c>
      <c r="D110" s="62" t="str">
        <f t="shared" si="36"/>
        <v>-</v>
      </c>
      <c r="E110" s="62" t="str">
        <f t="shared" si="37"/>
        <v>-</v>
      </c>
      <c r="F110" s="62" t="str">
        <f t="shared" si="38"/>
        <v>-</v>
      </c>
      <c r="G110" s="62" t="str">
        <f t="shared" si="39"/>
        <v>-</v>
      </c>
      <c r="J110" s="17" t="s">
        <v>75</v>
      </c>
      <c r="K110" s="32" t="s">
        <v>89</v>
      </c>
      <c r="L110" s="32" t="s">
        <v>87</v>
      </c>
      <c r="M110" s="40" t="s">
        <v>93</v>
      </c>
      <c r="O110" s="25">
        <v>1</v>
      </c>
      <c r="P110" s="62" t="str">
        <f t="shared" si="40"/>
        <v>-</v>
      </c>
      <c r="Q110" s="62" t="str">
        <f t="shared" si="41"/>
        <v>-</v>
      </c>
      <c r="R110" s="62" t="str">
        <f t="shared" si="42"/>
        <v>-</v>
      </c>
      <c r="S110" s="62">
        <f t="shared" si="43"/>
        <v>1</v>
      </c>
      <c r="T110" s="62" t="str">
        <f t="shared" si="44"/>
        <v>-</v>
      </c>
      <c r="V110" s="32">
        <f t="shared" si="45"/>
        <v>6</v>
      </c>
      <c r="Z110" s="25">
        <v>1</v>
      </c>
      <c r="AA110" s="54">
        <f t="shared" si="46"/>
        <v>0</v>
      </c>
      <c r="AB110" s="54">
        <f t="shared" si="47"/>
        <v>0</v>
      </c>
      <c r="AC110" s="54">
        <f t="shared" si="48"/>
        <v>0</v>
      </c>
      <c r="AD110" s="54">
        <f t="shared" si="49"/>
        <v>0</v>
      </c>
      <c r="AE110" s="54">
        <f t="shared" si="50"/>
        <v>0</v>
      </c>
      <c r="AG110" s="32">
        <f t="shared" si="51"/>
        <v>5</v>
      </c>
      <c r="AK110" s="25">
        <v>1</v>
      </c>
      <c r="AL110" s="54">
        <f t="shared" si="52"/>
        <v>0</v>
      </c>
      <c r="AM110" s="54">
        <f t="shared" si="53"/>
        <v>0</v>
      </c>
      <c r="AN110" s="54">
        <f t="shared" si="54"/>
        <v>0</v>
      </c>
      <c r="AO110" s="54">
        <f t="shared" si="55"/>
        <v>0</v>
      </c>
      <c r="AP110" s="54">
        <f t="shared" si="56"/>
        <v>0</v>
      </c>
      <c r="AR110" s="32">
        <f t="shared" si="57"/>
        <v>4</v>
      </c>
      <c r="AV110" s="25">
        <v>1</v>
      </c>
      <c r="AW110" s="54">
        <f t="shared" si="58"/>
        <v>0</v>
      </c>
      <c r="AX110" s="54">
        <f t="shared" si="59"/>
        <v>0</v>
      </c>
      <c r="AY110" s="54">
        <f t="shared" si="60"/>
        <v>0</v>
      </c>
      <c r="AZ110" s="54">
        <f t="shared" si="61"/>
        <v>0</v>
      </c>
      <c r="BA110" s="54">
        <f t="shared" si="62"/>
        <v>0</v>
      </c>
      <c r="BC110" s="32">
        <f t="shared" si="63"/>
        <v>3</v>
      </c>
      <c r="BG110" s="25">
        <v>1</v>
      </c>
      <c r="BH110" s="54">
        <f t="shared" si="64"/>
        <v>0</v>
      </c>
      <c r="BI110" s="54">
        <f t="shared" si="65"/>
        <v>0</v>
      </c>
      <c r="BJ110" s="54">
        <f t="shared" si="66"/>
        <v>0</v>
      </c>
      <c r="BK110" s="54">
        <f t="shared" si="67"/>
        <v>0</v>
      </c>
      <c r="BL110" s="54">
        <f t="shared" si="68"/>
        <v>0</v>
      </c>
      <c r="BN110" s="25">
        <f t="shared" si="69"/>
        <v>1</v>
      </c>
      <c r="BS110" s="39"/>
      <c r="BT110" s="39"/>
      <c r="BU110" s="39"/>
      <c r="BV110" s="39"/>
      <c r="BW110" s="39"/>
    </row>
    <row r="111" spans="3:75" x14ac:dyDescent="0.25">
      <c r="C111" s="62" t="str">
        <f t="shared" si="35"/>
        <v>-</v>
      </c>
      <c r="D111" s="62" t="str">
        <f t="shared" si="36"/>
        <v>-</v>
      </c>
      <c r="E111" s="62" t="str">
        <f t="shared" si="37"/>
        <v>-</v>
      </c>
      <c r="F111" s="62" t="str">
        <f t="shared" si="38"/>
        <v>-</v>
      </c>
      <c r="G111" s="62" t="str">
        <f t="shared" si="39"/>
        <v>-</v>
      </c>
      <c r="J111" s="17" t="s">
        <v>75</v>
      </c>
      <c r="K111" s="32" t="s">
        <v>58</v>
      </c>
      <c r="L111" s="32" t="s">
        <v>45</v>
      </c>
      <c r="M111" s="40" t="s">
        <v>79</v>
      </c>
      <c r="O111" s="25">
        <v>1</v>
      </c>
      <c r="P111" s="62">
        <f t="shared" si="40"/>
        <v>1</v>
      </c>
      <c r="Q111" s="62">
        <f t="shared" si="41"/>
        <v>1</v>
      </c>
      <c r="R111" s="62" t="str">
        <f t="shared" si="42"/>
        <v>-</v>
      </c>
      <c r="S111" s="62" t="str">
        <f t="shared" si="43"/>
        <v>-</v>
      </c>
      <c r="T111" s="62" t="str">
        <f t="shared" si="44"/>
        <v>-</v>
      </c>
      <c r="V111" s="32">
        <f t="shared" si="45"/>
        <v>6</v>
      </c>
      <c r="Z111" s="25">
        <v>1</v>
      </c>
      <c r="AA111" s="54">
        <f t="shared" si="46"/>
        <v>0</v>
      </c>
      <c r="AB111" s="54">
        <f t="shared" si="47"/>
        <v>0</v>
      </c>
      <c r="AC111" s="54">
        <f t="shared" si="48"/>
        <v>0</v>
      </c>
      <c r="AD111" s="54">
        <f t="shared" si="49"/>
        <v>0</v>
      </c>
      <c r="AE111" s="54">
        <f t="shared" si="50"/>
        <v>0</v>
      </c>
      <c r="AG111" s="32">
        <f t="shared" si="51"/>
        <v>5</v>
      </c>
      <c r="AK111" s="25">
        <v>1</v>
      </c>
      <c r="AL111" s="54">
        <f t="shared" si="52"/>
        <v>0</v>
      </c>
      <c r="AM111" s="54">
        <f t="shared" si="53"/>
        <v>0</v>
      </c>
      <c r="AN111" s="54">
        <f t="shared" si="54"/>
        <v>0</v>
      </c>
      <c r="AO111" s="54">
        <f t="shared" si="55"/>
        <v>0</v>
      </c>
      <c r="AP111" s="54">
        <f t="shared" si="56"/>
        <v>0</v>
      </c>
      <c r="AR111" s="32">
        <f t="shared" si="57"/>
        <v>4</v>
      </c>
      <c r="AV111" s="25">
        <v>1</v>
      </c>
      <c r="AW111" s="54">
        <f t="shared" si="58"/>
        <v>0</v>
      </c>
      <c r="AX111" s="54">
        <f t="shared" si="59"/>
        <v>0</v>
      </c>
      <c r="AY111" s="54">
        <f t="shared" si="60"/>
        <v>0</v>
      </c>
      <c r="AZ111" s="54">
        <f t="shared" si="61"/>
        <v>0</v>
      </c>
      <c r="BA111" s="54">
        <f t="shared" si="62"/>
        <v>0</v>
      </c>
      <c r="BC111" s="32">
        <f t="shared" si="63"/>
        <v>3</v>
      </c>
      <c r="BG111" s="25">
        <v>1</v>
      </c>
      <c r="BH111" s="54">
        <f t="shared" si="64"/>
        <v>0</v>
      </c>
      <c r="BI111" s="54">
        <f t="shared" si="65"/>
        <v>0</v>
      </c>
      <c r="BJ111" s="54">
        <f t="shared" si="66"/>
        <v>0</v>
      </c>
      <c r="BK111" s="54">
        <f t="shared" si="67"/>
        <v>0</v>
      </c>
      <c r="BL111" s="54">
        <f t="shared" si="68"/>
        <v>0</v>
      </c>
      <c r="BN111" s="25">
        <f t="shared" si="69"/>
        <v>1</v>
      </c>
      <c r="BS111" s="39"/>
      <c r="BT111" s="39"/>
      <c r="BU111" s="39"/>
      <c r="BV111" s="39"/>
      <c r="BW111" s="39"/>
    </row>
    <row r="112" spans="3:75" x14ac:dyDescent="0.25">
      <c r="C112" s="62" t="str">
        <f t="shared" si="35"/>
        <v>-</v>
      </c>
      <c r="D112" s="62" t="str">
        <f t="shared" si="36"/>
        <v>-</v>
      </c>
      <c r="E112" s="62" t="str">
        <f t="shared" si="37"/>
        <v>-</v>
      </c>
      <c r="F112" s="62" t="str">
        <f t="shared" si="38"/>
        <v>-</v>
      </c>
      <c r="G112" s="62" t="str">
        <f t="shared" si="39"/>
        <v>-</v>
      </c>
      <c r="J112" s="17" t="s">
        <v>75</v>
      </c>
      <c r="K112" s="32" t="s">
        <v>58</v>
      </c>
      <c r="L112" s="32" t="s">
        <v>44</v>
      </c>
      <c r="M112" s="40" t="s">
        <v>79</v>
      </c>
      <c r="O112" s="25">
        <v>1</v>
      </c>
      <c r="P112" s="62">
        <f t="shared" si="40"/>
        <v>1</v>
      </c>
      <c r="Q112" s="62">
        <f t="shared" si="41"/>
        <v>1</v>
      </c>
      <c r="R112" s="62" t="str">
        <f t="shared" si="42"/>
        <v>-</v>
      </c>
      <c r="S112" s="62" t="str">
        <f t="shared" si="43"/>
        <v>-</v>
      </c>
      <c r="T112" s="62" t="str">
        <f t="shared" si="44"/>
        <v>-</v>
      </c>
      <c r="V112" s="32">
        <f t="shared" si="45"/>
        <v>6</v>
      </c>
      <c r="Z112" s="25">
        <v>1</v>
      </c>
      <c r="AA112" s="54">
        <f t="shared" si="46"/>
        <v>0</v>
      </c>
      <c r="AB112" s="54">
        <f t="shared" si="47"/>
        <v>0</v>
      </c>
      <c r="AC112" s="54">
        <f t="shared" si="48"/>
        <v>0</v>
      </c>
      <c r="AD112" s="54">
        <f t="shared" si="49"/>
        <v>0</v>
      </c>
      <c r="AE112" s="54">
        <f t="shared" si="50"/>
        <v>0</v>
      </c>
      <c r="AG112" s="32">
        <f t="shared" si="51"/>
        <v>5</v>
      </c>
      <c r="AK112" s="25">
        <v>1</v>
      </c>
      <c r="AL112" s="54">
        <f t="shared" si="52"/>
        <v>0</v>
      </c>
      <c r="AM112" s="54">
        <f t="shared" si="53"/>
        <v>0</v>
      </c>
      <c r="AN112" s="54">
        <f t="shared" si="54"/>
        <v>0</v>
      </c>
      <c r="AO112" s="54">
        <f t="shared" si="55"/>
        <v>0</v>
      </c>
      <c r="AP112" s="54">
        <f t="shared" si="56"/>
        <v>0</v>
      </c>
      <c r="AR112" s="32">
        <f t="shared" si="57"/>
        <v>4</v>
      </c>
      <c r="AV112" s="25">
        <v>1</v>
      </c>
      <c r="AW112" s="54">
        <f t="shared" si="58"/>
        <v>0</v>
      </c>
      <c r="AX112" s="54">
        <f t="shared" si="59"/>
        <v>0</v>
      </c>
      <c r="AY112" s="54">
        <f t="shared" si="60"/>
        <v>0</v>
      </c>
      <c r="AZ112" s="54">
        <f t="shared" si="61"/>
        <v>0</v>
      </c>
      <c r="BA112" s="54">
        <f t="shared" si="62"/>
        <v>0</v>
      </c>
      <c r="BC112" s="32">
        <f t="shared" si="63"/>
        <v>3</v>
      </c>
      <c r="BG112" s="25">
        <v>1</v>
      </c>
      <c r="BH112" s="54">
        <f t="shared" si="64"/>
        <v>0</v>
      </c>
      <c r="BI112" s="54">
        <f t="shared" si="65"/>
        <v>0</v>
      </c>
      <c r="BJ112" s="54">
        <f t="shared" si="66"/>
        <v>0</v>
      </c>
      <c r="BK112" s="54">
        <f t="shared" si="67"/>
        <v>0</v>
      </c>
      <c r="BL112" s="54">
        <f t="shared" si="68"/>
        <v>0</v>
      </c>
      <c r="BN112" s="25">
        <f t="shared" si="69"/>
        <v>1</v>
      </c>
      <c r="BS112" s="39"/>
      <c r="BT112" s="39"/>
      <c r="BU112" s="39"/>
      <c r="BV112" s="39"/>
      <c r="BW112" s="39"/>
    </row>
    <row r="113" spans="3:75" x14ac:dyDescent="0.25">
      <c r="C113" s="62" t="str">
        <f t="shared" si="35"/>
        <v>-</v>
      </c>
      <c r="D113" s="62" t="str">
        <f t="shared" si="36"/>
        <v>-</v>
      </c>
      <c r="E113" s="62" t="str">
        <f t="shared" si="37"/>
        <v>-</v>
      </c>
      <c r="F113" s="62" t="str">
        <f t="shared" si="38"/>
        <v>-</v>
      </c>
      <c r="G113" s="62" t="str">
        <f t="shared" si="39"/>
        <v>-</v>
      </c>
      <c r="J113" s="17" t="s">
        <v>75</v>
      </c>
      <c r="K113" s="32" t="s">
        <v>53</v>
      </c>
      <c r="M113" s="40" t="s">
        <v>78</v>
      </c>
      <c r="O113" s="25">
        <v>1</v>
      </c>
      <c r="P113" s="62">
        <f t="shared" si="40"/>
        <v>1</v>
      </c>
      <c r="Q113" s="62" t="str">
        <f t="shared" si="41"/>
        <v>-</v>
      </c>
      <c r="R113" s="62">
        <f t="shared" si="42"/>
        <v>1</v>
      </c>
      <c r="S113" s="62" t="str">
        <f t="shared" si="43"/>
        <v>-</v>
      </c>
      <c r="T113" s="62" t="str">
        <f t="shared" si="44"/>
        <v>-</v>
      </c>
      <c r="V113" s="32">
        <f t="shared" si="45"/>
        <v>6</v>
      </c>
      <c r="Z113" s="25">
        <v>1</v>
      </c>
      <c r="AA113" s="54">
        <f t="shared" si="46"/>
        <v>0</v>
      </c>
      <c r="AB113" s="54">
        <f t="shared" si="47"/>
        <v>0</v>
      </c>
      <c r="AC113" s="54">
        <f t="shared" si="48"/>
        <v>0</v>
      </c>
      <c r="AD113" s="54">
        <f t="shared" si="49"/>
        <v>0</v>
      </c>
      <c r="AE113" s="54">
        <f t="shared" si="50"/>
        <v>0</v>
      </c>
      <c r="AG113" s="32">
        <f t="shared" si="51"/>
        <v>5</v>
      </c>
      <c r="AK113" s="25">
        <v>1</v>
      </c>
      <c r="AL113" s="54">
        <f t="shared" si="52"/>
        <v>0</v>
      </c>
      <c r="AM113" s="54">
        <f t="shared" si="53"/>
        <v>0</v>
      </c>
      <c r="AN113" s="54">
        <f t="shared" si="54"/>
        <v>0</v>
      </c>
      <c r="AO113" s="54">
        <f t="shared" si="55"/>
        <v>0</v>
      </c>
      <c r="AP113" s="54">
        <f t="shared" si="56"/>
        <v>0</v>
      </c>
      <c r="AR113" s="32">
        <f t="shared" si="57"/>
        <v>4</v>
      </c>
      <c r="AV113" s="25">
        <v>1</v>
      </c>
      <c r="AW113" s="54">
        <f t="shared" si="58"/>
        <v>0</v>
      </c>
      <c r="AX113" s="54">
        <f t="shared" si="59"/>
        <v>0</v>
      </c>
      <c r="AY113" s="54">
        <f t="shared" si="60"/>
        <v>0</v>
      </c>
      <c r="AZ113" s="54">
        <f t="shared" si="61"/>
        <v>0</v>
      </c>
      <c r="BA113" s="54">
        <f t="shared" si="62"/>
        <v>0</v>
      </c>
      <c r="BC113" s="32">
        <f t="shared" si="63"/>
        <v>3</v>
      </c>
      <c r="BG113" s="25">
        <v>1</v>
      </c>
      <c r="BH113" s="54">
        <f t="shared" si="64"/>
        <v>0</v>
      </c>
      <c r="BI113" s="54">
        <f t="shared" si="65"/>
        <v>0</v>
      </c>
      <c r="BJ113" s="54">
        <f t="shared" si="66"/>
        <v>0</v>
      </c>
      <c r="BK113" s="54">
        <f t="shared" si="67"/>
        <v>0</v>
      </c>
      <c r="BL113" s="54">
        <f t="shared" si="68"/>
        <v>0</v>
      </c>
      <c r="BN113" s="25">
        <f t="shared" si="69"/>
        <v>1</v>
      </c>
      <c r="BS113" s="39"/>
      <c r="BT113" s="39"/>
      <c r="BU113" s="39"/>
      <c r="BV113" s="39"/>
      <c r="BW113" s="39"/>
    </row>
    <row r="114" spans="3:75" x14ac:dyDescent="0.25">
      <c r="C114" s="62" t="str">
        <f t="shared" si="35"/>
        <v>-</v>
      </c>
      <c r="D114" s="62" t="str">
        <f t="shared" si="36"/>
        <v>-</v>
      </c>
      <c r="E114" s="62" t="str">
        <f t="shared" si="37"/>
        <v>-</v>
      </c>
      <c r="F114" s="62" t="str">
        <f t="shared" si="38"/>
        <v>-</v>
      </c>
      <c r="G114" s="62" t="str">
        <f t="shared" si="39"/>
        <v>-</v>
      </c>
      <c r="J114" s="17" t="s">
        <v>75</v>
      </c>
      <c r="K114" s="32" t="s">
        <v>53</v>
      </c>
      <c r="M114" s="40" t="s">
        <v>76</v>
      </c>
      <c r="O114" s="25">
        <v>1</v>
      </c>
      <c r="P114" s="62">
        <f t="shared" si="40"/>
        <v>1</v>
      </c>
      <c r="Q114" s="62" t="str">
        <f t="shared" si="41"/>
        <v>-</v>
      </c>
      <c r="R114" s="62">
        <f t="shared" si="42"/>
        <v>1</v>
      </c>
      <c r="S114" s="62" t="str">
        <f t="shared" si="43"/>
        <v>-</v>
      </c>
      <c r="T114" s="62" t="str">
        <f t="shared" si="44"/>
        <v>-</v>
      </c>
      <c r="V114" s="32">
        <f t="shared" si="45"/>
        <v>6</v>
      </c>
      <c r="Z114" s="25">
        <v>1</v>
      </c>
      <c r="AA114" s="54">
        <f t="shared" si="46"/>
        <v>0</v>
      </c>
      <c r="AB114" s="54">
        <f t="shared" si="47"/>
        <v>0</v>
      </c>
      <c r="AC114" s="54">
        <f t="shared" si="48"/>
        <v>0</v>
      </c>
      <c r="AD114" s="54">
        <f t="shared" si="49"/>
        <v>0</v>
      </c>
      <c r="AE114" s="54">
        <f t="shared" si="50"/>
        <v>0</v>
      </c>
      <c r="AG114" s="32">
        <f t="shared" si="51"/>
        <v>5</v>
      </c>
      <c r="AK114" s="25">
        <v>1</v>
      </c>
      <c r="AL114" s="54">
        <f t="shared" si="52"/>
        <v>0</v>
      </c>
      <c r="AM114" s="54">
        <f t="shared" si="53"/>
        <v>0</v>
      </c>
      <c r="AN114" s="54">
        <f t="shared" si="54"/>
        <v>0</v>
      </c>
      <c r="AO114" s="54">
        <f t="shared" si="55"/>
        <v>0</v>
      </c>
      <c r="AP114" s="54">
        <f t="shared" si="56"/>
        <v>0</v>
      </c>
      <c r="AR114" s="32">
        <f t="shared" si="57"/>
        <v>4</v>
      </c>
      <c r="AV114" s="25">
        <v>1</v>
      </c>
      <c r="AW114" s="54">
        <f t="shared" si="58"/>
        <v>0</v>
      </c>
      <c r="AX114" s="54">
        <f t="shared" si="59"/>
        <v>0</v>
      </c>
      <c r="AY114" s="54">
        <f t="shared" si="60"/>
        <v>0</v>
      </c>
      <c r="AZ114" s="54">
        <f t="shared" si="61"/>
        <v>0</v>
      </c>
      <c r="BA114" s="54">
        <f t="shared" si="62"/>
        <v>0</v>
      </c>
      <c r="BC114" s="32">
        <f t="shared" si="63"/>
        <v>3</v>
      </c>
      <c r="BG114" s="25">
        <v>1</v>
      </c>
      <c r="BH114" s="54">
        <f t="shared" si="64"/>
        <v>0</v>
      </c>
      <c r="BI114" s="54">
        <f t="shared" si="65"/>
        <v>0</v>
      </c>
      <c r="BJ114" s="54">
        <f t="shared" si="66"/>
        <v>0</v>
      </c>
      <c r="BK114" s="54">
        <f t="shared" si="67"/>
        <v>0</v>
      </c>
      <c r="BL114" s="54">
        <f t="shared" si="68"/>
        <v>0</v>
      </c>
      <c r="BN114" s="25">
        <f t="shared" si="69"/>
        <v>1</v>
      </c>
      <c r="BS114" s="39"/>
      <c r="BT114" s="39"/>
      <c r="BU114" s="39"/>
      <c r="BV114" s="39"/>
      <c r="BW114" s="39"/>
    </row>
    <row r="115" spans="3:75" x14ac:dyDescent="0.25">
      <c r="C115" s="62" t="str">
        <f t="shared" si="35"/>
        <v>-</v>
      </c>
      <c r="D115" s="62" t="str">
        <f t="shared" si="36"/>
        <v>-</v>
      </c>
      <c r="E115" s="62" t="str">
        <f t="shared" si="37"/>
        <v>-</v>
      </c>
      <c r="F115" s="62" t="str">
        <f t="shared" si="38"/>
        <v>-</v>
      </c>
      <c r="G115" s="62" t="str">
        <f t="shared" si="39"/>
        <v>-</v>
      </c>
      <c r="J115" s="17" t="s">
        <v>75</v>
      </c>
      <c r="K115" s="32" t="s">
        <v>53</v>
      </c>
      <c r="M115" s="40" t="s">
        <v>77</v>
      </c>
      <c r="O115" s="25">
        <v>1</v>
      </c>
      <c r="P115" s="62">
        <f t="shared" si="40"/>
        <v>1</v>
      </c>
      <c r="Q115" s="62" t="str">
        <f t="shared" si="41"/>
        <v>-</v>
      </c>
      <c r="R115" s="62">
        <f t="shared" si="42"/>
        <v>1</v>
      </c>
      <c r="S115" s="62" t="str">
        <f t="shared" si="43"/>
        <v>-</v>
      </c>
      <c r="T115" s="62" t="str">
        <f t="shared" si="44"/>
        <v>-</v>
      </c>
      <c r="V115" s="32">
        <f t="shared" si="45"/>
        <v>6</v>
      </c>
      <c r="Z115" s="25">
        <v>1</v>
      </c>
      <c r="AA115" s="54">
        <f t="shared" si="46"/>
        <v>0</v>
      </c>
      <c r="AB115" s="54">
        <f t="shared" si="47"/>
        <v>0</v>
      </c>
      <c r="AC115" s="54">
        <f t="shared" si="48"/>
        <v>0</v>
      </c>
      <c r="AD115" s="54">
        <f t="shared" si="49"/>
        <v>0</v>
      </c>
      <c r="AE115" s="54">
        <f t="shared" si="50"/>
        <v>0</v>
      </c>
      <c r="AG115" s="32">
        <f t="shared" si="51"/>
        <v>5</v>
      </c>
      <c r="AK115" s="25">
        <v>1</v>
      </c>
      <c r="AL115" s="54">
        <f t="shared" si="52"/>
        <v>0</v>
      </c>
      <c r="AM115" s="54">
        <f t="shared" si="53"/>
        <v>0</v>
      </c>
      <c r="AN115" s="54">
        <f t="shared" si="54"/>
        <v>0</v>
      </c>
      <c r="AO115" s="54">
        <f t="shared" si="55"/>
        <v>0</v>
      </c>
      <c r="AP115" s="54">
        <f t="shared" si="56"/>
        <v>0</v>
      </c>
      <c r="AR115" s="32">
        <f t="shared" si="57"/>
        <v>4</v>
      </c>
      <c r="AV115" s="25">
        <v>1</v>
      </c>
      <c r="AW115" s="54">
        <f t="shared" si="58"/>
        <v>0</v>
      </c>
      <c r="AX115" s="54">
        <f t="shared" si="59"/>
        <v>0</v>
      </c>
      <c r="AY115" s="54">
        <f t="shared" si="60"/>
        <v>0</v>
      </c>
      <c r="AZ115" s="54">
        <f t="shared" si="61"/>
        <v>0</v>
      </c>
      <c r="BA115" s="54">
        <f t="shared" si="62"/>
        <v>0</v>
      </c>
      <c r="BC115" s="32">
        <f t="shared" si="63"/>
        <v>3</v>
      </c>
      <c r="BG115" s="25">
        <v>1</v>
      </c>
      <c r="BH115" s="54">
        <f t="shared" si="64"/>
        <v>0</v>
      </c>
      <c r="BI115" s="54">
        <f t="shared" si="65"/>
        <v>0</v>
      </c>
      <c r="BJ115" s="54">
        <f t="shared" si="66"/>
        <v>0</v>
      </c>
      <c r="BK115" s="54">
        <f t="shared" si="67"/>
        <v>0</v>
      </c>
      <c r="BL115" s="54">
        <f t="shared" si="68"/>
        <v>0</v>
      </c>
      <c r="BN115" s="25">
        <f t="shared" si="69"/>
        <v>1</v>
      </c>
      <c r="BS115" s="39"/>
      <c r="BT115" s="39"/>
      <c r="BU115" s="39"/>
      <c r="BV115" s="39"/>
      <c r="BW115" s="39"/>
    </row>
    <row r="116" spans="3:75" x14ac:dyDescent="0.25">
      <c r="C116" s="62" t="str">
        <f t="shared" si="35"/>
        <v>-</v>
      </c>
      <c r="D116" s="62" t="str">
        <f t="shared" si="36"/>
        <v>-</v>
      </c>
      <c r="E116" s="62" t="str">
        <f t="shared" si="37"/>
        <v>-</v>
      </c>
      <c r="F116" s="62" t="str">
        <f t="shared" si="38"/>
        <v>-</v>
      </c>
      <c r="G116" s="62" t="str">
        <f t="shared" si="39"/>
        <v>-</v>
      </c>
      <c r="J116" s="17" t="s">
        <v>75</v>
      </c>
      <c r="K116" s="32" t="s">
        <v>62</v>
      </c>
      <c r="L116" s="32" t="s">
        <v>45</v>
      </c>
      <c r="M116" s="40" t="s">
        <v>90</v>
      </c>
      <c r="O116" s="25">
        <v>4</v>
      </c>
      <c r="P116" s="62" t="str">
        <f t="shared" si="40"/>
        <v>-</v>
      </c>
      <c r="Q116" s="62" t="str">
        <f t="shared" si="41"/>
        <v>-</v>
      </c>
      <c r="R116" s="62">
        <f t="shared" si="42"/>
        <v>8</v>
      </c>
      <c r="S116" s="62" t="str">
        <f t="shared" si="43"/>
        <v>-</v>
      </c>
      <c r="T116" s="62" t="str">
        <f t="shared" si="44"/>
        <v>-</v>
      </c>
      <c r="V116" s="32">
        <f t="shared" si="45"/>
        <v>6</v>
      </c>
      <c r="Z116" s="25">
        <v>1</v>
      </c>
      <c r="AA116" s="54">
        <f t="shared" si="46"/>
        <v>0</v>
      </c>
      <c r="AB116" s="54">
        <f t="shared" si="47"/>
        <v>0</v>
      </c>
      <c r="AC116" s="54">
        <f t="shared" si="48"/>
        <v>0</v>
      </c>
      <c r="AD116" s="54">
        <f t="shared" si="49"/>
        <v>0</v>
      </c>
      <c r="AE116" s="54">
        <f t="shared" si="50"/>
        <v>0</v>
      </c>
      <c r="AG116" s="32">
        <f t="shared" si="51"/>
        <v>5</v>
      </c>
      <c r="AK116" s="25">
        <v>1</v>
      </c>
      <c r="AL116" s="54">
        <f t="shared" si="52"/>
        <v>0</v>
      </c>
      <c r="AM116" s="54">
        <f t="shared" si="53"/>
        <v>0</v>
      </c>
      <c r="AN116" s="54">
        <f t="shared" si="54"/>
        <v>0</v>
      </c>
      <c r="AO116" s="54">
        <f t="shared" si="55"/>
        <v>0</v>
      </c>
      <c r="AP116" s="54">
        <f t="shared" si="56"/>
        <v>0</v>
      </c>
      <c r="AR116" s="32">
        <f t="shared" si="57"/>
        <v>4</v>
      </c>
      <c r="AV116" s="25">
        <v>1</v>
      </c>
      <c r="AW116" s="54">
        <f t="shared" si="58"/>
        <v>0</v>
      </c>
      <c r="AX116" s="54">
        <f t="shared" si="59"/>
        <v>0</v>
      </c>
      <c r="AY116" s="54">
        <f t="shared" si="60"/>
        <v>0</v>
      </c>
      <c r="AZ116" s="54">
        <f t="shared" si="61"/>
        <v>0</v>
      </c>
      <c r="BA116" s="54">
        <f t="shared" si="62"/>
        <v>0</v>
      </c>
      <c r="BC116" s="32">
        <f t="shared" si="63"/>
        <v>3</v>
      </c>
      <c r="BG116" s="25">
        <v>1</v>
      </c>
      <c r="BH116" s="54">
        <f t="shared" si="64"/>
        <v>0</v>
      </c>
      <c r="BI116" s="54">
        <f t="shared" si="65"/>
        <v>0</v>
      </c>
      <c r="BJ116" s="54">
        <f t="shared" si="66"/>
        <v>0</v>
      </c>
      <c r="BK116" s="54">
        <f t="shared" si="67"/>
        <v>0</v>
      </c>
      <c r="BL116" s="54">
        <f t="shared" si="68"/>
        <v>0</v>
      </c>
      <c r="BN116" s="25">
        <f t="shared" si="69"/>
        <v>1</v>
      </c>
      <c r="BS116" s="39"/>
      <c r="BT116" s="39"/>
      <c r="BU116" s="39"/>
      <c r="BV116" s="39"/>
      <c r="BW116" s="39"/>
    </row>
    <row r="117" spans="3:75" x14ac:dyDescent="0.25">
      <c r="C117" s="62" t="str">
        <f t="shared" si="35"/>
        <v>-</v>
      </c>
      <c r="D117" s="62" t="str">
        <f t="shared" si="36"/>
        <v>-</v>
      </c>
      <c r="E117" s="62" t="str">
        <f t="shared" si="37"/>
        <v>-</v>
      </c>
      <c r="F117" s="62" t="str">
        <f t="shared" si="38"/>
        <v>-</v>
      </c>
      <c r="G117" s="62" t="str">
        <f t="shared" si="39"/>
        <v>-</v>
      </c>
      <c r="J117" s="17" t="s">
        <v>75</v>
      </c>
      <c r="K117" s="32" t="s">
        <v>62</v>
      </c>
      <c r="L117" s="32" t="s">
        <v>88</v>
      </c>
      <c r="M117" s="40" t="s">
        <v>87</v>
      </c>
      <c r="O117" s="25">
        <v>1</v>
      </c>
      <c r="P117" s="62" t="str">
        <f t="shared" si="40"/>
        <v>-</v>
      </c>
      <c r="Q117" s="62" t="str">
        <f t="shared" si="41"/>
        <v>-</v>
      </c>
      <c r="R117" s="62">
        <f t="shared" si="42"/>
        <v>2</v>
      </c>
      <c r="S117" s="62" t="str">
        <f t="shared" si="43"/>
        <v>-</v>
      </c>
      <c r="T117" s="62" t="str">
        <f t="shared" si="44"/>
        <v>-</v>
      </c>
      <c r="V117" s="32">
        <f t="shared" si="45"/>
        <v>6</v>
      </c>
      <c r="Z117" s="25">
        <v>1</v>
      </c>
      <c r="AA117" s="54">
        <f t="shared" si="46"/>
        <v>0</v>
      </c>
      <c r="AB117" s="54">
        <f t="shared" si="47"/>
        <v>0</v>
      </c>
      <c r="AC117" s="54">
        <f t="shared" si="48"/>
        <v>0</v>
      </c>
      <c r="AD117" s="54">
        <f t="shared" si="49"/>
        <v>0</v>
      </c>
      <c r="AE117" s="54">
        <f t="shared" si="50"/>
        <v>0</v>
      </c>
      <c r="AG117" s="32">
        <f t="shared" si="51"/>
        <v>5</v>
      </c>
      <c r="AK117" s="25">
        <v>1</v>
      </c>
      <c r="AL117" s="54">
        <f t="shared" si="52"/>
        <v>0</v>
      </c>
      <c r="AM117" s="54">
        <f t="shared" si="53"/>
        <v>0</v>
      </c>
      <c r="AN117" s="54">
        <f t="shared" si="54"/>
        <v>0</v>
      </c>
      <c r="AO117" s="54">
        <f t="shared" si="55"/>
        <v>0</v>
      </c>
      <c r="AP117" s="54">
        <f t="shared" si="56"/>
        <v>0</v>
      </c>
      <c r="AR117" s="32">
        <f t="shared" si="57"/>
        <v>4</v>
      </c>
      <c r="AV117" s="25">
        <v>1</v>
      </c>
      <c r="AW117" s="54">
        <f t="shared" si="58"/>
        <v>0</v>
      </c>
      <c r="AX117" s="54">
        <f t="shared" si="59"/>
        <v>0</v>
      </c>
      <c r="AY117" s="54">
        <f t="shared" si="60"/>
        <v>0</v>
      </c>
      <c r="AZ117" s="54">
        <f t="shared" si="61"/>
        <v>0</v>
      </c>
      <c r="BA117" s="54">
        <f t="shared" si="62"/>
        <v>0</v>
      </c>
      <c r="BC117" s="32">
        <f t="shared" si="63"/>
        <v>3</v>
      </c>
      <c r="BG117" s="25">
        <v>1</v>
      </c>
      <c r="BH117" s="54">
        <f t="shared" si="64"/>
        <v>0</v>
      </c>
      <c r="BI117" s="54">
        <f t="shared" si="65"/>
        <v>0</v>
      </c>
      <c r="BJ117" s="54">
        <f t="shared" si="66"/>
        <v>0</v>
      </c>
      <c r="BK117" s="54">
        <f t="shared" si="67"/>
        <v>0</v>
      </c>
      <c r="BL117" s="54">
        <f t="shared" si="68"/>
        <v>0</v>
      </c>
      <c r="BN117" s="25">
        <f t="shared" si="69"/>
        <v>1</v>
      </c>
      <c r="BS117" s="39"/>
      <c r="BT117" s="39"/>
      <c r="BU117" s="39"/>
      <c r="BV117" s="39"/>
      <c r="BW117" s="39"/>
    </row>
    <row r="118" spans="3:75" x14ac:dyDescent="0.25">
      <c r="C118" s="62" t="str">
        <f t="shared" si="35"/>
        <v>-</v>
      </c>
      <c r="D118" s="62" t="str">
        <f t="shared" si="36"/>
        <v>-</v>
      </c>
      <c r="E118" s="62" t="str">
        <f t="shared" si="37"/>
        <v>-</v>
      </c>
      <c r="F118" s="62" t="str">
        <f t="shared" si="38"/>
        <v>-</v>
      </c>
      <c r="G118" s="62" t="str">
        <f t="shared" si="39"/>
        <v>-</v>
      </c>
      <c r="J118" s="17" t="s">
        <v>75</v>
      </c>
      <c r="K118" s="32" t="s">
        <v>65</v>
      </c>
      <c r="L118" s="32" t="s">
        <v>44</v>
      </c>
      <c r="M118" s="40" t="s">
        <v>79</v>
      </c>
      <c r="O118" s="25">
        <v>1</v>
      </c>
      <c r="P118" s="62">
        <f t="shared" si="40"/>
        <v>1</v>
      </c>
      <c r="Q118" s="62" t="str">
        <f t="shared" si="41"/>
        <v>-</v>
      </c>
      <c r="R118" s="62" t="str">
        <f t="shared" si="42"/>
        <v>-</v>
      </c>
      <c r="S118" s="62" t="str">
        <f t="shared" si="43"/>
        <v>-</v>
      </c>
      <c r="T118" s="62" t="str">
        <f t="shared" si="44"/>
        <v>-</v>
      </c>
      <c r="V118" s="32">
        <f t="shared" si="45"/>
        <v>6</v>
      </c>
      <c r="Z118" s="25">
        <v>1</v>
      </c>
      <c r="AA118" s="54">
        <f t="shared" si="46"/>
        <v>0</v>
      </c>
      <c r="AB118" s="54">
        <f t="shared" si="47"/>
        <v>0</v>
      </c>
      <c r="AC118" s="54">
        <f t="shared" si="48"/>
        <v>0</v>
      </c>
      <c r="AD118" s="54">
        <f t="shared" si="49"/>
        <v>0</v>
      </c>
      <c r="AE118" s="54">
        <f t="shared" si="50"/>
        <v>0</v>
      </c>
      <c r="AG118" s="32">
        <f t="shared" si="51"/>
        <v>5</v>
      </c>
      <c r="AK118" s="25">
        <v>1</v>
      </c>
      <c r="AL118" s="54">
        <f t="shared" si="52"/>
        <v>0</v>
      </c>
      <c r="AM118" s="54">
        <f t="shared" si="53"/>
        <v>0</v>
      </c>
      <c r="AN118" s="54">
        <f t="shared" si="54"/>
        <v>0</v>
      </c>
      <c r="AO118" s="54">
        <f t="shared" si="55"/>
        <v>0</v>
      </c>
      <c r="AP118" s="54">
        <f t="shared" si="56"/>
        <v>0</v>
      </c>
      <c r="AR118" s="32">
        <f t="shared" si="57"/>
        <v>4</v>
      </c>
      <c r="AV118" s="25">
        <v>1</v>
      </c>
      <c r="AW118" s="54">
        <f t="shared" si="58"/>
        <v>0</v>
      </c>
      <c r="AX118" s="54">
        <f t="shared" si="59"/>
        <v>0</v>
      </c>
      <c r="AY118" s="54">
        <f t="shared" si="60"/>
        <v>0</v>
      </c>
      <c r="AZ118" s="54">
        <f t="shared" si="61"/>
        <v>0</v>
      </c>
      <c r="BA118" s="54">
        <f t="shared" si="62"/>
        <v>0</v>
      </c>
      <c r="BC118" s="32">
        <f t="shared" si="63"/>
        <v>3</v>
      </c>
      <c r="BG118" s="25">
        <v>1</v>
      </c>
      <c r="BH118" s="54">
        <f t="shared" si="64"/>
        <v>0</v>
      </c>
      <c r="BI118" s="54">
        <f t="shared" si="65"/>
        <v>0</v>
      </c>
      <c r="BJ118" s="54">
        <f t="shared" si="66"/>
        <v>0</v>
      </c>
      <c r="BK118" s="54">
        <f t="shared" si="67"/>
        <v>0</v>
      </c>
      <c r="BL118" s="54">
        <f t="shared" si="68"/>
        <v>0</v>
      </c>
      <c r="BN118" s="25">
        <f t="shared" si="69"/>
        <v>1</v>
      </c>
      <c r="BS118" s="39"/>
      <c r="BT118" s="39"/>
      <c r="BU118" s="39"/>
      <c r="BV118" s="39"/>
      <c r="BW118" s="39"/>
    </row>
    <row r="119" spans="3:75" x14ac:dyDescent="0.25">
      <c r="C119" s="62" t="str">
        <f t="shared" si="35"/>
        <v>-</v>
      </c>
      <c r="D119" s="62" t="str">
        <f t="shared" si="36"/>
        <v>-</v>
      </c>
      <c r="E119" s="62" t="str">
        <f t="shared" si="37"/>
        <v>-</v>
      </c>
      <c r="F119" s="62" t="str">
        <f t="shared" si="38"/>
        <v>-</v>
      </c>
      <c r="G119" s="62" t="str">
        <f t="shared" si="39"/>
        <v>-</v>
      </c>
      <c r="J119" s="17" t="s">
        <v>75</v>
      </c>
      <c r="K119" s="40" t="s">
        <v>83</v>
      </c>
      <c r="O119" s="25">
        <v>20</v>
      </c>
      <c r="P119" s="62" t="str">
        <f t="shared" si="40"/>
        <v>-</v>
      </c>
      <c r="Q119" s="62" t="str">
        <f t="shared" si="41"/>
        <v>-</v>
      </c>
      <c r="R119" s="62">
        <f t="shared" si="42"/>
        <v>40</v>
      </c>
      <c r="S119" s="62">
        <f t="shared" si="43"/>
        <v>20</v>
      </c>
      <c r="T119" s="62" t="str">
        <f t="shared" si="44"/>
        <v>-</v>
      </c>
      <c r="V119" s="32">
        <f t="shared" si="45"/>
        <v>6</v>
      </c>
      <c r="Z119" s="25">
        <v>1</v>
      </c>
      <c r="AA119" s="54">
        <f t="shared" si="46"/>
        <v>0</v>
      </c>
      <c r="AB119" s="54">
        <f t="shared" si="47"/>
        <v>0</v>
      </c>
      <c r="AC119" s="54">
        <f t="shared" si="48"/>
        <v>0</v>
      </c>
      <c r="AD119" s="54">
        <f t="shared" si="49"/>
        <v>0</v>
      </c>
      <c r="AE119" s="54">
        <f t="shared" si="50"/>
        <v>0</v>
      </c>
      <c r="AG119" s="32">
        <f t="shared" si="51"/>
        <v>5</v>
      </c>
      <c r="AK119" s="25">
        <v>1</v>
      </c>
      <c r="AL119" s="54">
        <f t="shared" si="52"/>
        <v>0</v>
      </c>
      <c r="AM119" s="54">
        <f t="shared" si="53"/>
        <v>0</v>
      </c>
      <c r="AN119" s="54">
        <f t="shared" si="54"/>
        <v>0</v>
      </c>
      <c r="AO119" s="54">
        <f t="shared" si="55"/>
        <v>0</v>
      </c>
      <c r="AP119" s="54">
        <f t="shared" si="56"/>
        <v>0</v>
      </c>
      <c r="AR119" s="32">
        <f t="shared" si="57"/>
        <v>4</v>
      </c>
      <c r="AV119" s="25">
        <v>1</v>
      </c>
      <c r="AW119" s="54">
        <f t="shared" si="58"/>
        <v>0</v>
      </c>
      <c r="AX119" s="54">
        <f t="shared" si="59"/>
        <v>0</v>
      </c>
      <c r="AY119" s="54">
        <f t="shared" si="60"/>
        <v>0</v>
      </c>
      <c r="AZ119" s="54">
        <f t="shared" si="61"/>
        <v>0</v>
      </c>
      <c r="BA119" s="54">
        <f t="shared" si="62"/>
        <v>0</v>
      </c>
      <c r="BC119" s="32">
        <f t="shared" si="63"/>
        <v>3</v>
      </c>
      <c r="BG119" s="25">
        <v>1</v>
      </c>
      <c r="BH119" s="54">
        <f t="shared" si="64"/>
        <v>0</v>
      </c>
      <c r="BI119" s="54">
        <f t="shared" si="65"/>
        <v>0</v>
      </c>
      <c r="BJ119" s="54">
        <f t="shared" si="66"/>
        <v>0</v>
      </c>
      <c r="BK119" s="54">
        <f t="shared" si="67"/>
        <v>0</v>
      </c>
      <c r="BL119" s="54">
        <f t="shared" si="68"/>
        <v>0</v>
      </c>
      <c r="BN119" s="25">
        <f t="shared" si="69"/>
        <v>1</v>
      </c>
      <c r="BS119" s="39"/>
      <c r="BT119" s="39"/>
      <c r="BU119" s="39"/>
      <c r="BV119" s="39"/>
      <c r="BW119" s="39"/>
    </row>
    <row r="120" spans="3:75" x14ac:dyDescent="0.25">
      <c r="C120" s="62" t="str">
        <f t="shared" si="35"/>
        <v>-</v>
      </c>
      <c r="D120" s="62" t="str">
        <f t="shared" si="36"/>
        <v>-</v>
      </c>
      <c r="E120" s="62" t="str">
        <f t="shared" si="37"/>
        <v>-</v>
      </c>
      <c r="F120" s="62" t="str">
        <f t="shared" si="38"/>
        <v>-</v>
      </c>
      <c r="G120" s="62" t="str">
        <f t="shared" si="39"/>
        <v>-</v>
      </c>
      <c r="J120" s="17" t="s">
        <v>172</v>
      </c>
      <c r="K120" s="32" t="s">
        <v>53</v>
      </c>
      <c r="M120" s="40" t="s">
        <v>53</v>
      </c>
      <c r="O120" s="25">
        <v>1</v>
      </c>
      <c r="P120" s="62">
        <f t="shared" si="40"/>
        <v>1</v>
      </c>
      <c r="Q120" s="62" t="str">
        <f t="shared" si="41"/>
        <v>-</v>
      </c>
      <c r="R120" s="62">
        <f t="shared" si="42"/>
        <v>1</v>
      </c>
      <c r="S120" s="62" t="str">
        <f t="shared" si="43"/>
        <v>-</v>
      </c>
      <c r="T120" s="62" t="str">
        <f t="shared" si="44"/>
        <v>-</v>
      </c>
      <c r="V120" s="32">
        <f t="shared" si="45"/>
        <v>6</v>
      </c>
      <c r="Z120" s="25">
        <v>1</v>
      </c>
      <c r="AA120" s="54">
        <f t="shared" si="46"/>
        <v>0</v>
      </c>
      <c r="AB120" s="54">
        <f t="shared" si="47"/>
        <v>0</v>
      </c>
      <c r="AC120" s="54">
        <f t="shared" si="48"/>
        <v>0</v>
      </c>
      <c r="AD120" s="54">
        <f t="shared" si="49"/>
        <v>0</v>
      </c>
      <c r="AE120" s="54">
        <f t="shared" si="50"/>
        <v>0</v>
      </c>
      <c r="AG120" s="32">
        <f t="shared" si="51"/>
        <v>5</v>
      </c>
      <c r="AK120" s="25">
        <v>1</v>
      </c>
      <c r="AL120" s="54">
        <f t="shared" si="52"/>
        <v>0</v>
      </c>
      <c r="AM120" s="54">
        <f t="shared" si="53"/>
        <v>0</v>
      </c>
      <c r="AN120" s="54">
        <f t="shared" si="54"/>
        <v>0</v>
      </c>
      <c r="AO120" s="54">
        <f t="shared" si="55"/>
        <v>0</v>
      </c>
      <c r="AP120" s="54">
        <f t="shared" si="56"/>
        <v>0</v>
      </c>
      <c r="AR120" s="32">
        <f t="shared" si="57"/>
        <v>4</v>
      </c>
      <c r="AV120" s="25">
        <v>1</v>
      </c>
      <c r="AW120" s="54">
        <f t="shared" si="58"/>
        <v>0</v>
      </c>
      <c r="AX120" s="54">
        <f t="shared" si="59"/>
        <v>0</v>
      </c>
      <c r="AY120" s="54">
        <f t="shared" si="60"/>
        <v>0</v>
      </c>
      <c r="AZ120" s="54">
        <f t="shared" si="61"/>
        <v>0</v>
      </c>
      <c r="BA120" s="54">
        <f t="shared" si="62"/>
        <v>0</v>
      </c>
      <c r="BC120" s="32">
        <f t="shared" si="63"/>
        <v>3</v>
      </c>
      <c r="BG120" s="25">
        <v>1</v>
      </c>
      <c r="BH120" s="54">
        <f t="shared" si="64"/>
        <v>0</v>
      </c>
      <c r="BI120" s="54">
        <f t="shared" si="65"/>
        <v>0</v>
      </c>
      <c r="BJ120" s="54">
        <f t="shared" si="66"/>
        <v>0</v>
      </c>
      <c r="BK120" s="54">
        <f t="shared" si="67"/>
        <v>0</v>
      </c>
      <c r="BL120" s="54">
        <f t="shared" si="68"/>
        <v>0</v>
      </c>
      <c r="BN120" s="25">
        <f t="shared" si="69"/>
        <v>1</v>
      </c>
      <c r="BS120" s="39"/>
      <c r="BT120" s="39"/>
      <c r="BU120" s="39"/>
      <c r="BV120" s="39"/>
      <c r="BW120" s="39"/>
    </row>
    <row r="121" spans="3:75" x14ac:dyDescent="0.25">
      <c r="C121" s="62" t="str">
        <f t="shared" si="35"/>
        <v>-</v>
      </c>
      <c r="D121" s="62" t="str">
        <f t="shared" si="36"/>
        <v>-</v>
      </c>
      <c r="E121" s="62" t="str">
        <f t="shared" si="37"/>
        <v>-</v>
      </c>
      <c r="F121" s="62" t="str">
        <f t="shared" si="38"/>
        <v>-</v>
      </c>
      <c r="G121" s="62" t="str">
        <f t="shared" si="39"/>
        <v>-</v>
      </c>
      <c r="J121" s="17" t="s">
        <v>172</v>
      </c>
      <c r="K121" s="32" t="s">
        <v>65</v>
      </c>
      <c r="L121" s="32" t="s">
        <v>44</v>
      </c>
      <c r="O121" s="25">
        <v>2</v>
      </c>
      <c r="P121" s="62">
        <f t="shared" si="40"/>
        <v>2</v>
      </c>
      <c r="Q121" s="62" t="str">
        <f t="shared" si="41"/>
        <v>-</v>
      </c>
      <c r="R121" s="62" t="str">
        <f t="shared" si="42"/>
        <v>-</v>
      </c>
      <c r="S121" s="62" t="str">
        <f t="shared" si="43"/>
        <v>-</v>
      </c>
      <c r="T121" s="62" t="str">
        <f t="shared" si="44"/>
        <v>-</v>
      </c>
      <c r="V121" s="32">
        <f t="shared" si="45"/>
        <v>6</v>
      </c>
      <c r="Z121" s="25">
        <v>1</v>
      </c>
      <c r="AA121" s="54">
        <f t="shared" si="46"/>
        <v>0</v>
      </c>
      <c r="AB121" s="54">
        <f t="shared" si="47"/>
        <v>0</v>
      </c>
      <c r="AC121" s="54">
        <f t="shared" si="48"/>
        <v>0</v>
      </c>
      <c r="AD121" s="54">
        <f t="shared" si="49"/>
        <v>0</v>
      </c>
      <c r="AE121" s="54">
        <f t="shared" si="50"/>
        <v>0</v>
      </c>
      <c r="AG121" s="32">
        <f t="shared" si="51"/>
        <v>5</v>
      </c>
      <c r="AK121" s="25">
        <v>1</v>
      </c>
      <c r="AL121" s="54">
        <f t="shared" si="52"/>
        <v>0</v>
      </c>
      <c r="AM121" s="54">
        <f t="shared" si="53"/>
        <v>0</v>
      </c>
      <c r="AN121" s="54">
        <f t="shared" si="54"/>
        <v>0</v>
      </c>
      <c r="AO121" s="54">
        <f t="shared" si="55"/>
        <v>0</v>
      </c>
      <c r="AP121" s="54">
        <f t="shared" si="56"/>
        <v>0</v>
      </c>
      <c r="AR121" s="32">
        <f t="shared" si="57"/>
        <v>4</v>
      </c>
      <c r="AV121" s="25">
        <v>1</v>
      </c>
      <c r="AW121" s="54">
        <f t="shared" si="58"/>
        <v>0</v>
      </c>
      <c r="AX121" s="54">
        <f t="shared" si="59"/>
        <v>0</v>
      </c>
      <c r="AY121" s="54">
        <f t="shared" si="60"/>
        <v>0</v>
      </c>
      <c r="AZ121" s="54">
        <f t="shared" si="61"/>
        <v>0</v>
      </c>
      <c r="BA121" s="54">
        <f t="shared" si="62"/>
        <v>0</v>
      </c>
      <c r="BC121" s="32">
        <f t="shared" si="63"/>
        <v>3</v>
      </c>
      <c r="BG121" s="25">
        <v>1</v>
      </c>
      <c r="BH121" s="54">
        <f t="shared" si="64"/>
        <v>0</v>
      </c>
      <c r="BI121" s="54">
        <f t="shared" si="65"/>
        <v>0</v>
      </c>
      <c r="BJ121" s="54">
        <f t="shared" si="66"/>
        <v>0</v>
      </c>
      <c r="BK121" s="54">
        <f t="shared" si="67"/>
        <v>0</v>
      </c>
      <c r="BL121" s="54">
        <f t="shared" si="68"/>
        <v>0</v>
      </c>
      <c r="BN121" s="25">
        <f t="shared" si="69"/>
        <v>1</v>
      </c>
      <c r="BS121" s="39"/>
      <c r="BT121" s="39"/>
      <c r="BU121" s="39"/>
      <c r="BV121" s="39"/>
      <c r="BW121" s="39"/>
    </row>
    <row r="122" spans="3:75" x14ac:dyDescent="0.25">
      <c r="C122" s="62" t="str">
        <f t="shared" si="35"/>
        <v>-</v>
      </c>
      <c r="D122" s="62" t="str">
        <f t="shared" si="36"/>
        <v>-</v>
      </c>
      <c r="E122" s="62" t="str">
        <f t="shared" si="37"/>
        <v>-</v>
      </c>
      <c r="F122" s="62" t="str">
        <f t="shared" si="38"/>
        <v>-</v>
      </c>
      <c r="G122" s="62" t="str">
        <f t="shared" si="39"/>
        <v>-</v>
      </c>
      <c r="J122" s="17" t="s">
        <v>172</v>
      </c>
      <c r="K122" s="32" t="s">
        <v>84</v>
      </c>
      <c r="M122" s="40" t="s">
        <v>173</v>
      </c>
      <c r="O122" s="25">
        <v>4</v>
      </c>
      <c r="P122" s="62" t="str">
        <f t="shared" si="40"/>
        <v>-</v>
      </c>
      <c r="Q122" s="62" t="str">
        <f t="shared" si="41"/>
        <v>-</v>
      </c>
      <c r="R122" s="62">
        <f t="shared" si="42"/>
        <v>8</v>
      </c>
      <c r="S122" s="62">
        <f t="shared" si="43"/>
        <v>8</v>
      </c>
      <c r="T122" s="62" t="str">
        <f t="shared" si="44"/>
        <v>-</v>
      </c>
      <c r="V122" s="32">
        <f t="shared" si="45"/>
        <v>6</v>
      </c>
      <c r="Z122" s="25">
        <v>1</v>
      </c>
      <c r="AA122" s="54">
        <f t="shared" si="46"/>
        <v>0</v>
      </c>
      <c r="AB122" s="54">
        <f t="shared" si="47"/>
        <v>0</v>
      </c>
      <c r="AC122" s="54">
        <f t="shared" si="48"/>
        <v>0</v>
      </c>
      <c r="AD122" s="54">
        <f t="shared" si="49"/>
        <v>0</v>
      </c>
      <c r="AE122" s="54">
        <f t="shared" si="50"/>
        <v>0</v>
      </c>
      <c r="AG122" s="32">
        <f t="shared" si="51"/>
        <v>5</v>
      </c>
      <c r="AK122" s="25">
        <v>1</v>
      </c>
      <c r="AL122" s="54">
        <f t="shared" si="52"/>
        <v>0</v>
      </c>
      <c r="AM122" s="54">
        <f t="shared" si="53"/>
        <v>0</v>
      </c>
      <c r="AN122" s="54">
        <f t="shared" si="54"/>
        <v>0</v>
      </c>
      <c r="AO122" s="54">
        <f t="shared" si="55"/>
        <v>0</v>
      </c>
      <c r="AP122" s="54">
        <f t="shared" si="56"/>
        <v>0</v>
      </c>
      <c r="AR122" s="32">
        <f t="shared" si="57"/>
        <v>4</v>
      </c>
      <c r="AV122" s="25">
        <v>1</v>
      </c>
      <c r="AW122" s="54">
        <f t="shared" si="58"/>
        <v>0</v>
      </c>
      <c r="AX122" s="54">
        <f t="shared" si="59"/>
        <v>0</v>
      </c>
      <c r="AY122" s="54">
        <f t="shared" si="60"/>
        <v>0</v>
      </c>
      <c r="AZ122" s="54">
        <f t="shared" si="61"/>
        <v>0</v>
      </c>
      <c r="BA122" s="54">
        <f t="shared" si="62"/>
        <v>0</v>
      </c>
      <c r="BC122" s="32">
        <f t="shared" si="63"/>
        <v>3</v>
      </c>
      <c r="BG122" s="25">
        <v>1</v>
      </c>
      <c r="BH122" s="54">
        <f t="shared" si="64"/>
        <v>0</v>
      </c>
      <c r="BI122" s="54">
        <f t="shared" si="65"/>
        <v>0</v>
      </c>
      <c r="BJ122" s="54">
        <f t="shared" si="66"/>
        <v>0</v>
      </c>
      <c r="BK122" s="54">
        <f t="shared" si="67"/>
        <v>0</v>
      </c>
      <c r="BL122" s="54">
        <f t="shared" si="68"/>
        <v>0</v>
      </c>
      <c r="BN122" s="25">
        <f t="shared" si="69"/>
        <v>1</v>
      </c>
      <c r="BS122" s="39"/>
      <c r="BT122" s="39"/>
      <c r="BU122" s="39"/>
      <c r="BV122" s="39"/>
      <c r="BW122" s="39"/>
    </row>
    <row r="123" spans="3:75" x14ac:dyDescent="0.25">
      <c r="C123" s="62" t="str">
        <f t="shared" si="35"/>
        <v>-</v>
      </c>
      <c r="D123" s="62" t="str">
        <f t="shared" si="36"/>
        <v>-</v>
      </c>
      <c r="E123" s="62" t="str">
        <f t="shared" si="37"/>
        <v>-</v>
      </c>
      <c r="F123" s="62" t="str">
        <f t="shared" si="38"/>
        <v>-</v>
      </c>
      <c r="G123" s="62" t="str">
        <f t="shared" si="39"/>
        <v>-</v>
      </c>
      <c r="J123" s="17" t="s">
        <v>172</v>
      </c>
      <c r="K123" s="32" t="s">
        <v>84</v>
      </c>
      <c r="M123" s="40" t="s">
        <v>175</v>
      </c>
      <c r="O123" s="25">
        <v>2</v>
      </c>
      <c r="P123" s="62" t="str">
        <f t="shared" si="40"/>
        <v>-</v>
      </c>
      <c r="Q123" s="62" t="str">
        <f t="shared" si="41"/>
        <v>-</v>
      </c>
      <c r="R123" s="62">
        <f t="shared" si="42"/>
        <v>4</v>
      </c>
      <c r="S123" s="62">
        <f t="shared" si="43"/>
        <v>4</v>
      </c>
      <c r="T123" s="62" t="str">
        <f t="shared" si="44"/>
        <v>-</v>
      </c>
      <c r="V123" s="32">
        <f t="shared" si="45"/>
        <v>6</v>
      </c>
      <c r="Z123" s="25">
        <v>1</v>
      </c>
      <c r="AA123" s="54">
        <f t="shared" si="46"/>
        <v>0</v>
      </c>
      <c r="AB123" s="54">
        <f t="shared" si="47"/>
        <v>0</v>
      </c>
      <c r="AC123" s="54">
        <f t="shared" si="48"/>
        <v>0</v>
      </c>
      <c r="AD123" s="54">
        <f t="shared" si="49"/>
        <v>0</v>
      </c>
      <c r="AE123" s="54">
        <f t="shared" si="50"/>
        <v>0</v>
      </c>
      <c r="AG123" s="32">
        <f t="shared" si="51"/>
        <v>5</v>
      </c>
      <c r="AK123" s="25">
        <v>1</v>
      </c>
      <c r="AL123" s="54">
        <f t="shared" si="52"/>
        <v>0</v>
      </c>
      <c r="AM123" s="54">
        <f t="shared" si="53"/>
        <v>0</v>
      </c>
      <c r="AN123" s="54">
        <f t="shared" si="54"/>
        <v>0</v>
      </c>
      <c r="AO123" s="54">
        <f t="shared" si="55"/>
        <v>0</v>
      </c>
      <c r="AP123" s="54">
        <f t="shared" si="56"/>
        <v>0</v>
      </c>
      <c r="AR123" s="32">
        <f t="shared" si="57"/>
        <v>4</v>
      </c>
      <c r="AV123" s="25">
        <v>1</v>
      </c>
      <c r="AW123" s="54">
        <f t="shared" si="58"/>
        <v>0</v>
      </c>
      <c r="AX123" s="54">
        <f t="shared" si="59"/>
        <v>0</v>
      </c>
      <c r="AY123" s="54">
        <f t="shared" si="60"/>
        <v>0</v>
      </c>
      <c r="AZ123" s="54">
        <f t="shared" si="61"/>
        <v>0</v>
      </c>
      <c r="BA123" s="54">
        <f t="shared" si="62"/>
        <v>0</v>
      </c>
      <c r="BC123" s="32">
        <f t="shared" si="63"/>
        <v>3</v>
      </c>
      <c r="BG123" s="25">
        <v>1</v>
      </c>
      <c r="BH123" s="54">
        <f t="shared" si="64"/>
        <v>0</v>
      </c>
      <c r="BI123" s="54">
        <f t="shared" si="65"/>
        <v>0</v>
      </c>
      <c r="BJ123" s="54">
        <f t="shared" si="66"/>
        <v>0</v>
      </c>
      <c r="BK123" s="54">
        <f t="shared" si="67"/>
        <v>0</v>
      </c>
      <c r="BL123" s="54">
        <f t="shared" si="68"/>
        <v>0</v>
      </c>
      <c r="BN123" s="25">
        <f t="shared" si="69"/>
        <v>1</v>
      </c>
      <c r="BS123" s="39"/>
      <c r="BT123" s="39"/>
      <c r="BU123" s="39"/>
      <c r="BV123" s="39"/>
      <c r="BW123" s="39"/>
    </row>
    <row r="124" spans="3:75" x14ac:dyDescent="0.25">
      <c r="C124" s="62" t="str">
        <f t="shared" si="35"/>
        <v>-</v>
      </c>
      <c r="D124" s="62" t="str">
        <f t="shared" si="36"/>
        <v>-</v>
      </c>
      <c r="E124" s="62" t="str">
        <f t="shared" si="37"/>
        <v>-</v>
      </c>
      <c r="F124" s="62" t="str">
        <f t="shared" si="38"/>
        <v>-</v>
      </c>
      <c r="G124" s="62" t="str">
        <f t="shared" si="39"/>
        <v>-</v>
      </c>
      <c r="J124" s="17" t="s">
        <v>172</v>
      </c>
      <c r="K124" s="32" t="s">
        <v>84</v>
      </c>
      <c r="M124" s="40" t="s">
        <v>174</v>
      </c>
      <c r="O124" s="25">
        <v>2</v>
      </c>
      <c r="P124" s="62" t="str">
        <f t="shared" si="40"/>
        <v>-</v>
      </c>
      <c r="Q124" s="62" t="str">
        <f t="shared" si="41"/>
        <v>-</v>
      </c>
      <c r="R124" s="62">
        <f t="shared" si="42"/>
        <v>4</v>
      </c>
      <c r="S124" s="62">
        <f t="shared" si="43"/>
        <v>4</v>
      </c>
      <c r="T124" s="62" t="str">
        <f t="shared" si="44"/>
        <v>-</v>
      </c>
      <c r="V124" s="32">
        <f t="shared" si="45"/>
        <v>6</v>
      </c>
      <c r="Z124" s="25">
        <v>1</v>
      </c>
      <c r="AA124" s="54">
        <f t="shared" si="46"/>
        <v>0</v>
      </c>
      <c r="AB124" s="54">
        <f t="shared" si="47"/>
        <v>0</v>
      </c>
      <c r="AC124" s="54">
        <f t="shared" si="48"/>
        <v>0</v>
      </c>
      <c r="AD124" s="54">
        <f t="shared" si="49"/>
        <v>0</v>
      </c>
      <c r="AE124" s="54">
        <f t="shared" si="50"/>
        <v>0</v>
      </c>
      <c r="AG124" s="32">
        <f t="shared" si="51"/>
        <v>5</v>
      </c>
      <c r="AK124" s="25">
        <v>1</v>
      </c>
      <c r="AL124" s="54">
        <f t="shared" si="52"/>
        <v>0</v>
      </c>
      <c r="AM124" s="54">
        <f t="shared" si="53"/>
        <v>0</v>
      </c>
      <c r="AN124" s="54">
        <f t="shared" si="54"/>
        <v>0</v>
      </c>
      <c r="AO124" s="54">
        <f t="shared" si="55"/>
        <v>0</v>
      </c>
      <c r="AP124" s="54">
        <f t="shared" si="56"/>
        <v>0</v>
      </c>
      <c r="AR124" s="32">
        <f t="shared" si="57"/>
        <v>4</v>
      </c>
      <c r="AV124" s="25">
        <v>1</v>
      </c>
      <c r="AW124" s="54">
        <f t="shared" si="58"/>
        <v>0</v>
      </c>
      <c r="AX124" s="54">
        <f t="shared" si="59"/>
        <v>0</v>
      </c>
      <c r="AY124" s="54">
        <f t="shared" si="60"/>
        <v>0</v>
      </c>
      <c r="AZ124" s="54">
        <f t="shared" si="61"/>
        <v>0</v>
      </c>
      <c r="BA124" s="54">
        <f t="shared" si="62"/>
        <v>0</v>
      </c>
      <c r="BC124" s="32">
        <f t="shared" si="63"/>
        <v>3</v>
      </c>
      <c r="BG124" s="25">
        <v>1</v>
      </c>
      <c r="BH124" s="54">
        <f t="shared" si="64"/>
        <v>0</v>
      </c>
      <c r="BI124" s="54">
        <f t="shared" si="65"/>
        <v>0</v>
      </c>
      <c r="BJ124" s="54">
        <f t="shared" si="66"/>
        <v>0</v>
      </c>
      <c r="BK124" s="54">
        <f t="shared" si="67"/>
        <v>0</v>
      </c>
      <c r="BL124" s="54">
        <f t="shared" si="68"/>
        <v>0</v>
      </c>
      <c r="BN124" s="25">
        <f t="shared" si="69"/>
        <v>1</v>
      </c>
      <c r="BS124" s="39"/>
      <c r="BT124" s="39"/>
      <c r="BU124" s="39"/>
      <c r="BV124" s="39"/>
      <c r="BW124" s="39"/>
    </row>
    <row r="125" spans="3:75" x14ac:dyDescent="0.25">
      <c r="C125" s="62" t="str">
        <f t="shared" si="35"/>
        <v>-</v>
      </c>
      <c r="D125" s="62" t="str">
        <f t="shared" si="36"/>
        <v>-</v>
      </c>
      <c r="E125" s="62" t="str">
        <f t="shared" si="37"/>
        <v>-</v>
      </c>
      <c r="F125" s="62" t="str">
        <f t="shared" si="38"/>
        <v>-</v>
      </c>
      <c r="G125" s="62" t="str">
        <f t="shared" si="39"/>
        <v>-</v>
      </c>
      <c r="J125" s="17" t="s">
        <v>39</v>
      </c>
      <c r="K125" s="32" t="s">
        <v>58</v>
      </c>
      <c r="L125" s="32" t="s">
        <v>45</v>
      </c>
      <c r="O125" s="25">
        <v>1</v>
      </c>
      <c r="P125" s="62">
        <f t="shared" si="40"/>
        <v>1</v>
      </c>
      <c r="Q125" s="62">
        <f t="shared" si="41"/>
        <v>1</v>
      </c>
      <c r="R125" s="62" t="str">
        <f t="shared" si="42"/>
        <v>-</v>
      </c>
      <c r="S125" s="62" t="str">
        <f t="shared" si="43"/>
        <v>-</v>
      </c>
      <c r="T125" s="62" t="str">
        <f t="shared" si="44"/>
        <v>-</v>
      </c>
      <c r="V125" s="32">
        <f t="shared" si="45"/>
        <v>6</v>
      </c>
      <c r="Z125" s="25">
        <v>1</v>
      </c>
      <c r="AA125" s="54">
        <f t="shared" si="46"/>
        <v>0</v>
      </c>
      <c r="AB125" s="54">
        <f t="shared" si="47"/>
        <v>0</v>
      </c>
      <c r="AC125" s="54">
        <f t="shared" si="48"/>
        <v>0</v>
      </c>
      <c r="AD125" s="54">
        <f t="shared" si="49"/>
        <v>0</v>
      </c>
      <c r="AE125" s="54">
        <f t="shared" si="50"/>
        <v>0</v>
      </c>
      <c r="AG125" s="32">
        <f t="shared" si="51"/>
        <v>5</v>
      </c>
      <c r="AK125" s="25">
        <v>1</v>
      </c>
      <c r="AL125" s="54">
        <f t="shared" si="52"/>
        <v>0</v>
      </c>
      <c r="AM125" s="54">
        <f t="shared" si="53"/>
        <v>0</v>
      </c>
      <c r="AN125" s="54">
        <f t="shared" si="54"/>
        <v>0</v>
      </c>
      <c r="AO125" s="54">
        <f t="shared" si="55"/>
        <v>0</v>
      </c>
      <c r="AP125" s="54">
        <f t="shared" si="56"/>
        <v>0</v>
      </c>
      <c r="AR125" s="32">
        <f t="shared" si="57"/>
        <v>4</v>
      </c>
      <c r="AV125" s="25">
        <v>1</v>
      </c>
      <c r="AW125" s="54">
        <f t="shared" si="58"/>
        <v>0</v>
      </c>
      <c r="AX125" s="54">
        <f t="shared" si="59"/>
        <v>0</v>
      </c>
      <c r="AY125" s="54">
        <f t="shared" si="60"/>
        <v>0</v>
      </c>
      <c r="AZ125" s="54">
        <f t="shared" si="61"/>
        <v>0</v>
      </c>
      <c r="BA125" s="54">
        <f t="shared" si="62"/>
        <v>0</v>
      </c>
      <c r="BC125" s="32">
        <f t="shared" si="63"/>
        <v>3</v>
      </c>
      <c r="BG125" s="25">
        <v>1</v>
      </c>
      <c r="BH125" s="54">
        <f t="shared" si="64"/>
        <v>0</v>
      </c>
      <c r="BI125" s="54">
        <f t="shared" si="65"/>
        <v>0</v>
      </c>
      <c r="BJ125" s="54">
        <f t="shared" si="66"/>
        <v>0</v>
      </c>
      <c r="BK125" s="54">
        <f t="shared" si="67"/>
        <v>0</v>
      </c>
      <c r="BL125" s="54">
        <f t="shared" si="68"/>
        <v>0</v>
      </c>
      <c r="BN125" s="25">
        <f t="shared" si="69"/>
        <v>1</v>
      </c>
      <c r="BS125" s="39"/>
      <c r="BT125" s="39"/>
      <c r="BU125" s="39"/>
      <c r="BV125" s="39"/>
      <c r="BW125" s="39"/>
    </row>
    <row r="126" spans="3:75" x14ac:dyDescent="0.25">
      <c r="C126" s="62" t="str">
        <f t="shared" si="35"/>
        <v>-</v>
      </c>
      <c r="D126" s="62" t="str">
        <f t="shared" si="36"/>
        <v>-</v>
      </c>
      <c r="E126" s="62" t="str">
        <f t="shared" si="37"/>
        <v>-</v>
      </c>
      <c r="F126" s="62" t="str">
        <f t="shared" si="38"/>
        <v>-</v>
      </c>
      <c r="G126" s="62" t="str">
        <f t="shared" si="39"/>
        <v>-</v>
      </c>
      <c r="J126" s="17" t="s">
        <v>39</v>
      </c>
      <c r="K126" s="32" t="s">
        <v>58</v>
      </c>
      <c r="L126" s="32" t="s">
        <v>44</v>
      </c>
      <c r="O126" s="25">
        <v>3</v>
      </c>
      <c r="P126" s="62">
        <f t="shared" si="40"/>
        <v>3</v>
      </c>
      <c r="Q126" s="62">
        <f t="shared" si="41"/>
        <v>3</v>
      </c>
      <c r="R126" s="62" t="str">
        <f t="shared" si="42"/>
        <v>-</v>
      </c>
      <c r="S126" s="62" t="str">
        <f t="shared" si="43"/>
        <v>-</v>
      </c>
      <c r="T126" s="62" t="str">
        <f t="shared" si="44"/>
        <v>-</v>
      </c>
      <c r="V126" s="32">
        <f t="shared" si="45"/>
        <v>6</v>
      </c>
      <c r="Z126" s="25">
        <v>1</v>
      </c>
      <c r="AA126" s="54">
        <f t="shared" si="46"/>
        <v>0</v>
      </c>
      <c r="AB126" s="54">
        <f t="shared" si="47"/>
        <v>0</v>
      </c>
      <c r="AC126" s="54">
        <f t="shared" si="48"/>
        <v>0</v>
      </c>
      <c r="AD126" s="54">
        <f t="shared" si="49"/>
        <v>0</v>
      </c>
      <c r="AE126" s="54">
        <f t="shared" si="50"/>
        <v>0</v>
      </c>
      <c r="AG126" s="32">
        <f t="shared" si="51"/>
        <v>5</v>
      </c>
      <c r="AK126" s="25">
        <v>1</v>
      </c>
      <c r="AL126" s="54">
        <f t="shared" si="52"/>
        <v>0</v>
      </c>
      <c r="AM126" s="54">
        <f t="shared" si="53"/>
        <v>0</v>
      </c>
      <c r="AN126" s="54">
        <f t="shared" si="54"/>
        <v>0</v>
      </c>
      <c r="AO126" s="54">
        <f t="shared" si="55"/>
        <v>0</v>
      </c>
      <c r="AP126" s="54">
        <f t="shared" si="56"/>
        <v>0</v>
      </c>
      <c r="AR126" s="32">
        <f t="shared" si="57"/>
        <v>4</v>
      </c>
      <c r="AV126" s="25">
        <v>1</v>
      </c>
      <c r="AW126" s="54">
        <f t="shared" si="58"/>
        <v>0</v>
      </c>
      <c r="AX126" s="54">
        <f t="shared" si="59"/>
        <v>0</v>
      </c>
      <c r="AY126" s="54">
        <f t="shared" si="60"/>
        <v>0</v>
      </c>
      <c r="AZ126" s="54">
        <f t="shared" si="61"/>
        <v>0</v>
      </c>
      <c r="BA126" s="54">
        <f t="shared" si="62"/>
        <v>0</v>
      </c>
      <c r="BC126" s="32">
        <f t="shared" si="63"/>
        <v>3</v>
      </c>
      <c r="BG126" s="25">
        <v>1</v>
      </c>
      <c r="BH126" s="54">
        <f t="shared" si="64"/>
        <v>0</v>
      </c>
      <c r="BI126" s="54">
        <f t="shared" si="65"/>
        <v>0</v>
      </c>
      <c r="BJ126" s="54">
        <f t="shared" si="66"/>
        <v>0</v>
      </c>
      <c r="BK126" s="54">
        <f t="shared" si="67"/>
        <v>0</v>
      </c>
      <c r="BL126" s="54">
        <f t="shared" si="68"/>
        <v>0</v>
      </c>
      <c r="BN126" s="25">
        <f t="shared" si="69"/>
        <v>1</v>
      </c>
      <c r="BS126" s="39"/>
      <c r="BT126" s="39"/>
      <c r="BU126" s="39"/>
      <c r="BV126" s="39"/>
      <c r="BW126" s="39"/>
    </row>
    <row r="127" spans="3:75" x14ac:dyDescent="0.25">
      <c r="C127" s="62" t="str">
        <f t="shared" si="35"/>
        <v>-</v>
      </c>
      <c r="D127" s="62" t="str">
        <f t="shared" si="36"/>
        <v>-</v>
      </c>
      <c r="E127" s="62" t="str">
        <f t="shared" si="37"/>
        <v>-</v>
      </c>
      <c r="F127" s="62" t="str">
        <f t="shared" si="38"/>
        <v>-</v>
      </c>
      <c r="G127" s="62" t="str">
        <f t="shared" si="39"/>
        <v>-</v>
      </c>
      <c r="J127" s="17" t="s">
        <v>39</v>
      </c>
      <c r="K127" s="32" t="s">
        <v>53</v>
      </c>
      <c r="O127" s="25">
        <v>2</v>
      </c>
      <c r="P127" s="62">
        <f t="shared" si="40"/>
        <v>2</v>
      </c>
      <c r="Q127" s="62" t="str">
        <f t="shared" si="41"/>
        <v>-</v>
      </c>
      <c r="R127" s="62">
        <f t="shared" si="42"/>
        <v>2</v>
      </c>
      <c r="S127" s="62" t="str">
        <f t="shared" si="43"/>
        <v>-</v>
      </c>
      <c r="T127" s="62" t="str">
        <f t="shared" si="44"/>
        <v>-</v>
      </c>
      <c r="V127" s="32">
        <f t="shared" si="45"/>
        <v>6</v>
      </c>
      <c r="Z127" s="25">
        <v>1</v>
      </c>
      <c r="AA127" s="54">
        <f t="shared" si="46"/>
        <v>0</v>
      </c>
      <c r="AB127" s="54">
        <f t="shared" si="47"/>
        <v>0</v>
      </c>
      <c r="AC127" s="54">
        <f t="shared" si="48"/>
        <v>0</v>
      </c>
      <c r="AD127" s="54">
        <f t="shared" si="49"/>
        <v>0</v>
      </c>
      <c r="AE127" s="54">
        <f t="shared" si="50"/>
        <v>0</v>
      </c>
      <c r="AG127" s="32">
        <f t="shared" si="51"/>
        <v>5</v>
      </c>
      <c r="AK127" s="25">
        <v>1</v>
      </c>
      <c r="AL127" s="54">
        <f t="shared" si="52"/>
        <v>0</v>
      </c>
      <c r="AM127" s="54">
        <f t="shared" si="53"/>
        <v>0</v>
      </c>
      <c r="AN127" s="54">
        <f t="shared" si="54"/>
        <v>0</v>
      </c>
      <c r="AO127" s="54">
        <f t="shared" si="55"/>
        <v>0</v>
      </c>
      <c r="AP127" s="54">
        <f t="shared" si="56"/>
        <v>0</v>
      </c>
      <c r="AR127" s="32">
        <f t="shared" si="57"/>
        <v>4</v>
      </c>
      <c r="AV127" s="25">
        <v>1</v>
      </c>
      <c r="AW127" s="54">
        <f t="shared" si="58"/>
        <v>0</v>
      </c>
      <c r="AX127" s="54">
        <f t="shared" si="59"/>
        <v>0</v>
      </c>
      <c r="AY127" s="54">
        <f t="shared" si="60"/>
        <v>0</v>
      </c>
      <c r="AZ127" s="54">
        <f t="shared" si="61"/>
        <v>0</v>
      </c>
      <c r="BA127" s="54">
        <f t="shared" si="62"/>
        <v>0</v>
      </c>
      <c r="BC127" s="32">
        <f t="shared" si="63"/>
        <v>3</v>
      </c>
      <c r="BG127" s="25">
        <v>1</v>
      </c>
      <c r="BH127" s="54">
        <f t="shared" si="64"/>
        <v>0</v>
      </c>
      <c r="BI127" s="54">
        <f t="shared" si="65"/>
        <v>0</v>
      </c>
      <c r="BJ127" s="54">
        <f t="shared" si="66"/>
        <v>0</v>
      </c>
      <c r="BK127" s="54">
        <f t="shared" si="67"/>
        <v>0</v>
      </c>
      <c r="BL127" s="54">
        <f t="shared" si="68"/>
        <v>0</v>
      </c>
      <c r="BN127" s="25">
        <f t="shared" si="69"/>
        <v>1</v>
      </c>
      <c r="BS127" s="39"/>
      <c r="BT127" s="39"/>
      <c r="BU127" s="39"/>
      <c r="BV127" s="39"/>
      <c r="BW127" s="39"/>
    </row>
    <row r="128" spans="3:75" x14ac:dyDescent="0.25">
      <c r="C128" s="62" t="str">
        <f t="shared" si="35"/>
        <v>-</v>
      </c>
      <c r="D128" s="62" t="str">
        <f t="shared" si="36"/>
        <v>-</v>
      </c>
      <c r="E128" s="62" t="str">
        <f t="shared" si="37"/>
        <v>-</v>
      </c>
      <c r="F128" s="62" t="str">
        <f t="shared" si="38"/>
        <v>-</v>
      </c>
      <c r="G128" s="62" t="str">
        <f t="shared" si="39"/>
        <v>-</v>
      </c>
      <c r="J128" s="17" t="s">
        <v>39</v>
      </c>
      <c r="K128" s="32" t="s">
        <v>62</v>
      </c>
      <c r="L128" s="32" t="s">
        <v>45</v>
      </c>
      <c r="M128" s="40" t="s">
        <v>61</v>
      </c>
      <c r="O128" s="25">
        <v>1</v>
      </c>
      <c r="P128" s="62" t="str">
        <f t="shared" si="40"/>
        <v>-</v>
      </c>
      <c r="Q128" s="62" t="str">
        <f t="shared" si="41"/>
        <v>-</v>
      </c>
      <c r="R128" s="62">
        <f t="shared" si="42"/>
        <v>2</v>
      </c>
      <c r="S128" s="62" t="str">
        <f t="shared" si="43"/>
        <v>-</v>
      </c>
      <c r="T128" s="62" t="str">
        <f t="shared" si="44"/>
        <v>-</v>
      </c>
      <c r="V128" s="32">
        <f t="shared" si="45"/>
        <v>6</v>
      </c>
      <c r="Z128" s="25">
        <v>1</v>
      </c>
      <c r="AA128" s="54">
        <f t="shared" si="46"/>
        <v>0</v>
      </c>
      <c r="AB128" s="54">
        <f t="shared" si="47"/>
        <v>0</v>
      </c>
      <c r="AC128" s="54">
        <f t="shared" si="48"/>
        <v>0</v>
      </c>
      <c r="AD128" s="54">
        <f t="shared" si="49"/>
        <v>0</v>
      </c>
      <c r="AE128" s="54">
        <f t="shared" si="50"/>
        <v>0</v>
      </c>
      <c r="AG128" s="32">
        <f t="shared" si="51"/>
        <v>5</v>
      </c>
      <c r="AK128" s="25">
        <v>1</v>
      </c>
      <c r="AL128" s="54">
        <f t="shared" si="52"/>
        <v>0</v>
      </c>
      <c r="AM128" s="54">
        <f t="shared" si="53"/>
        <v>0</v>
      </c>
      <c r="AN128" s="54">
        <f t="shared" si="54"/>
        <v>0</v>
      </c>
      <c r="AO128" s="54">
        <f t="shared" si="55"/>
        <v>0</v>
      </c>
      <c r="AP128" s="54">
        <f t="shared" si="56"/>
        <v>0</v>
      </c>
      <c r="AR128" s="32">
        <f t="shared" si="57"/>
        <v>4</v>
      </c>
      <c r="AV128" s="25">
        <v>1</v>
      </c>
      <c r="AW128" s="54">
        <f t="shared" si="58"/>
        <v>0</v>
      </c>
      <c r="AX128" s="54">
        <f t="shared" si="59"/>
        <v>0</v>
      </c>
      <c r="AY128" s="54">
        <f t="shared" si="60"/>
        <v>0</v>
      </c>
      <c r="AZ128" s="54">
        <f t="shared" si="61"/>
        <v>0</v>
      </c>
      <c r="BA128" s="54">
        <f t="shared" si="62"/>
        <v>0</v>
      </c>
      <c r="BC128" s="32">
        <f t="shared" si="63"/>
        <v>3</v>
      </c>
      <c r="BG128" s="25">
        <v>1</v>
      </c>
      <c r="BH128" s="54">
        <f t="shared" si="64"/>
        <v>0</v>
      </c>
      <c r="BI128" s="54">
        <f t="shared" si="65"/>
        <v>0</v>
      </c>
      <c r="BJ128" s="54">
        <f t="shared" si="66"/>
        <v>0</v>
      </c>
      <c r="BK128" s="54">
        <f t="shared" si="67"/>
        <v>0</v>
      </c>
      <c r="BL128" s="54">
        <f t="shared" si="68"/>
        <v>0</v>
      </c>
      <c r="BN128" s="25">
        <f t="shared" si="69"/>
        <v>1</v>
      </c>
      <c r="BS128" s="39"/>
      <c r="BT128" s="39"/>
      <c r="BU128" s="39"/>
      <c r="BV128" s="39"/>
      <c r="BW128" s="39"/>
    </row>
    <row r="129" spans="3:75" x14ac:dyDescent="0.25">
      <c r="C129" s="62" t="str">
        <f t="shared" si="35"/>
        <v>-</v>
      </c>
      <c r="D129" s="62" t="str">
        <f t="shared" si="36"/>
        <v>-</v>
      </c>
      <c r="E129" s="62" t="str">
        <f t="shared" si="37"/>
        <v>-</v>
      </c>
      <c r="F129" s="62" t="str">
        <f t="shared" si="38"/>
        <v>-</v>
      </c>
      <c r="G129" s="62" t="str">
        <f t="shared" si="39"/>
        <v>-</v>
      </c>
      <c r="J129" s="17" t="s">
        <v>39</v>
      </c>
      <c r="K129" s="32" t="s">
        <v>65</v>
      </c>
      <c r="L129" s="32" t="s">
        <v>44</v>
      </c>
      <c r="O129" s="25">
        <v>5</v>
      </c>
      <c r="P129" s="62">
        <f t="shared" si="40"/>
        <v>5</v>
      </c>
      <c r="Q129" s="62" t="str">
        <f t="shared" si="41"/>
        <v>-</v>
      </c>
      <c r="R129" s="62" t="str">
        <f t="shared" si="42"/>
        <v>-</v>
      </c>
      <c r="S129" s="62" t="str">
        <f t="shared" si="43"/>
        <v>-</v>
      </c>
      <c r="T129" s="62" t="str">
        <f t="shared" si="44"/>
        <v>-</v>
      </c>
      <c r="V129" s="32">
        <f t="shared" si="45"/>
        <v>6</v>
      </c>
      <c r="Z129" s="25">
        <v>1</v>
      </c>
      <c r="AA129" s="54">
        <f t="shared" si="46"/>
        <v>0</v>
      </c>
      <c r="AB129" s="54">
        <f t="shared" si="47"/>
        <v>0</v>
      </c>
      <c r="AC129" s="54">
        <f t="shared" si="48"/>
        <v>0</v>
      </c>
      <c r="AD129" s="54">
        <f t="shared" si="49"/>
        <v>0</v>
      </c>
      <c r="AE129" s="54">
        <f t="shared" si="50"/>
        <v>0</v>
      </c>
      <c r="AG129" s="32">
        <f t="shared" si="51"/>
        <v>5</v>
      </c>
      <c r="AK129" s="25">
        <v>1</v>
      </c>
      <c r="AL129" s="54">
        <f t="shared" si="52"/>
        <v>0</v>
      </c>
      <c r="AM129" s="54">
        <f t="shared" si="53"/>
        <v>0</v>
      </c>
      <c r="AN129" s="54">
        <f t="shared" si="54"/>
        <v>0</v>
      </c>
      <c r="AO129" s="54">
        <f t="shared" si="55"/>
        <v>0</v>
      </c>
      <c r="AP129" s="54">
        <f t="shared" si="56"/>
        <v>0</v>
      </c>
      <c r="AR129" s="32">
        <f t="shared" si="57"/>
        <v>4</v>
      </c>
      <c r="AV129" s="25">
        <v>1</v>
      </c>
      <c r="AW129" s="54">
        <f t="shared" si="58"/>
        <v>0</v>
      </c>
      <c r="AX129" s="54">
        <f t="shared" si="59"/>
        <v>0</v>
      </c>
      <c r="AY129" s="54">
        <f t="shared" si="60"/>
        <v>0</v>
      </c>
      <c r="AZ129" s="54">
        <f t="shared" si="61"/>
        <v>0</v>
      </c>
      <c r="BA129" s="54">
        <f t="shared" si="62"/>
        <v>0</v>
      </c>
      <c r="BC129" s="32">
        <f t="shared" si="63"/>
        <v>3</v>
      </c>
      <c r="BG129" s="25">
        <v>1</v>
      </c>
      <c r="BH129" s="54">
        <f t="shared" si="64"/>
        <v>0</v>
      </c>
      <c r="BI129" s="54">
        <f t="shared" si="65"/>
        <v>0</v>
      </c>
      <c r="BJ129" s="54">
        <f t="shared" si="66"/>
        <v>0</v>
      </c>
      <c r="BK129" s="54">
        <f t="shared" si="67"/>
        <v>0</v>
      </c>
      <c r="BL129" s="54">
        <f t="shared" si="68"/>
        <v>0</v>
      </c>
      <c r="BN129" s="25">
        <f t="shared" si="69"/>
        <v>1</v>
      </c>
      <c r="BS129" s="39"/>
      <c r="BT129" s="39"/>
      <c r="BU129" s="39"/>
      <c r="BV129" s="39"/>
      <c r="BW129" s="39"/>
    </row>
    <row r="130" spans="3:75" x14ac:dyDescent="0.25">
      <c r="C130" s="62" t="str">
        <f t="shared" si="35"/>
        <v>-</v>
      </c>
      <c r="D130" s="62" t="str">
        <f t="shared" si="36"/>
        <v>-</v>
      </c>
      <c r="E130" s="62" t="str">
        <f t="shared" si="37"/>
        <v>-</v>
      </c>
      <c r="F130" s="62" t="str">
        <f t="shared" si="38"/>
        <v>-</v>
      </c>
      <c r="G130" s="62" t="str">
        <f t="shared" si="39"/>
        <v>-</v>
      </c>
      <c r="J130" s="17" t="s">
        <v>39</v>
      </c>
      <c r="K130" s="32" t="s">
        <v>84</v>
      </c>
      <c r="L130" s="32" t="s">
        <v>45</v>
      </c>
      <c r="O130" s="25">
        <v>5</v>
      </c>
      <c r="P130" s="62" t="str">
        <f t="shared" si="40"/>
        <v>-</v>
      </c>
      <c r="Q130" s="62" t="str">
        <f t="shared" si="41"/>
        <v>-</v>
      </c>
      <c r="R130" s="62">
        <f t="shared" si="42"/>
        <v>10</v>
      </c>
      <c r="S130" s="62">
        <f t="shared" si="43"/>
        <v>10</v>
      </c>
      <c r="T130" s="62" t="str">
        <f t="shared" si="44"/>
        <v>-</v>
      </c>
      <c r="V130" s="32">
        <f t="shared" si="45"/>
        <v>6</v>
      </c>
      <c r="Z130" s="25">
        <v>1</v>
      </c>
      <c r="AA130" s="54">
        <f t="shared" si="46"/>
        <v>0</v>
      </c>
      <c r="AB130" s="54">
        <f t="shared" si="47"/>
        <v>0</v>
      </c>
      <c r="AC130" s="54">
        <f t="shared" si="48"/>
        <v>0</v>
      </c>
      <c r="AD130" s="54">
        <f t="shared" si="49"/>
        <v>0</v>
      </c>
      <c r="AE130" s="54">
        <f t="shared" si="50"/>
        <v>0</v>
      </c>
      <c r="AG130" s="32">
        <f t="shared" si="51"/>
        <v>5</v>
      </c>
      <c r="AK130" s="25">
        <v>1</v>
      </c>
      <c r="AL130" s="54">
        <f t="shared" si="52"/>
        <v>0</v>
      </c>
      <c r="AM130" s="54">
        <f t="shared" si="53"/>
        <v>0</v>
      </c>
      <c r="AN130" s="54">
        <f t="shared" si="54"/>
        <v>0</v>
      </c>
      <c r="AO130" s="54">
        <f t="shared" si="55"/>
        <v>0</v>
      </c>
      <c r="AP130" s="54">
        <f t="shared" si="56"/>
        <v>0</v>
      </c>
      <c r="AR130" s="32">
        <f t="shared" si="57"/>
        <v>4</v>
      </c>
      <c r="AV130" s="25">
        <v>1</v>
      </c>
      <c r="AW130" s="54">
        <f t="shared" si="58"/>
        <v>0</v>
      </c>
      <c r="AX130" s="54">
        <f t="shared" si="59"/>
        <v>0</v>
      </c>
      <c r="AY130" s="54">
        <f t="shared" si="60"/>
        <v>0</v>
      </c>
      <c r="AZ130" s="54">
        <f t="shared" si="61"/>
        <v>0</v>
      </c>
      <c r="BA130" s="54">
        <f t="shared" si="62"/>
        <v>0</v>
      </c>
      <c r="BC130" s="32">
        <f t="shared" si="63"/>
        <v>3</v>
      </c>
      <c r="BG130" s="25">
        <v>1</v>
      </c>
      <c r="BH130" s="54">
        <f t="shared" si="64"/>
        <v>0</v>
      </c>
      <c r="BI130" s="54">
        <f t="shared" si="65"/>
        <v>0</v>
      </c>
      <c r="BJ130" s="54">
        <f t="shared" si="66"/>
        <v>0</v>
      </c>
      <c r="BK130" s="54">
        <f t="shared" si="67"/>
        <v>0</v>
      </c>
      <c r="BL130" s="54">
        <f t="shared" si="68"/>
        <v>0</v>
      </c>
      <c r="BN130" s="25">
        <f t="shared" si="69"/>
        <v>1</v>
      </c>
      <c r="BS130" s="39"/>
      <c r="BT130" s="39"/>
      <c r="BU130" s="39"/>
      <c r="BV130" s="39"/>
      <c r="BW130" s="39"/>
    </row>
    <row r="131" spans="3:75" x14ac:dyDescent="0.25">
      <c r="C131" s="62" t="str">
        <f t="shared" ref="C131:C194" si="70">IF($B131&lt;&gt;"",SUMIFS(P:P,$J:$J,$B131),"-")</f>
        <v>-</v>
      </c>
      <c r="D131" s="62" t="str">
        <f t="shared" ref="D131:D194" si="71">IF($B131&lt;&gt;"",SUMIFS(Q:Q,$J:$J,$B131),"-")</f>
        <v>-</v>
      </c>
      <c r="E131" s="62" t="str">
        <f t="shared" ref="E131:E194" si="72">IF($B131&lt;&gt;"",SUMIFS(R:R,$J:$J,$B131),"-")</f>
        <v>-</v>
      </c>
      <c r="F131" s="62" t="str">
        <f t="shared" ref="F131:F194" si="73">IF($B131&lt;&gt;"",SUMIFS(S:S,$J:$J,$B131),"-")</f>
        <v>-</v>
      </c>
      <c r="G131" s="62" t="str">
        <f t="shared" ref="G131:G194" si="74">IF($B131&lt;&gt;"",SUMIFS(T:T,$J:$J,$B131),"-")</f>
        <v>-</v>
      </c>
      <c r="J131" s="17" t="s">
        <v>104</v>
      </c>
      <c r="K131" s="32" t="s">
        <v>58</v>
      </c>
      <c r="L131" s="32" t="s">
        <v>45</v>
      </c>
      <c r="M131" s="32"/>
      <c r="N131" s="32"/>
      <c r="O131" s="25">
        <v>1</v>
      </c>
      <c r="P131" s="62">
        <f t="shared" ref="P131:P194" si="75">IF(SUMIFS(AA:AA,$W:$W,$K131)&gt;0, SUMIFS(AA:AA,$W:$W,$K131)*$O131,"-")</f>
        <v>1</v>
      </c>
      <c r="Q131" s="62">
        <f t="shared" ref="Q131:Q194" si="76">IF(SUMIFS(AB:AB,$W:$W,$K131)&gt;0, SUMIFS(AB:AB,$W:$W,$K131)*$O131,"-")</f>
        <v>1</v>
      </c>
      <c r="R131" s="62" t="str">
        <f t="shared" ref="R131:R194" si="77">IF(SUMIFS(AC:AC,$W:$W,$K131)&gt;0, SUMIFS(AC:AC,$W:$W,$K131)*$O131,"-")</f>
        <v>-</v>
      </c>
      <c r="S131" s="62" t="str">
        <f t="shared" ref="S131:S194" si="78">IF(SUMIFS(AD:AD,$W:$W,$K131)&gt;0, SUMIFS(AD:AD,$W:$W,$K131)*$O131,"-")</f>
        <v>-</v>
      </c>
      <c r="T131" s="62" t="str">
        <f t="shared" ref="T131:T194" si="79">IF(SUMIFS(AE:AE,$W:$W,$K131)&gt;0, SUMIFS(AE:AE,$W:$W,$K131)*$O131,"-")</f>
        <v>-</v>
      </c>
      <c r="V131" s="32">
        <f t="shared" ref="V131:V194" si="80">IF(ISNA(VLOOKUP(W131,AH:AH,1,FALSE)),V$2+1,V$2)</f>
        <v>6</v>
      </c>
      <c r="Z131" s="25">
        <v>1</v>
      </c>
      <c r="AA131" s="54">
        <f t="shared" ref="AA131:AA194" si="81">SUMIFS(AL:AL,AH:AH,W131)*Z131</f>
        <v>0</v>
      </c>
      <c r="AB131" s="54">
        <f t="shared" ref="AB131:AB194" si="82">SUMIFS(AM:AM,AH:AH,W131)*Z131</f>
        <v>0</v>
      </c>
      <c r="AC131" s="54">
        <f t="shared" ref="AC131:AC194" si="83">SUMIFS(AN:AN,AH:AH,W131)*Z131</f>
        <v>0</v>
      </c>
      <c r="AD131" s="54">
        <f t="shared" ref="AD131:AD194" si="84">SUMIFS(AO:AO,AH:AH,W131)*Z131</f>
        <v>0</v>
      </c>
      <c r="AE131" s="54">
        <f t="shared" ref="AE131:AE194" si="85">SUMIFS(AP:AP,AH:AH,W131)*Z131</f>
        <v>0</v>
      </c>
      <c r="AG131" s="32">
        <f t="shared" ref="AG131:AG194" si="86">IF(ISNA(VLOOKUP(AH131,AS:AS,1,FALSE)),AG$2+1,AG$2)</f>
        <v>5</v>
      </c>
      <c r="AK131" s="25">
        <v>1</v>
      </c>
      <c r="AL131" s="54">
        <f t="shared" ref="AL131:AL194" si="87">SUMIFS(AW:AW,$AS:$AS,$AI131)*$AK131</f>
        <v>0</v>
      </c>
      <c r="AM131" s="54">
        <f t="shared" ref="AM131:AM194" si="88">SUMIFS(AX:AX,$AS:$AS,$AI131)*$AK131</f>
        <v>0</v>
      </c>
      <c r="AN131" s="54">
        <f t="shared" ref="AN131:AN194" si="89">SUMIFS(AY:AY,$AS:$AS,$AI131)*$AK131</f>
        <v>0</v>
      </c>
      <c r="AO131" s="54">
        <f t="shared" ref="AO131:AO194" si="90">SUMIFS(AZ:AZ,$AS:$AS,$AI131)*$AK131</f>
        <v>0</v>
      </c>
      <c r="AP131" s="54">
        <f t="shared" ref="AP131:AP194" si="91">SUMIFS(BA:BA,$AS:$AS,$AI131)*$AK131</f>
        <v>0</v>
      </c>
      <c r="AR131" s="32">
        <f t="shared" ref="AR131:AR194" si="92">IF(ISNA(VLOOKUP(AS131,BD:BD,1,FALSE)),AR$2+1,AR$2)</f>
        <v>4</v>
      </c>
      <c r="AV131" s="25">
        <v>1</v>
      </c>
      <c r="AW131" s="54">
        <f t="shared" ref="AW131:AW194" si="93">SUMIFS(BH:BH,BD:BD,AT131)*AV131</f>
        <v>0</v>
      </c>
      <c r="AX131" s="54">
        <f t="shared" ref="AX131:AX194" si="94">SUMIFS(BI:BI,BD:BD,AT131)*AV131</f>
        <v>0</v>
      </c>
      <c r="AY131" s="54">
        <f t="shared" ref="AY131:AY194" si="95">SUMIFS(BJ:BJ,BD:BD,AT131)*AV131</f>
        <v>0</v>
      </c>
      <c r="AZ131" s="54">
        <f t="shared" ref="AZ131:AZ194" si="96">SUMIFS(BK:BK,BD:BD,AT131)*AV131</f>
        <v>0</v>
      </c>
      <c r="BA131" s="54">
        <f t="shared" ref="BA131:BA194" si="97">SUMIFS(BL:BL,BD:BD,AT131)*AV131</f>
        <v>0</v>
      </c>
      <c r="BC131" s="32">
        <f t="shared" ref="BC131:BC194" si="98">IF(ISNA(VLOOKUP(BD131,BO:BO,1,FALSE)),BC$2+1,BC$2)</f>
        <v>3</v>
      </c>
      <c r="BG131" s="25">
        <v>1</v>
      </c>
      <c r="BH131" s="54">
        <f t="shared" ref="BH131:BH194" si="99">SUMIFS(BS:BS,BO:BO,BE131)*BG131</f>
        <v>0</v>
      </c>
      <c r="BI131" s="54">
        <f t="shared" ref="BI131:BI194" si="100">SUMIFS(BT:BT,BO:BO,BE131)*BG131</f>
        <v>0</v>
      </c>
      <c r="BJ131" s="54">
        <f t="shared" ref="BJ131:BJ194" si="101">SUMIFS(BU:BU,BO:BO,BE131)*BG131</f>
        <v>0</v>
      </c>
      <c r="BK131" s="54">
        <f t="shared" ref="BK131:BK194" si="102">SUMIFS(BV:BV,BO:BO,BE131)*BG131</f>
        <v>0</v>
      </c>
      <c r="BL131" s="54">
        <f t="shared" ref="BL131:BL194" si="103">SUMIFS(BW:BW,BO:BO,BE131)*BG131</f>
        <v>0</v>
      </c>
      <c r="BN131" s="25">
        <f t="shared" si="69"/>
        <v>1</v>
      </c>
      <c r="BS131" s="39"/>
      <c r="BT131" s="39"/>
      <c r="BU131" s="39"/>
      <c r="BV131" s="39"/>
      <c r="BW131" s="39"/>
    </row>
    <row r="132" spans="3:75" x14ac:dyDescent="0.25">
      <c r="C132" s="62" t="str">
        <f t="shared" si="70"/>
        <v>-</v>
      </c>
      <c r="D132" s="62" t="str">
        <f t="shared" si="71"/>
        <v>-</v>
      </c>
      <c r="E132" s="62" t="str">
        <f t="shared" si="72"/>
        <v>-</v>
      </c>
      <c r="F132" s="62" t="str">
        <f t="shared" si="73"/>
        <v>-</v>
      </c>
      <c r="G132" s="62" t="str">
        <f t="shared" si="74"/>
        <v>-</v>
      </c>
      <c r="J132" s="17" t="s">
        <v>181</v>
      </c>
      <c r="K132" s="32" t="s">
        <v>58</v>
      </c>
      <c r="L132" s="32" t="s">
        <v>45</v>
      </c>
      <c r="O132" s="25">
        <v>2</v>
      </c>
      <c r="P132" s="62">
        <f t="shared" si="75"/>
        <v>2</v>
      </c>
      <c r="Q132" s="62">
        <f t="shared" si="76"/>
        <v>2</v>
      </c>
      <c r="R132" s="62" t="str">
        <f t="shared" si="77"/>
        <v>-</v>
      </c>
      <c r="S132" s="62" t="str">
        <f t="shared" si="78"/>
        <v>-</v>
      </c>
      <c r="T132" s="62" t="str">
        <f t="shared" si="79"/>
        <v>-</v>
      </c>
      <c r="V132" s="32">
        <f t="shared" si="80"/>
        <v>6</v>
      </c>
      <c r="Z132" s="25">
        <v>1</v>
      </c>
      <c r="AA132" s="54">
        <f t="shared" si="81"/>
        <v>0</v>
      </c>
      <c r="AB132" s="54">
        <f t="shared" si="82"/>
        <v>0</v>
      </c>
      <c r="AC132" s="54">
        <f t="shared" si="83"/>
        <v>0</v>
      </c>
      <c r="AD132" s="54">
        <f t="shared" si="84"/>
        <v>0</v>
      </c>
      <c r="AE132" s="54">
        <f t="shared" si="85"/>
        <v>0</v>
      </c>
      <c r="AG132" s="32">
        <f t="shared" si="86"/>
        <v>5</v>
      </c>
      <c r="AK132" s="25">
        <v>1</v>
      </c>
      <c r="AL132" s="54">
        <f t="shared" si="87"/>
        <v>0</v>
      </c>
      <c r="AM132" s="54">
        <f t="shared" si="88"/>
        <v>0</v>
      </c>
      <c r="AN132" s="54">
        <f t="shared" si="89"/>
        <v>0</v>
      </c>
      <c r="AO132" s="54">
        <f t="shared" si="90"/>
        <v>0</v>
      </c>
      <c r="AP132" s="54">
        <f t="shared" si="91"/>
        <v>0</v>
      </c>
      <c r="AR132" s="32">
        <f t="shared" si="92"/>
        <v>4</v>
      </c>
      <c r="AV132" s="25">
        <v>1</v>
      </c>
      <c r="AW132" s="54">
        <f t="shared" si="93"/>
        <v>0</v>
      </c>
      <c r="AX132" s="54">
        <f t="shared" si="94"/>
        <v>0</v>
      </c>
      <c r="AY132" s="54">
        <f t="shared" si="95"/>
        <v>0</v>
      </c>
      <c r="AZ132" s="54">
        <f t="shared" si="96"/>
        <v>0</v>
      </c>
      <c r="BA132" s="54">
        <f t="shared" si="97"/>
        <v>0</v>
      </c>
      <c r="BC132" s="32">
        <f t="shared" si="98"/>
        <v>3</v>
      </c>
      <c r="BG132" s="25">
        <v>1</v>
      </c>
      <c r="BH132" s="54">
        <f t="shared" si="99"/>
        <v>0</v>
      </c>
      <c r="BI132" s="54">
        <f t="shared" si="100"/>
        <v>0</v>
      </c>
      <c r="BJ132" s="54">
        <f t="shared" si="101"/>
        <v>0</v>
      </c>
      <c r="BK132" s="54">
        <f t="shared" si="102"/>
        <v>0</v>
      </c>
      <c r="BL132" s="54">
        <f t="shared" si="103"/>
        <v>0</v>
      </c>
      <c r="BN132" s="25">
        <f t="shared" ref="BN132:BN195" si="104">BN$2</f>
        <v>1</v>
      </c>
      <c r="BS132" s="39"/>
      <c r="BT132" s="39"/>
      <c r="BU132" s="39"/>
      <c r="BV132" s="39"/>
      <c r="BW132" s="39"/>
    </row>
    <row r="133" spans="3:75" x14ac:dyDescent="0.25">
      <c r="C133" s="62" t="str">
        <f t="shared" si="70"/>
        <v>-</v>
      </c>
      <c r="D133" s="62" t="str">
        <f t="shared" si="71"/>
        <v>-</v>
      </c>
      <c r="E133" s="62" t="str">
        <f t="shared" si="72"/>
        <v>-</v>
      </c>
      <c r="F133" s="62" t="str">
        <f t="shared" si="73"/>
        <v>-</v>
      </c>
      <c r="G133" s="62" t="str">
        <f t="shared" si="74"/>
        <v>-</v>
      </c>
      <c r="J133" s="17" t="s">
        <v>181</v>
      </c>
      <c r="K133" s="32" t="s">
        <v>65</v>
      </c>
      <c r="L133" s="32" t="s">
        <v>44</v>
      </c>
      <c r="O133" s="25">
        <v>1</v>
      </c>
      <c r="P133" s="62">
        <f t="shared" si="75"/>
        <v>1</v>
      </c>
      <c r="Q133" s="62" t="str">
        <f t="shared" si="76"/>
        <v>-</v>
      </c>
      <c r="R133" s="62" t="str">
        <f t="shared" si="77"/>
        <v>-</v>
      </c>
      <c r="S133" s="62" t="str">
        <f t="shared" si="78"/>
        <v>-</v>
      </c>
      <c r="T133" s="62" t="str">
        <f t="shared" si="79"/>
        <v>-</v>
      </c>
      <c r="V133" s="32">
        <f t="shared" si="80"/>
        <v>6</v>
      </c>
      <c r="Z133" s="25">
        <v>1</v>
      </c>
      <c r="AA133" s="54">
        <f t="shared" si="81"/>
        <v>0</v>
      </c>
      <c r="AB133" s="54">
        <f t="shared" si="82"/>
        <v>0</v>
      </c>
      <c r="AC133" s="54">
        <f t="shared" si="83"/>
        <v>0</v>
      </c>
      <c r="AD133" s="54">
        <f t="shared" si="84"/>
        <v>0</v>
      </c>
      <c r="AE133" s="54">
        <f t="shared" si="85"/>
        <v>0</v>
      </c>
      <c r="AG133" s="32">
        <f t="shared" si="86"/>
        <v>5</v>
      </c>
      <c r="AK133" s="25">
        <v>1</v>
      </c>
      <c r="AL133" s="54">
        <f t="shared" si="87"/>
        <v>0</v>
      </c>
      <c r="AM133" s="54">
        <f t="shared" si="88"/>
        <v>0</v>
      </c>
      <c r="AN133" s="54">
        <f t="shared" si="89"/>
        <v>0</v>
      </c>
      <c r="AO133" s="54">
        <f t="shared" si="90"/>
        <v>0</v>
      </c>
      <c r="AP133" s="54">
        <f t="shared" si="91"/>
        <v>0</v>
      </c>
      <c r="AR133" s="32">
        <f t="shared" si="92"/>
        <v>4</v>
      </c>
      <c r="AV133" s="25">
        <v>1</v>
      </c>
      <c r="AW133" s="54">
        <f t="shared" si="93"/>
        <v>0</v>
      </c>
      <c r="AX133" s="54">
        <f t="shared" si="94"/>
        <v>0</v>
      </c>
      <c r="AY133" s="54">
        <f t="shared" si="95"/>
        <v>0</v>
      </c>
      <c r="AZ133" s="54">
        <f t="shared" si="96"/>
        <v>0</v>
      </c>
      <c r="BA133" s="54">
        <f t="shared" si="97"/>
        <v>0</v>
      </c>
      <c r="BC133" s="32">
        <f t="shared" si="98"/>
        <v>3</v>
      </c>
      <c r="BG133" s="25">
        <v>1</v>
      </c>
      <c r="BH133" s="54">
        <f t="shared" si="99"/>
        <v>0</v>
      </c>
      <c r="BI133" s="54">
        <f t="shared" si="100"/>
        <v>0</v>
      </c>
      <c r="BJ133" s="54">
        <f t="shared" si="101"/>
        <v>0</v>
      </c>
      <c r="BK133" s="54">
        <f t="shared" si="102"/>
        <v>0</v>
      </c>
      <c r="BL133" s="54">
        <f t="shared" si="103"/>
        <v>0</v>
      </c>
      <c r="BN133" s="25">
        <f t="shared" si="104"/>
        <v>1</v>
      </c>
      <c r="BS133" s="39"/>
      <c r="BT133" s="39"/>
      <c r="BU133" s="39"/>
      <c r="BV133" s="39"/>
      <c r="BW133" s="39"/>
    </row>
    <row r="134" spans="3:75" x14ac:dyDescent="0.25">
      <c r="C134" s="62" t="str">
        <f t="shared" si="70"/>
        <v>-</v>
      </c>
      <c r="D134" s="62" t="str">
        <f t="shared" si="71"/>
        <v>-</v>
      </c>
      <c r="E134" s="62" t="str">
        <f t="shared" si="72"/>
        <v>-</v>
      </c>
      <c r="F134" s="62" t="str">
        <f t="shared" si="73"/>
        <v>-</v>
      </c>
      <c r="G134" s="62" t="str">
        <f t="shared" si="74"/>
        <v>-</v>
      </c>
      <c r="J134" s="17" t="s">
        <v>26</v>
      </c>
      <c r="K134" s="32" t="s">
        <v>53</v>
      </c>
      <c r="O134" s="25">
        <v>1</v>
      </c>
      <c r="P134" s="62">
        <f t="shared" si="75"/>
        <v>1</v>
      </c>
      <c r="Q134" s="62" t="str">
        <f t="shared" si="76"/>
        <v>-</v>
      </c>
      <c r="R134" s="62">
        <f t="shared" si="77"/>
        <v>1</v>
      </c>
      <c r="S134" s="62" t="str">
        <f t="shared" si="78"/>
        <v>-</v>
      </c>
      <c r="T134" s="62" t="str">
        <f t="shared" si="79"/>
        <v>-</v>
      </c>
      <c r="V134" s="32">
        <f t="shared" si="80"/>
        <v>6</v>
      </c>
      <c r="Z134" s="25">
        <v>1</v>
      </c>
      <c r="AA134" s="54">
        <f t="shared" si="81"/>
        <v>0</v>
      </c>
      <c r="AB134" s="54">
        <f t="shared" si="82"/>
        <v>0</v>
      </c>
      <c r="AC134" s="54">
        <f t="shared" si="83"/>
        <v>0</v>
      </c>
      <c r="AD134" s="54">
        <f t="shared" si="84"/>
        <v>0</v>
      </c>
      <c r="AE134" s="54">
        <f t="shared" si="85"/>
        <v>0</v>
      </c>
      <c r="AG134" s="32">
        <f t="shared" si="86"/>
        <v>5</v>
      </c>
      <c r="AK134" s="25">
        <v>1</v>
      </c>
      <c r="AL134" s="54">
        <f t="shared" si="87"/>
        <v>0</v>
      </c>
      <c r="AM134" s="54">
        <f t="shared" si="88"/>
        <v>0</v>
      </c>
      <c r="AN134" s="54">
        <f t="shared" si="89"/>
        <v>0</v>
      </c>
      <c r="AO134" s="54">
        <f t="shared" si="90"/>
        <v>0</v>
      </c>
      <c r="AP134" s="54">
        <f t="shared" si="91"/>
        <v>0</v>
      </c>
      <c r="AR134" s="32">
        <f t="shared" si="92"/>
        <v>4</v>
      </c>
      <c r="AV134" s="25">
        <v>1</v>
      </c>
      <c r="AW134" s="54">
        <f t="shared" si="93"/>
        <v>0</v>
      </c>
      <c r="AX134" s="54">
        <f t="shared" si="94"/>
        <v>0</v>
      </c>
      <c r="AY134" s="54">
        <f t="shared" si="95"/>
        <v>0</v>
      </c>
      <c r="AZ134" s="54">
        <f t="shared" si="96"/>
        <v>0</v>
      </c>
      <c r="BA134" s="54">
        <f t="shared" si="97"/>
        <v>0</v>
      </c>
      <c r="BC134" s="32">
        <f t="shared" si="98"/>
        <v>3</v>
      </c>
      <c r="BG134" s="25">
        <v>1</v>
      </c>
      <c r="BH134" s="54">
        <f t="shared" si="99"/>
        <v>0</v>
      </c>
      <c r="BI134" s="54">
        <f t="shared" si="100"/>
        <v>0</v>
      </c>
      <c r="BJ134" s="54">
        <f t="shared" si="101"/>
        <v>0</v>
      </c>
      <c r="BK134" s="54">
        <f t="shared" si="102"/>
        <v>0</v>
      </c>
      <c r="BL134" s="54">
        <f t="shared" si="103"/>
        <v>0</v>
      </c>
      <c r="BN134" s="25">
        <f t="shared" si="104"/>
        <v>1</v>
      </c>
      <c r="BS134" s="39"/>
      <c r="BT134" s="39"/>
      <c r="BU134" s="39"/>
      <c r="BV134" s="39"/>
      <c r="BW134" s="39"/>
    </row>
    <row r="135" spans="3:75" x14ac:dyDescent="0.25">
      <c r="C135" s="62" t="str">
        <f t="shared" si="70"/>
        <v>-</v>
      </c>
      <c r="D135" s="62" t="str">
        <f t="shared" si="71"/>
        <v>-</v>
      </c>
      <c r="E135" s="62" t="str">
        <f t="shared" si="72"/>
        <v>-</v>
      </c>
      <c r="F135" s="62" t="str">
        <f t="shared" si="73"/>
        <v>-</v>
      </c>
      <c r="G135" s="62" t="str">
        <f t="shared" si="74"/>
        <v>-</v>
      </c>
      <c r="J135" s="17" t="s">
        <v>26</v>
      </c>
      <c r="K135" s="32" t="s">
        <v>62</v>
      </c>
      <c r="L135" s="32" t="s">
        <v>45</v>
      </c>
      <c r="M135" s="40" t="s">
        <v>61</v>
      </c>
      <c r="O135" s="25">
        <v>2</v>
      </c>
      <c r="P135" s="62" t="str">
        <f t="shared" si="75"/>
        <v>-</v>
      </c>
      <c r="Q135" s="62" t="str">
        <f t="shared" si="76"/>
        <v>-</v>
      </c>
      <c r="R135" s="62">
        <f t="shared" si="77"/>
        <v>4</v>
      </c>
      <c r="S135" s="62" t="str">
        <f t="shared" si="78"/>
        <v>-</v>
      </c>
      <c r="T135" s="62" t="str">
        <f t="shared" si="79"/>
        <v>-</v>
      </c>
      <c r="V135" s="32">
        <f t="shared" si="80"/>
        <v>6</v>
      </c>
      <c r="Z135" s="25">
        <v>1</v>
      </c>
      <c r="AA135" s="54">
        <f t="shared" si="81"/>
        <v>0</v>
      </c>
      <c r="AB135" s="54">
        <f t="shared" si="82"/>
        <v>0</v>
      </c>
      <c r="AC135" s="54">
        <f t="shared" si="83"/>
        <v>0</v>
      </c>
      <c r="AD135" s="54">
        <f t="shared" si="84"/>
        <v>0</v>
      </c>
      <c r="AE135" s="54">
        <f t="shared" si="85"/>
        <v>0</v>
      </c>
      <c r="AG135" s="32">
        <f t="shared" si="86"/>
        <v>5</v>
      </c>
      <c r="AK135" s="25">
        <v>1</v>
      </c>
      <c r="AL135" s="54">
        <f t="shared" si="87"/>
        <v>0</v>
      </c>
      <c r="AM135" s="54">
        <f t="shared" si="88"/>
        <v>0</v>
      </c>
      <c r="AN135" s="54">
        <f t="shared" si="89"/>
        <v>0</v>
      </c>
      <c r="AO135" s="54">
        <f t="shared" si="90"/>
        <v>0</v>
      </c>
      <c r="AP135" s="54">
        <f t="shared" si="91"/>
        <v>0</v>
      </c>
      <c r="AR135" s="32">
        <f t="shared" si="92"/>
        <v>4</v>
      </c>
      <c r="AV135" s="25">
        <v>1</v>
      </c>
      <c r="AW135" s="54">
        <f t="shared" si="93"/>
        <v>0</v>
      </c>
      <c r="AX135" s="54">
        <f t="shared" si="94"/>
        <v>0</v>
      </c>
      <c r="AY135" s="54">
        <f t="shared" si="95"/>
        <v>0</v>
      </c>
      <c r="AZ135" s="54">
        <f t="shared" si="96"/>
        <v>0</v>
      </c>
      <c r="BA135" s="54">
        <f t="shared" si="97"/>
        <v>0</v>
      </c>
      <c r="BC135" s="32">
        <f t="shared" si="98"/>
        <v>3</v>
      </c>
      <c r="BG135" s="25">
        <v>1</v>
      </c>
      <c r="BH135" s="54">
        <f t="shared" si="99"/>
        <v>0</v>
      </c>
      <c r="BI135" s="54">
        <f t="shared" si="100"/>
        <v>0</v>
      </c>
      <c r="BJ135" s="54">
        <f t="shared" si="101"/>
        <v>0</v>
      </c>
      <c r="BK135" s="54">
        <f t="shared" si="102"/>
        <v>0</v>
      </c>
      <c r="BL135" s="54">
        <f t="shared" si="103"/>
        <v>0</v>
      </c>
      <c r="BN135" s="25">
        <f t="shared" si="104"/>
        <v>1</v>
      </c>
      <c r="BS135" s="39"/>
      <c r="BT135" s="39"/>
      <c r="BU135" s="39"/>
      <c r="BV135" s="39"/>
      <c r="BW135" s="39"/>
    </row>
    <row r="136" spans="3:75" x14ac:dyDescent="0.25">
      <c r="C136" s="62" t="str">
        <f t="shared" si="70"/>
        <v>-</v>
      </c>
      <c r="D136" s="62" t="str">
        <f t="shared" si="71"/>
        <v>-</v>
      </c>
      <c r="E136" s="62" t="str">
        <f t="shared" si="72"/>
        <v>-</v>
      </c>
      <c r="F136" s="62" t="str">
        <f t="shared" si="73"/>
        <v>-</v>
      </c>
      <c r="G136" s="62" t="str">
        <f t="shared" si="74"/>
        <v>-</v>
      </c>
      <c r="J136" s="17" t="s">
        <v>26</v>
      </c>
      <c r="K136" s="32" t="s">
        <v>65</v>
      </c>
      <c r="O136" s="25">
        <v>5</v>
      </c>
      <c r="P136" s="62">
        <f t="shared" si="75"/>
        <v>5</v>
      </c>
      <c r="Q136" s="62" t="str">
        <f t="shared" si="76"/>
        <v>-</v>
      </c>
      <c r="R136" s="62" t="str">
        <f t="shared" si="77"/>
        <v>-</v>
      </c>
      <c r="S136" s="62" t="str">
        <f t="shared" si="78"/>
        <v>-</v>
      </c>
      <c r="T136" s="62" t="str">
        <f t="shared" si="79"/>
        <v>-</v>
      </c>
      <c r="V136" s="32">
        <f t="shared" si="80"/>
        <v>6</v>
      </c>
      <c r="Z136" s="25">
        <v>1</v>
      </c>
      <c r="AA136" s="54">
        <f t="shared" si="81"/>
        <v>0</v>
      </c>
      <c r="AB136" s="54">
        <f t="shared" si="82"/>
        <v>0</v>
      </c>
      <c r="AC136" s="54">
        <f t="shared" si="83"/>
        <v>0</v>
      </c>
      <c r="AD136" s="54">
        <f t="shared" si="84"/>
        <v>0</v>
      </c>
      <c r="AE136" s="54">
        <f t="shared" si="85"/>
        <v>0</v>
      </c>
      <c r="AG136" s="32">
        <f t="shared" si="86"/>
        <v>5</v>
      </c>
      <c r="AK136" s="25">
        <v>1</v>
      </c>
      <c r="AL136" s="54">
        <f t="shared" si="87"/>
        <v>0</v>
      </c>
      <c r="AM136" s="54">
        <f t="shared" si="88"/>
        <v>0</v>
      </c>
      <c r="AN136" s="54">
        <f t="shared" si="89"/>
        <v>0</v>
      </c>
      <c r="AO136" s="54">
        <f t="shared" si="90"/>
        <v>0</v>
      </c>
      <c r="AP136" s="54">
        <f t="shared" si="91"/>
        <v>0</v>
      </c>
      <c r="AR136" s="32">
        <f t="shared" si="92"/>
        <v>4</v>
      </c>
      <c r="AV136" s="25">
        <v>1</v>
      </c>
      <c r="AW136" s="54">
        <f t="shared" si="93"/>
        <v>0</v>
      </c>
      <c r="AX136" s="54">
        <f t="shared" si="94"/>
        <v>0</v>
      </c>
      <c r="AY136" s="54">
        <f t="shared" si="95"/>
        <v>0</v>
      </c>
      <c r="AZ136" s="54">
        <f t="shared" si="96"/>
        <v>0</v>
      </c>
      <c r="BA136" s="54">
        <f t="shared" si="97"/>
        <v>0</v>
      </c>
      <c r="BC136" s="32">
        <f t="shared" si="98"/>
        <v>3</v>
      </c>
      <c r="BG136" s="25">
        <v>1</v>
      </c>
      <c r="BH136" s="54">
        <f t="shared" si="99"/>
        <v>0</v>
      </c>
      <c r="BI136" s="54">
        <f t="shared" si="100"/>
        <v>0</v>
      </c>
      <c r="BJ136" s="54">
        <f t="shared" si="101"/>
        <v>0</v>
      </c>
      <c r="BK136" s="54">
        <f t="shared" si="102"/>
        <v>0</v>
      </c>
      <c r="BL136" s="54">
        <f t="shared" si="103"/>
        <v>0</v>
      </c>
      <c r="BN136" s="25">
        <f t="shared" si="104"/>
        <v>1</v>
      </c>
      <c r="BS136" s="39"/>
      <c r="BT136" s="39"/>
      <c r="BU136" s="39"/>
      <c r="BV136" s="39"/>
      <c r="BW136" s="39"/>
    </row>
    <row r="137" spans="3:75" x14ac:dyDescent="0.25">
      <c r="C137" s="62" t="str">
        <f t="shared" si="70"/>
        <v>-</v>
      </c>
      <c r="D137" s="62" t="str">
        <f t="shared" si="71"/>
        <v>-</v>
      </c>
      <c r="E137" s="62" t="str">
        <f t="shared" si="72"/>
        <v>-</v>
      </c>
      <c r="F137" s="62" t="str">
        <f t="shared" si="73"/>
        <v>-</v>
      </c>
      <c r="G137" s="62" t="str">
        <f t="shared" si="74"/>
        <v>-</v>
      </c>
      <c r="J137" s="17" t="s">
        <v>26</v>
      </c>
      <c r="K137" s="32" t="s">
        <v>83</v>
      </c>
      <c r="M137" s="40" t="s">
        <v>96</v>
      </c>
      <c r="O137" s="25">
        <v>1</v>
      </c>
      <c r="P137" s="62" t="str">
        <f t="shared" si="75"/>
        <v>-</v>
      </c>
      <c r="Q137" s="62" t="str">
        <f t="shared" si="76"/>
        <v>-</v>
      </c>
      <c r="R137" s="62">
        <f t="shared" si="77"/>
        <v>2</v>
      </c>
      <c r="S137" s="62">
        <f t="shared" si="78"/>
        <v>1</v>
      </c>
      <c r="T137" s="62" t="str">
        <f t="shared" si="79"/>
        <v>-</v>
      </c>
      <c r="V137" s="32">
        <f t="shared" si="80"/>
        <v>6</v>
      </c>
      <c r="Z137" s="25">
        <v>1</v>
      </c>
      <c r="AA137" s="54">
        <f t="shared" si="81"/>
        <v>0</v>
      </c>
      <c r="AB137" s="54">
        <f t="shared" si="82"/>
        <v>0</v>
      </c>
      <c r="AC137" s="54">
        <f t="shared" si="83"/>
        <v>0</v>
      </c>
      <c r="AD137" s="54">
        <f t="shared" si="84"/>
        <v>0</v>
      </c>
      <c r="AE137" s="54">
        <f t="shared" si="85"/>
        <v>0</v>
      </c>
      <c r="AG137" s="32">
        <f t="shared" si="86"/>
        <v>5</v>
      </c>
      <c r="AK137" s="25">
        <v>1</v>
      </c>
      <c r="AL137" s="54">
        <f t="shared" si="87"/>
        <v>0</v>
      </c>
      <c r="AM137" s="54">
        <f t="shared" si="88"/>
        <v>0</v>
      </c>
      <c r="AN137" s="54">
        <f t="shared" si="89"/>
        <v>0</v>
      </c>
      <c r="AO137" s="54">
        <f t="shared" si="90"/>
        <v>0</v>
      </c>
      <c r="AP137" s="54">
        <f t="shared" si="91"/>
        <v>0</v>
      </c>
      <c r="AR137" s="32">
        <f t="shared" si="92"/>
        <v>4</v>
      </c>
      <c r="AV137" s="25">
        <v>1</v>
      </c>
      <c r="AW137" s="54">
        <f t="shared" si="93"/>
        <v>0</v>
      </c>
      <c r="AX137" s="54">
        <f t="shared" si="94"/>
        <v>0</v>
      </c>
      <c r="AY137" s="54">
        <f t="shared" si="95"/>
        <v>0</v>
      </c>
      <c r="AZ137" s="54">
        <f t="shared" si="96"/>
        <v>0</v>
      </c>
      <c r="BA137" s="54">
        <f t="shared" si="97"/>
        <v>0</v>
      </c>
      <c r="BC137" s="32">
        <f t="shared" si="98"/>
        <v>3</v>
      </c>
      <c r="BG137" s="25">
        <v>1</v>
      </c>
      <c r="BH137" s="54">
        <f t="shared" si="99"/>
        <v>0</v>
      </c>
      <c r="BI137" s="54">
        <f t="shared" si="100"/>
        <v>0</v>
      </c>
      <c r="BJ137" s="54">
        <f t="shared" si="101"/>
        <v>0</v>
      </c>
      <c r="BK137" s="54">
        <f t="shared" si="102"/>
        <v>0</v>
      </c>
      <c r="BL137" s="54">
        <f t="shared" si="103"/>
        <v>0</v>
      </c>
      <c r="BN137" s="25">
        <f t="shared" si="104"/>
        <v>1</v>
      </c>
      <c r="BS137" s="39"/>
      <c r="BT137" s="39"/>
      <c r="BU137" s="39"/>
      <c r="BV137" s="39"/>
      <c r="BW137" s="39"/>
    </row>
    <row r="138" spans="3:75" x14ac:dyDescent="0.25">
      <c r="C138" s="62" t="str">
        <f t="shared" si="70"/>
        <v>-</v>
      </c>
      <c r="D138" s="62" t="str">
        <f t="shared" si="71"/>
        <v>-</v>
      </c>
      <c r="E138" s="62" t="str">
        <f t="shared" si="72"/>
        <v>-</v>
      </c>
      <c r="F138" s="62" t="str">
        <f t="shared" si="73"/>
        <v>-</v>
      </c>
      <c r="G138" s="62" t="str">
        <f t="shared" si="74"/>
        <v>-</v>
      </c>
      <c r="J138" s="17" t="s">
        <v>26</v>
      </c>
      <c r="K138" s="32" t="s">
        <v>83</v>
      </c>
      <c r="O138" s="25">
        <v>6</v>
      </c>
      <c r="P138" s="62" t="str">
        <f t="shared" si="75"/>
        <v>-</v>
      </c>
      <c r="Q138" s="62" t="str">
        <f t="shared" si="76"/>
        <v>-</v>
      </c>
      <c r="R138" s="62">
        <f t="shared" si="77"/>
        <v>12</v>
      </c>
      <c r="S138" s="62">
        <f t="shared" si="78"/>
        <v>6</v>
      </c>
      <c r="T138" s="62" t="str">
        <f t="shared" si="79"/>
        <v>-</v>
      </c>
      <c r="V138" s="32">
        <f t="shared" si="80"/>
        <v>6</v>
      </c>
      <c r="Z138" s="25">
        <v>1</v>
      </c>
      <c r="AA138" s="54">
        <f t="shared" si="81"/>
        <v>0</v>
      </c>
      <c r="AB138" s="54">
        <f t="shared" si="82"/>
        <v>0</v>
      </c>
      <c r="AC138" s="54">
        <f t="shared" si="83"/>
        <v>0</v>
      </c>
      <c r="AD138" s="54">
        <f t="shared" si="84"/>
        <v>0</v>
      </c>
      <c r="AE138" s="54">
        <f t="shared" si="85"/>
        <v>0</v>
      </c>
      <c r="AG138" s="32">
        <f t="shared" si="86"/>
        <v>5</v>
      </c>
      <c r="AK138" s="25">
        <v>1</v>
      </c>
      <c r="AL138" s="54">
        <f t="shared" si="87"/>
        <v>0</v>
      </c>
      <c r="AM138" s="54">
        <f t="shared" si="88"/>
        <v>0</v>
      </c>
      <c r="AN138" s="54">
        <f t="shared" si="89"/>
        <v>0</v>
      </c>
      <c r="AO138" s="54">
        <f t="shared" si="90"/>
        <v>0</v>
      </c>
      <c r="AP138" s="54">
        <f t="shared" si="91"/>
        <v>0</v>
      </c>
      <c r="AR138" s="32">
        <f t="shared" si="92"/>
        <v>4</v>
      </c>
      <c r="AV138" s="25">
        <v>1</v>
      </c>
      <c r="AW138" s="54">
        <f t="shared" si="93"/>
        <v>0</v>
      </c>
      <c r="AX138" s="54">
        <f t="shared" si="94"/>
        <v>0</v>
      </c>
      <c r="AY138" s="54">
        <f t="shared" si="95"/>
        <v>0</v>
      </c>
      <c r="AZ138" s="54">
        <f t="shared" si="96"/>
        <v>0</v>
      </c>
      <c r="BA138" s="54">
        <f t="shared" si="97"/>
        <v>0</v>
      </c>
      <c r="BC138" s="32">
        <f t="shared" si="98"/>
        <v>3</v>
      </c>
      <c r="BG138" s="25">
        <v>1</v>
      </c>
      <c r="BH138" s="54">
        <f t="shared" si="99"/>
        <v>0</v>
      </c>
      <c r="BI138" s="54">
        <f t="shared" si="100"/>
        <v>0</v>
      </c>
      <c r="BJ138" s="54">
        <f t="shared" si="101"/>
        <v>0</v>
      </c>
      <c r="BK138" s="54">
        <f t="shared" si="102"/>
        <v>0</v>
      </c>
      <c r="BL138" s="54">
        <f t="shared" si="103"/>
        <v>0</v>
      </c>
      <c r="BN138" s="25">
        <f t="shared" si="104"/>
        <v>1</v>
      </c>
      <c r="BS138" s="39"/>
      <c r="BT138" s="39"/>
      <c r="BU138" s="39"/>
      <c r="BV138" s="39"/>
      <c r="BW138" s="39"/>
    </row>
    <row r="139" spans="3:75" x14ac:dyDescent="0.25">
      <c r="C139" s="62" t="str">
        <f t="shared" si="70"/>
        <v>-</v>
      </c>
      <c r="D139" s="62" t="str">
        <f t="shared" si="71"/>
        <v>-</v>
      </c>
      <c r="E139" s="62" t="str">
        <f t="shared" si="72"/>
        <v>-</v>
      </c>
      <c r="F139" s="62" t="str">
        <f t="shared" si="73"/>
        <v>-</v>
      </c>
      <c r="G139" s="62" t="str">
        <f t="shared" si="74"/>
        <v>-</v>
      </c>
      <c r="J139" s="17" t="s">
        <v>106</v>
      </c>
      <c r="K139" s="32" t="s">
        <v>65</v>
      </c>
      <c r="L139" s="32" t="s">
        <v>45</v>
      </c>
      <c r="O139" s="25">
        <v>1</v>
      </c>
      <c r="P139" s="62">
        <f t="shared" si="75"/>
        <v>1</v>
      </c>
      <c r="Q139" s="62" t="str">
        <f t="shared" si="76"/>
        <v>-</v>
      </c>
      <c r="R139" s="62" t="str">
        <f t="shared" si="77"/>
        <v>-</v>
      </c>
      <c r="S139" s="62" t="str">
        <f t="shared" si="78"/>
        <v>-</v>
      </c>
      <c r="T139" s="62" t="str">
        <f t="shared" si="79"/>
        <v>-</v>
      </c>
      <c r="V139" s="32">
        <f t="shared" si="80"/>
        <v>6</v>
      </c>
      <c r="Z139" s="25">
        <v>1</v>
      </c>
      <c r="AA139" s="54">
        <f t="shared" si="81"/>
        <v>0</v>
      </c>
      <c r="AB139" s="54">
        <f t="shared" si="82"/>
        <v>0</v>
      </c>
      <c r="AC139" s="54">
        <f t="shared" si="83"/>
        <v>0</v>
      </c>
      <c r="AD139" s="54">
        <f t="shared" si="84"/>
        <v>0</v>
      </c>
      <c r="AE139" s="54">
        <f t="shared" si="85"/>
        <v>0</v>
      </c>
      <c r="AG139" s="32">
        <f t="shared" si="86"/>
        <v>5</v>
      </c>
      <c r="AK139" s="25">
        <v>1</v>
      </c>
      <c r="AL139" s="54">
        <f t="shared" si="87"/>
        <v>0</v>
      </c>
      <c r="AM139" s="54">
        <f t="shared" si="88"/>
        <v>0</v>
      </c>
      <c r="AN139" s="54">
        <f t="shared" si="89"/>
        <v>0</v>
      </c>
      <c r="AO139" s="54">
        <f t="shared" si="90"/>
        <v>0</v>
      </c>
      <c r="AP139" s="54">
        <f t="shared" si="91"/>
        <v>0</v>
      </c>
      <c r="AR139" s="32">
        <f t="shared" si="92"/>
        <v>4</v>
      </c>
      <c r="AV139" s="25">
        <v>1</v>
      </c>
      <c r="AW139" s="54">
        <f t="shared" si="93"/>
        <v>0</v>
      </c>
      <c r="AX139" s="54">
        <f t="shared" si="94"/>
        <v>0</v>
      </c>
      <c r="AY139" s="54">
        <f t="shared" si="95"/>
        <v>0</v>
      </c>
      <c r="AZ139" s="54">
        <f t="shared" si="96"/>
        <v>0</v>
      </c>
      <c r="BA139" s="54">
        <f t="shared" si="97"/>
        <v>0</v>
      </c>
      <c r="BC139" s="32">
        <f t="shared" si="98"/>
        <v>3</v>
      </c>
      <c r="BG139" s="25">
        <v>1</v>
      </c>
      <c r="BH139" s="54">
        <f t="shared" si="99"/>
        <v>0</v>
      </c>
      <c r="BI139" s="54">
        <f t="shared" si="100"/>
        <v>0</v>
      </c>
      <c r="BJ139" s="54">
        <f t="shared" si="101"/>
        <v>0</v>
      </c>
      <c r="BK139" s="54">
        <f t="shared" si="102"/>
        <v>0</v>
      </c>
      <c r="BL139" s="54">
        <f t="shared" si="103"/>
        <v>0</v>
      </c>
      <c r="BN139" s="25">
        <f t="shared" si="104"/>
        <v>1</v>
      </c>
      <c r="BS139" s="39"/>
      <c r="BT139" s="39"/>
      <c r="BU139" s="39"/>
      <c r="BV139" s="39"/>
      <c r="BW139" s="39"/>
    </row>
    <row r="140" spans="3:75" x14ac:dyDescent="0.25">
      <c r="C140" s="62" t="str">
        <f t="shared" si="70"/>
        <v>-</v>
      </c>
      <c r="D140" s="62" t="str">
        <f t="shared" si="71"/>
        <v>-</v>
      </c>
      <c r="E140" s="62" t="str">
        <f t="shared" si="72"/>
        <v>-</v>
      </c>
      <c r="F140" s="62" t="str">
        <f t="shared" si="73"/>
        <v>-</v>
      </c>
      <c r="G140" s="62" t="str">
        <f t="shared" si="74"/>
        <v>-</v>
      </c>
      <c r="J140" s="17" t="s">
        <v>106</v>
      </c>
      <c r="K140" s="32" t="s">
        <v>83</v>
      </c>
      <c r="O140" s="25">
        <v>1</v>
      </c>
      <c r="P140" s="62" t="str">
        <f t="shared" si="75"/>
        <v>-</v>
      </c>
      <c r="Q140" s="62" t="str">
        <f t="shared" si="76"/>
        <v>-</v>
      </c>
      <c r="R140" s="62">
        <f t="shared" si="77"/>
        <v>2</v>
      </c>
      <c r="S140" s="62">
        <f t="shared" si="78"/>
        <v>1</v>
      </c>
      <c r="T140" s="62" t="str">
        <f t="shared" si="79"/>
        <v>-</v>
      </c>
      <c r="V140" s="32">
        <f t="shared" si="80"/>
        <v>6</v>
      </c>
      <c r="Z140" s="25">
        <v>1</v>
      </c>
      <c r="AA140" s="54">
        <f t="shared" si="81"/>
        <v>0</v>
      </c>
      <c r="AB140" s="54">
        <f t="shared" si="82"/>
        <v>0</v>
      </c>
      <c r="AC140" s="54">
        <f t="shared" si="83"/>
        <v>0</v>
      </c>
      <c r="AD140" s="54">
        <f t="shared" si="84"/>
        <v>0</v>
      </c>
      <c r="AE140" s="54">
        <f t="shared" si="85"/>
        <v>0</v>
      </c>
      <c r="AG140" s="32">
        <f t="shared" si="86"/>
        <v>5</v>
      </c>
      <c r="AK140" s="25">
        <v>1</v>
      </c>
      <c r="AL140" s="54">
        <f t="shared" si="87"/>
        <v>0</v>
      </c>
      <c r="AM140" s="54">
        <f t="shared" si="88"/>
        <v>0</v>
      </c>
      <c r="AN140" s="54">
        <f t="shared" si="89"/>
        <v>0</v>
      </c>
      <c r="AO140" s="54">
        <f t="shared" si="90"/>
        <v>0</v>
      </c>
      <c r="AP140" s="54">
        <f t="shared" si="91"/>
        <v>0</v>
      </c>
      <c r="AR140" s="32">
        <f t="shared" si="92"/>
        <v>4</v>
      </c>
      <c r="AV140" s="25">
        <v>1</v>
      </c>
      <c r="AW140" s="54">
        <f t="shared" si="93"/>
        <v>0</v>
      </c>
      <c r="AX140" s="54">
        <f t="shared" si="94"/>
        <v>0</v>
      </c>
      <c r="AY140" s="54">
        <f t="shared" si="95"/>
        <v>0</v>
      </c>
      <c r="AZ140" s="54">
        <f t="shared" si="96"/>
        <v>0</v>
      </c>
      <c r="BA140" s="54">
        <f t="shared" si="97"/>
        <v>0</v>
      </c>
      <c r="BC140" s="32">
        <f t="shared" si="98"/>
        <v>3</v>
      </c>
      <c r="BG140" s="25">
        <v>1</v>
      </c>
      <c r="BH140" s="54">
        <f t="shared" si="99"/>
        <v>0</v>
      </c>
      <c r="BI140" s="54">
        <f t="shared" si="100"/>
        <v>0</v>
      </c>
      <c r="BJ140" s="54">
        <f t="shared" si="101"/>
        <v>0</v>
      </c>
      <c r="BK140" s="54">
        <f t="shared" si="102"/>
        <v>0</v>
      </c>
      <c r="BL140" s="54">
        <f t="shared" si="103"/>
        <v>0</v>
      </c>
      <c r="BN140" s="25">
        <f t="shared" si="104"/>
        <v>1</v>
      </c>
      <c r="BS140" s="39"/>
      <c r="BT140" s="39"/>
      <c r="BU140" s="39"/>
      <c r="BV140" s="39"/>
      <c r="BW140" s="39"/>
    </row>
    <row r="141" spans="3:75" x14ac:dyDescent="0.25">
      <c r="C141" s="62" t="str">
        <f t="shared" si="70"/>
        <v>-</v>
      </c>
      <c r="D141" s="62" t="str">
        <f t="shared" si="71"/>
        <v>-</v>
      </c>
      <c r="E141" s="62" t="str">
        <f t="shared" si="72"/>
        <v>-</v>
      </c>
      <c r="F141" s="62" t="str">
        <f t="shared" si="73"/>
        <v>-</v>
      </c>
      <c r="G141" s="62" t="str">
        <f t="shared" si="74"/>
        <v>-</v>
      </c>
      <c r="J141" s="17" t="s">
        <v>34</v>
      </c>
      <c r="K141" s="32" t="s">
        <v>89</v>
      </c>
      <c r="L141" s="32" t="s">
        <v>87</v>
      </c>
      <c r="M141" s="40" t="s">
        <v>93</v>
      </c>
      <c r="O141" s="25">
        <v>1</v>
      </c>
      <c r="P141" s="62" t="str">
        <f t="shared" si="75"/>
        <v>-</v>
      </c>
      <c r="Q141" s="62" t="str">
        <f t="shared" si="76"/>
        <v>-</v>
      </c>
      <c r="R141" s="62" t="str">
        <f t="shared" si="77"/>
        <v>-</v>
      </c>
      <c r="S141" s="62">
        <f t="shared" si="78"/>
        <v>1</v>
      </c>
      <c r="T141" s="62" t="str">
        <f t="shared" si="79"/>
        <v>-</v>
      </c>
      <c r="V141" s="32">
        <f t="shared" si="80"/>
        <v>6</v>
      </c>
      <c r="Z141" s="25">
        <v>1</v>
      </c>
      <c r="AA141" s="54">
        <f t="shared" si="81"/>
        <v>0</v>
      </c>
      <c r="AB141" s="54">
        <f t="shared" si="82"/>
        <v>0</v>
      </c>
      <c r="AC141" s="54">
        <f t="shared" si="83"/>
        <v>0</v>
      </c>
      <c r="AD141" s="54">
        <f t="shared" si="84"/>
        <v>0</v>
      </c>
      <c r="AE141" s="54">
        <f t="shared" si="85"/>
        <v>0</v>
      </c>
      <c r="AG141" s="32">
        <f t="shared" si="86"/>
        <v>5</v>
      </c>
      <c r="AK141" s="25">
        <v>1</v>
      </c>
      <c r="AL141" s="54">
        <f t="shared" si="87"/>
        <v>0</v>
      </c>
      <c r="AM141" s="54">
        <f t="shared" si="88"/>
        <v>0</v>
      </c>
      <c r="AN141" s="54">
        <f t="shared" si="89"/>
        <v>0</v>
      </c>
      <c r="AO141" s="54">
        <f t="shared" si="90"/>
        <v>0</v>
      </c>
      <c r="AP141" s="54">
        <f t="shared" si="91"/>
        <v>0</v>
      </c>
      <c r="AR141" s="32">
        <f t="shared" si="92"/>
        <v>4</v>
      </c>
      <c r="AV141" s="25">
        <v>1</v>
      </c>
      <c r="AW141" s="54">
        <f t="shared" si="93"/>
        <v>0</v>
      </c>
      <c r="AX141" s="54">
        <f t="shared" si="94"/>
        <v>0</v>
      </c>
      <c r="AY141" s="54">
        <f t="shared" si="95"/>
        <v>0</v>
      </c>
      <c r="AZ141" s="54">
        <f t="shared" si="96"/>
        <v>0</v>
      </c>
      <c r="BA141" s="54">
        <f t="shared" si="97"/>
        <v>0</v>
      </c>
      <c r="BC141" s="32">
        <f t="shared" si="98"/>
        <v>3</v>
      </c>
      <c r="BG141" s="25">
        <v>1</v>
      </c>
      <c r="BH141" s="54">
        <f t="shared" si="99"/>
        <v>0</v>
      </c>
      <c r="BI141" s="54">
        <f t="shared" si="100"/>
        <v>0</v>
      </c>
      <c r="BJ141" s="54">
        <f t="shared" si="101"/>
        <v>0</v>
      </c>
      <c r="BK141" s="54">
        <f t="shared" si="102"/>
        <v>0</v>
      </c>
      <c r="BL141" s="54">
        <f t="shared" si="103"/>
        <v>0</v>
      </c>
      <c r="BN141" s="25">
        <f t="shared" si="104"/>
        <v>1</v>
      </c>
      <c r="BS141" s="39"/>
      <c r="BT141" s="39"/>
      <c r="BU141" s="39"/>
      <c r="BV141" s="39"/>
      <c r="BW141" s="39"/>
    </row>
    <row r="142" spans="3:75" x14ac:dyDescent="0.25">
      <c r="C142" s="62" t="str">
        <f t="shared" si="70"/>
        <v>-</v>
      </c>
      <c r="D142" s="62" t="str">
        <f t="shared" si="71"/>
        <v>-</v>
      </c>
      <c r="E142" s="62" t="str">
        <f t="shared" si="72"/>
        <v>-</v>
      </c>
      <c r="F142" s="62" t="str">
        <f t="shared" si="73"/>
        <v>-</v>
      </c>
      <c r="G142" s="62" t="str">
        <f t="shared" si="74"/>
        <v>-</v>
      </c>
      <c r="J142" s="17" t="s">
        <v>34</v>
      </c>
      <c r="K142" s="40" t="s">
        <v>66</v>
      </c>
      <c r="L142" s="32" t="s">
        <v>87</v>
      </c>
      <c r="O142" s="25">
        <v>1</v>
      </c>
      <c r="P142" s="62" t="str">
        <f t="shared" si="75"/>
        <v>-</v>
      </c>
      <c r="Q142" s="62" t="str">
        <f t="shared" si="76"/>
        <v>-</v>
      </c>
      <c r="R142" s="62" t="str">
        <f t="shared" si="77"/>
        <v>-</v>
      </c>
      <c r="S142" s="62" t="str">
        <f t="shared" si="78"/>
        <v>-</v>
      </c>
      <c r="T142" s="62">
        <f t="shared" si="79"/>
        <v>4</v>
      </c>
      <c r="V142" s="32">
        <f t="shared" si="80"/>
        <v>6</v>
      </c>
      <c r="Z142" s="25">
        <v>1</v>
      </c>
      <c r="AA142" s="54">
        <f t="shared" si="81"/>
        <v>0</v>
      </c>
      <c r="AB142" s="54">
        <f t="shared" si="82"/>
        <v>0</v>
      </c>
      <c r="AC142" s="54">
        <f t="shared" si="83"/>
        <v>0</v>
      </c>
      <c r="AD142" s="54">
        <f t="shared" si="84"/>
        <v>0</v>
      </c>
      <c r="AE142" s="54">
        <f t="shared" si="85"/>
        <v>0</v>
      </c>
      <c r="AG142" s="32">
        <f t="shared" si="86"/>
        <v>5</v>
      </c>
      <c r="AK142" s="25">
        <v>1</v>
      </c>
      <c r="AL142" s="54">
        <f t="shared" si="87"/>
        <v>0</v>
      </c>
      <c r="AM142" s="54">
        <f t="shared" si="88"/>
        <v>0</v>
      </c>
      <c r="AN142" s="54">
        <f t="shared" si="89"/>
        <v>0</v>
      </c>
      <c r="AO142" s="54">
        <f t="shared" si="90"/>
        <v>0</v>
      </c>
      <c r="AP142" s="54">
        <f t="shared" si="91"/>
        <v>0</v>
      </c>
      <c r="AR142" s="32">
        <f t="shared" si="92"/>
        <v>4</v>
      </c>
      <c r="AV142" s="25">
        <v>1</v>
      </c>
      <c r="AW142" s="54">
        <f t="shared" si="93"/>
        <v>0</v>
      </c>
      <c r="AX142" s="54">
        <f t="shared" si="94"/>
        <v>0</v>
      </c>
      <c r="AY142" s="54">
        <f t="shared" si="95"/>
        <v>0</v>
      </c>
      <c r="AZ142" s="54">
        <f t="shared" si="96"/>
        <v>0</v>
      </c>
      <c r="BA142" s="54">
        <f t="shared" si="97"/>
        <v>0</v>
      </c>
      <c r="BC142" s="32">
        <f t="shared" si="98"/>
        <v>3</v>
      </c>
      <c r="BG142" s="25">
        <v>1</v>
      </c>
      <c r="BH142" s="54">
        <f t="shared" si="99"/>
        <v>0</v>
      </c>
      <c r="BI142" s="54">
        <f t="shared" si="100"/>
        <v>0</v>
      </c>
      <c r="BJ142" s="54">
        <f t="shared" si="101"/>
        <v>0</v>
      </c>
      <c r="BK142" s="54">
        <f t="shared" si="102"/>
        <v>0</v>
      </c>
      <c r="BL142" s="54">
        <f t="shared" si="103"/>
        <v>0</v>
      </c>
      <c r="BN142" s="25">
        <f t="shared" si="104"/>
        <v>1</v>
      </c>
      <c r="BS142" s="39"/>
      <c r="BT142" s="39"/>
      <c r="BU142" s="39"/>
      <c r="BV142" s="39"/>
      <c r="BW142" s="39"/>
    </row>
    <row r="143" spans="3:75" x14ac:dyDescent="0.25">
      <c r="C143" s="62" t="str">
        <f t="shared" si="70"/>
        <v>-</v>
      </c>
      <c r="D143" s="62" t="str">
        <f t="shared" si="71"/>
        <v>-</v>
      </c>
      <c r="E143" s="62" t="str">
        <f t="shared" si="72"/>
        <v>-</v>
      </c>
      <c r="F143" s="62" t="str">
        <f t="shared" si="73"/>
        <v>-</v>
      </c>
      <c r="G143" s="62" t="str">
        <f t="shared" si="74"/>
        <v>-</v>
      </c>
      <c r="J143" s="17" t="s">
        <v>34</v>
      </c>
      <c r="K143" s="40" t="s">
        <v>66</v>
      </c>
      <c r="L143" s="32" t="s">
        <v>45</v>
      </c>
      <c r="O143" s="25">
        <v>1</v>
      </c>
      <c r="P143" s="62" t="str">
        <f t="shared" si="75"/>
        <v>-</v>
      </c>
      <c r="Q143" s="62" t="str">
        <f t="shared" si="76"/>
        <v>-</v>
      </c>
      <c r="R143" s="62" t="str">
        <f t="shared" si="77"/>
        <v>-</v>
      </c>
      <c r="S143" s="62" t="str">
        <f t="shared" si="78"/>
        <v>-</v>
      </c>
      <c r="T143" s="62">
        <f t="shared" si="79"/>
        <v>4</v>
      </c>
      <c r="V143" s="32">
        <f t="shared" si="80"/>
        <v>6</v>
      </c>
      <c r="Z143" s="25">
        <v>1</v>
      </c>
      <c r="AA143" s="54">
        <f t="shared" si="81"/>
        <v>0</v>
      </c>
      <c r="AB143" s="54">
        <f t="shared" si="82"/>
        <v>0</v>
      </c>
      <c r="AC143" s="54">
        <f t="shared" si="83"/>
        <v>0</v>
      </c>
      <c r="AD143" s="54">
        <f t="shared" si="84"/>
        <v>0</v>
      </c>
      <c r="AE143" s="54">
        <f t="shared" si="85"/>
        <v>0</v>
      </c>
      <c r="AG143" s="32">
        <f t="shared" si="86"/>
        <v>5</v>
      </c>
      <c r="AK143" s="25">
        <v>1</v>
      </c>
      <c r="AL143" s="54">
        <f t="shared" si="87"/>
        <v>0</v>
      </c>
      <c r="AM143" s="54">
        <f t="shared" si="88"/>
        <v>0</v>
      </c>
      <c r="AN143" s="54">
        <f t="shared" si="89"/>
        <v>0</v>
      </c>
      <c r="AO143" s="54">
        <f t="shared" si="90"/>
        <v>0</v>
      </c>
      <c r="AP143" s="54">
        <f t="shared" si="91"/>
        <v>0</v>
      </c>
      <c r="AR143" s="32">
        <f t="shared" si="92"/>
        <v>4</v>
      </c>
      <c r="AV143" s="25">
        <v>1</v>
      </c>
      <c r="AW143" s="54">
        <f t="shared" si="93"/>
        <v>0</v>
      </c>
      <c r="AX143" s="54">
        <f t="shared" si="94"/>
        <v>0</v>
      </c>
      <c r="AY143" s="54">
        <f t="shared" si="95"/>
        <v>0</v>
      </c>
      <c r="AZ143" s="54">
        <f t="shared" si="96"/>
        <v>0</v>
      </c>
      <c r="BA143" s="54">
        <f t="shared" si="97"/>
        <v>0</v>
      </c>
      <c r="BC143" s="32">
        <f t="shared" si="98"/>
        <v>3</v>
      </c>
      <c r="BG143" s="25">
        <v>1</v>
      </c>
      <c r="BH143" s="54">
        <f t="shared" si="99"/>
        <v>0</v>
      </c>
      <c r="BI143" s="54">
        <f t="shared" si="100"/>
        <v>0</v>
      </c>
      <c r="BJ143" s="54">
        <f t="shared" si="101"/>
        <v>0</v>
      </c>
      <c r="BK143" s="54">
        <f t="shared" si="102"/>
        <v>0</v>
      </c>
      <c r="BL143" s="54">
        <f t="shared" si="103"/>
        <v>0</v>
      </c>
      <c r="BN143" s="25">
        <f t="shared" si="104"/>
        <v>1</v>
      </c>
      <c r="BS143" s="39"/>
      <c r="BT143" s="39"/>
      <c r="BU143" s="39"/>
      <c r="BV143" s="39"/>
      <c r="BW143" s="39"/>
    </row>
    <row r="144" spans="3:75" x14ac:dyDescent="0.25">
      <c r="C144" s="62" t="str">
        <f t="shared" si="70"/>
        <v>-</v>
      </c>
      <c r="D144" s="62" t="str">
        <f t="shared" si="71"/>
        <v>-</v>
      </c>
      <c r="E144" s="62" t="str">
        <f t="shared" si="72"/>
        <v>-</v>
      </c>
      <c r="F144" s="62" t="str">
        <f t="shared" si="73"/>
        <v>-</v>
      </c>
      <c r="G144" s="62" t="str">
        <f t="shared" si="74"/>
        <v>-</v>
      </c>
      <c r="J144" s="17" t="s">
        <v>34</v>
      </c>
      <c r="K144" s="32" t="s">
        <v>62</v>
      </c>
      <c r="L144" s="32" t="s">
        <v>87</v>
      </c>
      <c r="M144" s="40" t="s">
        <v>93</v>
      </c>
      <c r="O144" s="25">
        <v>1</v>
      </c>
      <c r="P144" s="62" t="str">
        <f t="shared" si="75"/>
        <v>-</v>
      </c>
      <c r="Q144" s="62" t="str">
        <f t="shared" si="76"/>
        <v>-</v>
      </c>
      <c r="R144" s="62">
        <f t="shared" si="77"/>
        <v>2</v>
      </c>
      <c r="S144" s="62" t="str">
        <f t="shared" si="78"/>
        <v>-</v>
      </c>
      <c r="T144" s="62" t="str">
        <f t="shared" si="79"/>
        <v>-</v>
      </c>
      <c r="V144" s="32">
        <f t="shared" si="80"/>
        <v>6</v>
      </c>
      <c r="Z144" s="25">
        <v>1</v>
      </c>
      <c r="AA144" s="54">
        <f t="shared" si="81"/>
        <v>0</v>
      </c>
      <c r="AB144" s="54">
        <f t="shared" si="82"/>
        <v>0</v>
      </c>
      <c r="AC144" s="54">
        <f t="shared" si="83"/>
        <v>0</v>
      </c>
      <c r="AD144" s="54">
        <f t="shared" si="84"/>
        <v>0</v>
      </c>
      <c r="AE144" s="54">
        <f t="shared" si="85"/>
        <v>0</v>
      </c>
      <c r="AG144" s="32">
        <f t="shared" si="86"/>
        <v>5</v>
      </c>
      <c r="AK144" s="25">
        <v>1</v>
      </c>
      <c r="AL144" s="54">
        <f t="shared" si="87"/>
        <v>0</v>
      </c>
      <c r="AM144" s="54">
        <f t="shared" si="88"/>
        <v>0</v>
      </c>
      <c r="AN144" s="54">
        <f t="shared" si="89"/>
        <v>0</v>
      </c>
      <c r="AO144" s="54">
        <f t="shared" si="90"/>
        <v>0</v>
      </c>
      <c r="AP144" s="54">
        <f t="shared" si="91"/>
        <v>0</v>
      </c>
      <c r="AR144" s="32">
        <f t="shared" si="92"/>
        <v>4</v>
      </c>
      <c r="AV144" s="25">
        <v>1</v>
      </c>
      <c r="AW144" s="54">
        <f t="shared" si="93"/>
        <v>0</v>
      </c>
      <c r="AX144" s="54">
        <f t="shared" si="94"/>
        <v>0</v>
      </c>
      <c r="AY144" s="54">
        <f t="shared" si="95"/>
        <v>0</v>
      </c>
      <c r="AZ144" s="54">
        <f t="shared" si="96"/>
        <v>0</v>
      </c>
      <c r="BA144" s="54">
        <f t="shared" si="97"/>
        <v>0</v>
      </c>
      <c r="BC144" s="32">
        <f t="shared" si="98"/>
        <v>3</v>
      </c>
      <c r="BG144" s="25">
        <v>1</v>
      </c>
      <c r="BH144" s="54">
        <f t="shared" si="99"/>
        <v>0</v>
      </c>
      <c r="BI144" s="54">
        <f t="shared" si="100"/>
        <v>0</v>
      </c>
      <c r="BJ144" s="54">
        <f t="shared" si="101"/>
        <v>0</v>
      </c>
      <c r="BK144" s="54">
        <f t="shared" si="102"/>
        <v>0</v>
      </c>
      <c r="BL144" s="54">
        <f t="shared" si="103"/>
        <v>0</v>
      </c>
      <c r="BN144" s="25">
        <f t="shared" si="104"/>
        <v>1</v>
      </c>
      <c r="BS144" s="39"/>
      <c r="BT144" s="39"/>
      <c r="BU144" s="39"/>
      <c r="BV144" s="39"/>
      <c r="BW144" s="39"/>
    </row>
    <row r="145" spans="3:75" x14ac:dyDescent="0.25">
      <c r="C145" s="62" t="str">
        <f t="shared" si="70"/>
        <v>-</v>
      </c>
      <c r="D145" s="62" t="str">
        <f t="shared" si="71"/>
        <v>-</v>
      </c>
      <c r="E145" s="62" t="str">
        <f t="shared" si="72"/>
        <v>-</v>
      </c>
      <c r="F145" s="62" t="str">
        <f t="shared" si="73"/>
        <v>-</v>
      </c>
      <c r="G145" s="62" t="str">
        <f t="shared" si="74"/>
        <v>-</v>
      </c>
      <c r="J145" s="17" t="s">
        <v>34</v>
      </c>
      <c r="K145" s="32" t="s">
        <v>62</v>
      </c>
      <c r="L145" s="32" t="s">
        <v>237</v>
      </c>
      <c r="O145" s="25">
        <v>2</v>
      </c>
      <c r="P145" s="62" t="str">
        <f t="shared" si="75"/>
        <v>-</v>
      </c>
      <c r="Q145" s="62" t="str">
        <f t="shared" si="76"/>
        <v>-</v>
      </c>
      <c r="R145" s="62">
        <f t="shared" si="77"/>
        <v>4</v>
      </c>
      <c r="S145" s="62" t="str">
        <f t="shared" si="78"/>
        <v>-</v>
      </c>
      <c r="T145" s="62" t="str">
        <f t="shared" si="79"/>
        <v>-</v>
      </c>
      <c r="V145" s="32">
        <f t="shared" si="80"/>
        <v>6</v>
      </c>
      <c r="Z145" s="25">
        <v>1</v>
      </c>
      <c r="AA145" s="54">
        <f t="shared" si="81"/>
        <v>0</v>
      </c>
      <c r="AB145" s="54">
        <f t="shared" si="82"/>
        <v>0</v>
      </c>
      <c r="AC145" s="54">
        <f t="shared" si="83"/>
        <v>0</v>
      </c>
      <c r="AD145" s="54">
        <f t="shared" si="84"/>
        <v>0</v>
      </c>
      <c r="AE145" s="54">
        <f t="shared" si="85"/>
        <v>0</v>
      </c>
      <c r="AG145" s="32">
        <f t="shared" si="86"/>
        <v>5</v>
      </c>
      <c r="AK145" s="25">
        <v>1</v>
      </c>
      <c r="AL145" s="54">
        <f t="shared" si="87"/>
        <v>0</v>
      </c>
      <c r="AM145" s="54">
        <f t="shared" si="88"/>
        <v>0</v>
      </c>
      <c r="AN145" s="54">
        <f t="shared" si="89"/>
        <v>0</v>
      </c>
      <c r="AO145" s="54">
        <f t="shared" si="90"/>
        <v>0</v>
      </c>
      <c r="AP145" s="54">
        <f t="shared" si="91"/>
        <v>0</v>
      </c>
      <c r="AR145" s="32">
        <f t="shared" si="92"/>
        <v>4</v>
      </c>
      <c r="AV145" s="25">
        <v>1</v>
      </c>
      <c r="AW145" s="54">
        <f t="shared" si="93"/>
        <v>0</v>
      </c>
      <c r="AX145" s="54">
        <f t="shared" si="94"/>
        <v>0</v>
      </c>
      <c r="AY145" s="54">
        <f t="shared" si="95"/>
        <v>0</v>
      </c>
      <c r="AZ145" s="54">
        <f t="shared" si="96"/>
        <v>0</v>
      </c>
      <c r="BA145" s="54">
        <f t="shared" si="97"/>
        <v>0</v>
      </c>
      <c r="BC145" s="32">
        <f t="shared" si="98"/>
        <v>3</v>
      </c>
      <c r="BG145" s="25">
        <v>1</v>
      </c>
      <c r="BH145" s="54">
        <f t="shared" si="99"/>
        <v>0</v>
      </c>
      <c r="BI145" s="54">
        <f t="shared" si="100"/>
        <v>0</v>
      </c>
      <c r="BJ145" s="54">
        <f t="shared" si="101"/>
        <v>0</v>
      </c>
      <c r="BK145" s="54">
        <f t="shared" si="102"/>
        <v>0</v>
      </c>
      <c r="BL145" s="54">
        <f t="shared" si="103"/>
        <v>0</v>
      </c>
      <c r="BN145" s="25">
        <f t="shared" si="104"/>
        <v>1</v>
      </c>
      <c r="BS145" s="39"/>
      <c r="BT145" s="39"/>
      <c r="BU145" s="39"/>
      <c r="BV145" s="39"/>
      <c r="BW145" s="39"/>
    </row>
    <row r="146" spans="3:75" x14ac:dyDescent="0.25">
      <c r="C146" s="62" t="str">
        <f t="shared" si="70"/>
        <v>-</v>
      </c>
      <c r="D146" s="62" t="str">
        <f t="shared" si="71"/>
        <v>-</v>
      </c>
      <c r="E146" s="62" t="str">
        <f t="shared" si="72"/>
        <v>-</v>
      </c>
      <c r="F146" s="62" t="str">
        <f t="shared" si="73"/>
        <v>-</v>
      </c>
      <c r="G146" s="62" t="str">
        <f t="shared" si="74"/>
        <v>-</v>
      </c>
      <c r="J146" s="17" t="s">
        <v>34</v>
      </c>
      <c r="K146" s="32" t="s">
        <v>62</v>
      </c>
      <c r="M146" s="40" t="s">
        <v>315</v>
      </c>
      <c r="O146" s="25">
        <v>2</v>
      </c>
      <c r="P146" s="62" t="str">
        <f t="shared" si="75"/>
        <v>-</v>
      </c>
      <c r="Q146" s="62" t="str">
        <f t="shared" si="76"/>
        <v>-</v>
      </c>
      <c r="R146" s="62">
        <f t="shared" si="77"/>
        <v>4</v>
      </c>
      <c r="S146" s="62" t="str">
        <f t="shared" si="78"/>
        <v>-</v>
      </c>
      <c r="T146" s="62" t="str">
        <f t="shared" si="79"/>
        <v>-</v>
      </c>
      <c r="V146" s="32">
        <f t="shared" si="80"/>
        <v>6</v>
      </c>
      <c r="Z146" s="25">
        <v>1</v>
      </c>
      <c r="AA146" s="54">
        <f t="shared" si="81"/>
        <v>0</v>
      </c>
      <c r="AB146" s="54">
        <f t="shared" si="82"/>
        <v>0</v>
      </c>
      <c r="AC146" s="54">
        <f t="shared" si="83"/>
        <v>0</v>
      </c>
      <c r="AD146" s="54">
        <f t="shared" si="84"/>
        <v>0</v>
      </c>
      <c r="AE146" s="54">
        <f t="shared" si="85"/>
        <v>0</v>
      </c>
      <c r="AG146" s="32">
        <f t="shared" si="86"/>
        <v>5</v>
      </c>
      <c r="AK146" s="25">
        <v>1</v>
      </c>
      <c r="AL146" s="54">
        <f t="shared" si="87"/>
        <v>0</v>
      </c>
      <c r="AM146" s="54">
        <f t="shared" si="88"/>
        <v>0</v>
      </c>
      <c r="AN146" s="54">
        <f t="shared" si="89"/>
        <v>0</v>
      </c>
      <c r="AO146" s="54">
        <f t="shared" si="90"/>
        <v>0</v>
      </c>
      <c r="AP146" s="54">
        <f t="shared" si="91"/>
        <v>0</v>
      </c>
      <c r="AR146" s="32">
        <f t="shared" si="92"/>
        <v>4</v>
      </c>
      <c r="AV146" s="25">
        <v>1</v>
      </c>
      <c r="AW146" s="54">
        <f t="shared" si="93"/>
        <v>0</v>
      </c>
      <c r="AX146" s="54">
        <f t="shared" si="94"/>
        <v>0</v>
      </c>
      <c r="AY146" s="54">
        <f t="shared" si="95"/>
        <v>0</v>
      </c>
      <c r="AZ146" s="54">
        <f t="shared" si="96"/>
        <v>0</v>
      </c>
      <c r="BA146" s="54">
        <f t="shared" si="97"/>
        <v>0</v>
      </c>
      <c r="BC146" s="32">
        <f t="shared" si="98"/>
        <v>3</v>
      </c>
      <c r="BG146" s="25">
        <v>1</v>
      </c>
      <c r="BH146" s="54">
        <f t="shared" si="99"/>
        <v>0</v>
      </c>
      <c r="BI146" s="54">
        <f t="shared" si="100"/>
        <v>0</v>
      </c>
      <c r="BJ146" s="54">
        <f t="shared" si="101"/>
        <v>0</v>
      </c>
      <c r="BK146" s="54">
        <f t="shared" si="102"/>
        <v>0</v>
      </c>
      <c r="BL146" s="54">
        <f t="shared" si="103"/>
        <v>0</v>
      </c>
      <c r="BN146" s="25">
        <f t="shared" si="104"/>
        <v>1</v>
      </c>
      <c r="BS146" s="39"/>
      <c r="BT146" s="39"/>
      <c r="BU146" s="39"/>
      <c r="BV146" s="39"/>
      <c r="BW146" s="39"/>
    </row>
    <row r="147" spans="3:75" x14ac:dyDescent="0.25">
      <c r="C147" s="62" t="str">
        <f t="shared" si="70"/>
        <v>-</v>
      </c>
      <c r="D147" s="62" t="str">
        <f t="shared" si="71"/>
        <v>-</v>
      </c>
      <c r="E147" s="62" t="str">
        <f t="shared" si="72"/>
        <v>-</v>
      </c>
      <c r="F147" s="62" t="str">
        <f t="shared" si="73"/>
        <v>-</v>
      </c>
      <c r="G147" s="62" t="str">
        <f t="shared" si="74"/>
        <v>-</v>
      </c>
      <c r="J147" s="17" t="s">
        <v>34</v>
      </c>
      <c r="K147" s="32" t="s">
        <v>65</v>
      </c>
      <c r="L147" s="32" t="s">
        <v>45</v>
      </c>
      <c r="O147" s="25">
        <v>1</v>
      </c>
      <c r="P147" s="62">
        <f t="shared" si="75"/>
        <v>1</v>
      </c>
      <c r="Q147" s="62" t="str">
        <f t="shared" si="76"/>
        <v>-</v>
      </c>
      <c r="R147" s="62" t="str">
        <f t="shared" si="77"/>
        <v>-</v>
      </c>
      <c r="S147" s="62" t="str">
        <f t="shared" si="78"/>
        <v>-</v>
      </c>
      <c r="T147" s="62" t="str">
        <f t="shared" si="79"/>
        <v>-</v>
      </c>
      <c r="V147" s="32">
        <f t="shared" si="80"/>
        <v>6</v>
      </c>
      <c r="Z147" s="25">
        <v>1</v>
      </c>
      <c r="AA147" s="54">
        <f t="shared" si="81"/>
        <v>0</v>
      </c>
      <c r="AB147" s="54">
        <f t="shared" si="82"/>
        <v>0</v>
      </c>
      <c r="AC147" s="54">
        <f t="shared" si="83"/>
        <v>0</v>
      </c>
      <c r="AD147" s="54">
        <f t="shared" si="84"/>
        <v>0</v>
      </c>
      <c r="AE147" s="54">
        <f t="shared" si="85"/>
        <v>0</v>
      </c>
      <c r="AG147" s="32">
        <f t="shared" si="86"/>
        <v>5</v>
      </c>
      <c r="AK147" s="25">
        <v>1</v>
      </c>
      <c r="AL147" s="54">
        <f t="shared" si="87"/>
        <v>0</v>
      </c>
      <c r="AM147" s="54">
        <f t="shared" si="88"/>
        <v>0</v>
      </c>
      <c r="AN147" s="54">
        <f t="shared" si="89"/>
        <v>0</v>
      </c>
      <c r="AO147" s="54">
        <f t="shared" si="90"/>
        <v>0</v>
      </c>
      <c r="AP147" s="54">
        <f t="shared" si="91"/>
        <v>0</v>
      </c>
      <c r="AR147" s="32">
        <f t="shared" si="92"/>
        <v>4</v>
      </c>
      <c r="AV147" s="25">
        <v>1</v>
      </c>
      <c r="AW147" s="54">
        <f t="shared" si="93"/>
        <v>0</v>
      </c>
      <c r="AX147" s="54">
        <f t="shared" si="94"/>
        <v>0</v>
      </c>
      <c r="AY147" s="54">
        <f t="shared" si="95"/>
        <v>0</v>
      </c>
      <c r="AZ147" s="54">
        <f t="shared" si="96"/>
        <v>0</v>
      </c>
      <c r="BA147" s="54">
        <f t="shared" si="97"/>
        <v>0</v>
      </c>
      <c r="BC147" s="32">
        <f t="shared" si="98"/>
        <v>3</v>
      </c>
      <c r="BG147" s="25">
        <v>1</v>
      </c>
      <c r="BH147" s="54">
        <f t="shared" si="99"/>
        <v>0</v>
      </c>
      <c r="BI147" s="54">
        <f t="shared" si="100"/>
        <v>0</v>
      </c>
      <c r="BJ147" s="54">
        <f t="shared" si="101"/>
        <v>0</v>
      </c>
      <c r="BK147" s="54">
        <f t="shared" si="102"/>
        <v>0</v>
      </c>
      <c r="BL147" s="54">
        <f t="shared" si="103"/>
        <v>0</v>
      </c>
      <c r="BN147" s="25">
        <f t="shared" si="104"/>
        <v>1</v>
      </c>
      <c r="BS147" s="39"/>
      <c r="BT147" s="39"/>
      <c r="BU147" s="39"/>
      <c r="BV147" s="39"/>
      <c r="BW147" s="39"/>
    </row>
    <row r="148" spans="3:75" x14ac:dyDescent="0.25">
      <c r="C148" s="62" t="str">
        <f t="shared" si="70"/>
        <v>-</v>
      </c>
      <c r="D148" s="62" t="str">
        <f t="shared" si="71"/>
        <v>-</v>
      </c>
      <c r="E148" s="62" t="str">
        <f t="shared" si="72"/>
        <v>-</v>
      </c>
      <c r="F148" s="62" t="str">
        <f t="shared" si="73"/>
        <v>-</v>
      </c>
      <c r="G148" s="62" t="str">
        <f t="shared" si="74"/>
        <v>-</v>
      </c>
      <c r="J148" s="17" t="s">
        <v>34</v>
      </c>
      <c r="K148" s="32" t="s">
        <v>65</v>
      </c>
      <c r="L148" s="32" t="s">
        <v>44</v>
      </c>
      <c r="O148" s="25">
        <v>4</v>
      </c>
      <c r="P148" s="62">
        <f t="shared" si="75"/>
        <v>4</v>
      </c>
      <c r="Q148" s="62" t="str">
        <f t="shared" si="76"/>
        <v>-</v>
      </c>
      <c r="R148" s="62" t="str">
        <f t="shared" si="77"/>
        <v>-</v>
      </c>
      <c r="S148" s="62" t="str">
        <f t="shared" si="78"/>
        <v>-</v>
      </c>
      <c r="T148" s="62" t="str">
        <f t="shared" si="79"/>
        <v>-</v>
      </c>
      <c r="V148" s="32">
        <f t="shared" si="80"/>
        <v>6</v>
      </c>
      <c r="Z148" s="25">
        <v>1</v>
      </c>
      <c r="AA148" s="54">
        <f t="shared" si="81"/>
        <v>0</v>
      </c>
      <c r="AB148" s="54">
        <f t="shared" si="82"/>
        <v>0</v>
      </c>
      <c r="AC148" s="54">
        <f t="shared" si="83"/>
        <v>0</v>
      </c>
      <c r="AD148" s="54">
        <f t="shared" si="84"/>
        <v>0</v>
      </c>
      <c r="AE148" s="54">
        <f t="shared" si="85"/>
        <v>0</v>
      </c>
      <c r="AG148" s="32">
        <f t="shared" si="86"/>
        <v>5</v>
      </c>
      <c r="AK148" s="25">
        <v>1</v>
      </c>
      <c r="AL148" s="54">
        <f t="shared" si="87"/>
        <v>0</v>
      </c>
      <c r="AM148" s="54">
        <f t="shared" si="88"/>
        <v>0</v>
      </c>
      <c r="AN148" s="54">
        <f t="shared" si="89"/>
        <v>0</v>
      </c>
      <c r="AO148" s="54">
        <f t="shared" si="90"/>
        <v>0</v>
      </c>
      <c r="AP148" s="54">
        <f t="shared" si="91"/>
        <v>0</v>
      </c>
      <c r="AR148" s="32">
        <f t="shared" si="92"/>
        <v>4</v>
      </c>
      <c r="AV148" s="25">
        <v>1</v>
      </c>
      <c r="AW148" s="54">
        <f t="shared" si="93"/>
        <v>0</v>
      </c>
      <c r="AX148" s="54">
        <f t="shared" si="94"/>
        <v>0</v>
      </c>
      <c r="AY148" s="54">
        <f t="shared" si="95"/>
        <v>0</v>
      </c>
      <c r="AZ148" s="54">
        <f t="shared" si="96"/>
        <v>0</v>
      </c>
      <c r="BA148" s="54">
        <f t="shared" si="97"/>
        <v>0</v>
      </c>
      <c r="BC148" s="32">
        <f t="shared" si="98"/>
        <v>3</v>
      </c>
      <c r="BG148" s="25">
        <v>1</v>
      </c>
      <c r="BH148" s="54">
        <f t="shared" si="99"/>
        <v>0</v>
      </c>
      <c r="BI148" s="54">
        <f t="shared" si="100"/>
        <v>0</v>
      </c>
      <c r="BJ148" s="54">
        <f t="shared" si="101"/>
        <v>0</v>
      </c>
      <c r="BK148" s="54">
        <f t="shared" si="102"/>
        <v>0</v>
      </c>
      <c r="BL148" s="54">
        <f t="shared" si="103"/>
        <v>0</v>
      </c>
      <c r="BN148" s="25">
        <f t="shared" si="104"/>
        <v>1</v>
      </c>
      <c r="BS148" s="39"/>
      <c r="BT148" s="39"/>
      <c r="BU148" s="39"/>
      <c r="BV148" s="39"/>
      <c r="BW148" s="39"/>
    </row>
    <row r="149" spans="3:75" x14ac:dyDescent="0.25">
      <c r="C149" s="62" t="str">
        <f t="shared" si="70"/>
        <v>-</v>
      </c>
      <c r="D149" s="62" t="str">
        <f t="shared" si="71"/>
        <v>-</v>
      </c>
      <c r="E149" s="62" t="str">
        <f t="shared" si="72"/>
        <v>-</v>
      </c>
      <c r="F149" s="62" t="str">
        <f t="shared" si="73"/>
        <v>-</v>
      </c>
      <c r="G149" s="62" t="str">
        <f t="shared" si="74"/>
        <v>-</v>
      </c>
      <c r="J149" s="17" t="s">
        <v>34</v>
      </c>
      <c r="K149" s="32" t="s">
        <v>65</v>
      </c>
      <c r="L149" s="32" t="s">
        <v>67</v>
      </c>
      <c r="O149" s="25">
        <v>4</v>
      </c>
      <c r="P149" s="62">
        <f t="shared" si="75"/>
        <v>4</v>
      </c>
      <c r="Q149" s="62" t="str">
        <f t="shared" si="76"/>
        <v>-</v>
      </c>
      <c r="R149" s="62" t="str">
        <f t="shared" si="77"/>
        <v>-</v>
      </c>
      <c r="S149" s="62" t="str">
        <f t="shared" si="78"/>
        <v>-</v>
      </c>
      <c r="T149" s="62" t="str">
        <f t="shared" si="79"/>
        <v>-</v>
      </c>
      <c r="V149" s="32">
        <f t="shared" si="80"/>
        <v>6</v>
      </c>
      <c r="Z149" s="25">
        <v>1</v>
      </c>
      <c r="AA149" s="54">
        <f t="shared" si="81"/>
        <v>0</v>
      </c>
      <c r="AB149" s="54">
        <f t="shared" si="82"/>
        <v>0</v>
      </c>
      <c r="AC149" s="54">
        <f t="shared" si="83"/>
        <v>0</v>
      </c>
      <c r="AD149" s="54">
        <f t="shared" si="84"/>
        <v>0</v>
      </c>
      <c r="AE149" s="54">
        <f t="shared" si="85"/>
        <v>0</v>
      </c>
      <c r="AG149" s="32">
        <f t="shared" si="86"/>
        <v>5</v>
      </c>
      <c r="AK149" s="25">
        <v>1</v>
      </c>
      <c r="AL149" s="54">
        <f t="shared" si="87"/>
        <v>0</v>
      </c>
      <c r="AM149" s="54">
        <f t="shared" si="88"/>
        <v>0</v>
      </c>
      <c r="AN149" s="54">
        <f t="shared" si="89"/>
        <v>0</v>
      </c>
      <c r="AO149" s="54">
        <f t="shared" si="90"/>
        <v>0</v>
      </c>
      <c r="AP149" s="54">
        <f t="shared" si="91"/>
        <v>0</v>
      </c>
      <c r="AR149" s="32">
        <f t="shared" si="92"/>
        <v>4</v>
      </c>
      <c r="AV149" s="25">
        <v>1</v>
      </c>
      <c r="AW149" s="54">
        <f t="shared" si="93"/>
        <v>0</v>
      </c>
      <c r="AX149" s="54">
        <f t="shared" si="94"/>
        <v>0</v>
      </c>
      <c r="AY149" s="54">
        <f t="shared" si="95"/>
        <v>0</v>
      </c>
      <c r="AZ149" s="54">
        <f t="shared" si="96"/>
        <v>0</v>
      </c>
      <c r="BA149" s="54">
        <f t="shared" si="97"/>
        <v>0</v>
      </c>
      <c r="BC149" s="32">
        <f t="shared" si="98"/>
        <v>3</v>
      </c>
      <c r="BG149" s="25">
        <v>1</v>
      </c>
      <c r="BH149" s="54">
        <f t="shared" si="99"/>
        <v>0</v>
      </c>
      <c r="BI149" s="54">
        <f t="shared" si="100"/>
        <v>0</v>
      </c>
      <c r="BJ149" s="54">
        <f t="shared" si="101"/>
        <v>0</v>
      </c>
      <c r="BK149" s="54">
        <f t="shared" si="102"/>
        <v>0</v>
      </c>
      <c r="BL149" s="54">
        <f t="shared" si="103"/>
        <v>0</v>
      </c>
      <c r="BN149" s="25">
        <f t="shared" si="104"/>
        <v>1</v>
      </c>
      <c r="BS149" s="39"/>
      <c r="BT149" s="39"/>
      <c r="BU149" s="39"/>
      <c r="BV149" s="39"/>
      <c r="BW149" s="39"/>
    </row>
    <row r="150" spans="3:75" x14ac:dyDescent="0.25">
      <c r="C150" s="62" t="str">
        <f t="shared" si="70"/>
        <v>-</v>
      </c>
      <c r="D150" s="62" t="str">
        <f t="shared" si="71"/>
        <v>-</v>
      </c>
      <c r="E150" s="62" t="str">
        <f t="shared" si="72"/>
        <v>-</v>
      </c>
      <c r="F150" s="62" t="str">
        <f t="shared" si="73"/>
        <v>-</v>
      </c>
      <c r="G150" s="62" t="str">
        <f t="shared" si="74"/>
        <v>-</v>
      </c>
      <c r="J150" s="17" t="s">
        <v>34</v>
      </c>
      <c r="K150" s="32" t="s">
        <v>65</v>
      </c>
      <c r="L150" s="32" t="s">
        <v>91</v>
      </c>
      <c r="O150" s="25">
        <v>10</v>
      </c>
      <c r="P150" s="62">
        <f t="shared" si="75"/>
        <v>10</v>
      </c>
      <c r="Q150" s="62" t="str">
        <f t="shared" si="76"/>
        <v>-</v>
      </c>
      <c r="R150" s="62" t="str">
        <f t="shared" si="77"/>
        <v>-</v>
      </c>
      <c r="S150" s="62" t="str">
        <f t="shared" si="78"/>
        <v>-</v>
      </c>
      <c r="T150" s="62" t="str">
        <f t="shared" si="79"/>
        <v>-</v>
      </c>
      <c r="V150" s="32">
        <f t="shared" si="80"/>
        <v>6</v>
      </c>
      <c r="Z150" s="25">
        <v>1</v>
      </c>
      <c r="AA150" s="54">
        <f t="shared" si="81"/>
        <v>0</v>
      </c>
      <c r="AB150" s="54">
        <f t="shared" si="82"/>
        <v>0</v>
      </c>
      <c r="AC150" s="54">
        <f t="shared" si="83"/>
        <v>0</v>
      </c>
      <c r="AD150" s="54">
        <f t="shared" si="84"/>
        <v>0</v>
      </c>
      <c r="AE150" s="54">
        <f t="shared" si="85"/>
        <v>0</v>
      </c>
      <c r="AG150" s="32">
        <f t="shared" si="86"/>
        <v>5</v>
      </c>
      <c r="AK150" s="25">
        <v>1</v>
      </c>
      <c r="AL150" s="54">
        <f t="shared" si="87"/>
        <v>0</v>
      </c>
      <c r="AM150" s="54">
        <f t="shared" si="88"/>
        <v>0</v>
      </c>
      <c r="AN150" s="54">
        <f t="shared" si="89"/>
        <v>0</v>
      </c>
      <c r="AO150" s="54">
        <f t="shared" si="90"/>
        <v>0</v>
      </c>
      <c r="AP150" s="54">
        <f t="shared" si="91"/>
        <v>0</v>
      </c>
      <c r="AR150" s="32">
        <f t="shared" si="92"/>
        <v>4</v>
      </c>
      <c r="AV150" s="25">
        <v>1</v>
      </c>
      <c r="AW150" s="54">
        <f t="shared" si="93"/>
        <v>0</v>
      </c>
      <c r="AX150" s="54">
        <f t="shared" si="94"/>
        <v>0</v>
      </c>
      <c r="AY150" s="54">
        <f t="shared" si="95"/>
        <v>0</v>
      </c>
      <c r="AZ150" s="54">
        <f t="shared" si="96"/>
        <v>0</v>
      </c>
      <c r="BA150" s="54">
        <f t="shared" si="97"/>
        <v>0</v>
      </c>
      <c r="BC150" s="32">
        <f t="shared" si="98"/>
        <v>3</v>
      </c>
      <c r="BG150" s="25">
        <v>1</v>
      </c>
      <c r="BH150" s="54">
        <f t="shared" si="99"/>
        <v>0</v>
      </c>
      <c r="BI150" s="54">
        <f t="shared" si="100"/>
        <v>0</v>
      </c>
      <c r="BJ150" s="54">
        <f t="shared" si="101"/>
        <v>0</v>
      </c>
      <c r="BK150" s="54">
        <f t="shared" si="102"/>
        <v>0</v>
      </c>
      <c r="BL150" s="54">
        <f t="shared" si="103"/>
        <v>0</v>
      </c>
      <c r="BN150" s="25">
        <f t="shared" si="104"/>
        <v>1</v>
      </c>
      <c r="BS150" s="39"/>
      <c r="BT150" s="39"/>
      <c r="BU150" s="39"/>
      <c r="BV150" s="39"/>
      <c r="BW150" s="39"/>
    </row>
    <row r="151" spans="3:75" x14ac:dyDescent="0.25">
      <c r="C151" s="62" t="str">
        <f t="shared" si="70"/>
        <v>-</v>
      </c>
      <c r="D151" s="62" t="str">
        <f t="shared" si="71"/>
        <v>-</v>
      </c>
      <c r="E151" s="62" t="str">
        <f t="shared" si="72"/>
        <v>-</v>
      </c>
      <c r="F151" s="62" t="str">
        <f t="shared" si="73"/>
        <v>-</v>
      </c>
      <c r="G151" s="62" t="str">
        <f t="shared" si="74"/>
        <v>-</v>
      </c>
      <c r="J151" s="17" t="s">
        <v>34</v>
      </c>
      <c r="K151" s="32" t="s">
        <v>65</v>
      </c>
      <c r="L151" s="32" t="s">
        <v>92</v>
      </c>
      <c r="O151" s="25">
        <v>3</v>
      </c>
      <c r="P151" s="62">
        <f t="shared" si="75"/>
        <v>3</v>
      </c>
      <c r="Q151" s="62" t="str">
        <f t="shared" si="76"/>
        <v>-</v>
      </c>
      <c r="R151" s="62" t="str">
        <f t="shared" si="77"/>
        <v>-</v>
      </c>
      <c r="S151" s="62" t="str">
        <f t="shared" si="78"/>
        <v>-</v>
      </c>
      <c r="T151" s="62" t="str">
        <f t="shared" si="79"/>
        <v>-</v>
      </c>
      <c r="V151" s="32">
        <f t="shared" si="80"/>
        <v>6</v>
      </c>
      <c r="Z151" s="25">
        <v>1</v>
      </c>
      <c r="AA151" s="54">
        <f t="shared" si="81"/>
        <v>0</v>
      </c>
      <c r="AB151" s="54">
        <f t="shared" si="82"/>
        <v>0</v>
      </c>
      <c r="AC151" s="54">
        <f t="shared" si="83"/>
        <v>0</v>
      </c>
      <c r="AD151" s="54">
        <f t="shared" si="84"/>
        <v>0</v>
      </c>
      <c r="AE151" s="54">
        <f t="shared" si="85"/>
        <v>0</v>
      </c>
      <c r="AG151" s="32">
        <f t="shared" si="86"/>
        <v>5</v>
      </c>
      <c r="AK151" s="25">
        <v>1</v>
      </c>
      <c r="AL151" s="54">
        <f t="shared" si="87"/>
        <v>0</v>
      </c>
      <c r="AM151" s="54">
        <f t="shared" si="88"/>
        <v>0</v>
      </c>
      <c r="AN151" s="54">
        <f t="shared" si="89"/>
        <v>0</v>
      </c>
      <c r="AO151" s="54">
        <f t="shared" si="90"/>
        <v>0</v>
      </c>
      <c r="AP151" s="54">
        <f t="shared" si="91"/>
        <v>0</v>
      </c>
      <c r="AR151" s="32">
        <f t="shared" si="92"/>
        <v>4</v>
      </c>
      <c r="AV151" s="25">
        <v>1</v>
      </c>
      <c r="AW151" s="54">
        <f t="shared" si="93"/>
        <v>0</v>
      </c>
      <c r="AX151" s="54">
        <f t="shared" si="94"/>
        <v>0</v>
      </c>
      <c r="AY151" s="54">
        <f t="shared" si="95"/>
        <v>0</v>
      </c>
      <c r="AZ151" s="54">
        <f t="shared" si="96"/>
        <v>0</v>
      </c>
      <c r="BA151" s="54">
        <f t="shared" si="97"/>
        <v>0</v>
      </c>
      <c r="BC151" s="32">
        <f t="shared" si="98"/>
        <v>3</v>
      </c>
      <c r="BG151" s="25">
        <v>1</v>
      </c>
      <c r="BH151" s="54">
        <f t="shared" si="99"/>
        <v>0</v>
      </c>
      <c r="BI151" s="54">
        <f t="shared" si="100"/>
        <v>0</v>
      </c>
      <c r="BJ151" s="54">
        <f t="shared" si="101"/>
        <v>0</v>
      </c>
      <c r="BK151" s="54">
        <f t="shared" si="102"/>
        <v>0</v>
      </c>
      <c r="BL151" s="54">
        <f t="shared" si="103"/>
        <v>0</v>
      </c>
      <c r="BN151" s="25">
        <f t="shared" si="104"/>
        <v>1</v>
      </c>
      <c r="BS151" s="39"/>
      <c r="BT151" s="39"/>
      <c r="BU151" s="39"/>
      <c r="BV151" s="39"/>
      <c r="BW151" s="39"/>
    </row>
    <row r="152" spans="3:75" x14ac:dyDescent="0.25">
      <c r="C152" s="62" t="str">
        <f t="shared" si="70"/>
        <v>-</v>
      </c>
      <c r="D152" s="62" t="str">
        <f t="shared" si="71"/>
        <v>-</v>
      </c>
      <c r="E152" s="62" t="str">
        <f t="shared" si="72"/>
        <v>-</v>
      </c>
      <c r="F152" s="62" t="str">
        <f t="shared" si="73"/>
        <v>-</v>
      </c>
      <c r="G152" s="62" t="str">
        <f t="shared" si="74"/>
        <v>-</v>
      </c>
      <c r="J152" s="17" t="s">
        <v>34</v>
      </c>
      <c r="K152" s="32" t="s">
        <v>322</v>
      </c>
      <c r="O152" s="25">
        <v>1</v>
      </c>
      <c r="P152" s="62" t="str">
        <f t="shared" si="75"/>
        <v>-</v>
      </c>
      <c r="Q152" s="62" t="str">
        <f t="shared" si="76"/>
        <v>-</v>
      </c>
      <c r="R152" s="62">
        <f t="shared" si="77"/>
        <v>2</v>
      </c>
      <c r="S152" s="62" t="str">
        <f t="shared" si="78"/>
        <v>-</v>
      </c>
      <c r="T152" s="62" t="str">
        <f t="shared" si="79"/>
        <v>-</v>
      </c>
      <c r="V152" s="32">
        <f t="shared" si="80"/>
        <v>6</v>
      </c>
      <c r="Z152" s="25">
        <v>1</v>
      </c>
      <c r="AA152" s="54">
        <f t="shared" si="81"/>
        <v>0</v>
      </c>
      <c r="AB152" s="54">
        <f t="shared" si="82"/>
        <v>0</v>
      </c>
      <c r="AC152" s="54">
        <f t="shared" si="83"/>
        <v>0</v>
      </c>
      <c r="AD152" s="54">
        <f t="shared" si="84"/>
        <v>0</v>
      </c>
      <c r="AE152" s="54">
        <f t="shared" si="85"/>
        <v>0</v>
      </c>
      <c r="AG152" s="32">
        <f t="shared" si="86"/>
        <v>5</v>
      </c>
      <c r="AK152" s="25">
        <v>1</v>
      </c>
      <c r="AL152" s="54">
        <f t="shared" si="87"/>
        <v>0</v>
      </c>
      <c r="AM152" s="54">
        <f t="shared" si="88"/>
        <v>0</v>
      </c>
      <c r="AN152" s="54">
        <f t="shared" si="89"/>
        <v>0</v>
      </c>
      <c r="AO152" s="54">
        <f t="shared" si="90"/>
        <v>0</v>
      </c>
      <c r="AP152" s="54">
        <f t="shared" si="91"/>
        <v>0</v>
      </c>
      <c r="AR152" s="32">
        <f t="shared" si="92"/>
        <v>4</v>
      </c>
      <c r="AV152" s="25">
        <v>1</v>
      </c>
      <c r="AW152" s="54">
        <f t="shared" si="93"/>
        <v>0</v>
      </c>
      <c r="AX152" s="54">
        <f t="shared" si="94"/>
        <v>0</v>
      </c>
      <c r="AY152" s="54">
        <f t="shared" si="95"/>
        <v>0</v>
      </c>
      <c r="AZ152" s="54">
        <f t="shared" si="96"/>
        <v>0</v>
      </c>
      <c r="BA152" s="54">
        <f t="shared" si="97"/>
        <v>0</v>
      </c>
      <c r="BC152" s="32">
        <f t="shared" si="98"/>
        <v>3</v>
      </c>
      <c r="BG152" s="25">
        <v>1</v>
      </c>
      <c r="BH152" s="54">
        <f t="shared" si="99"/>
        <v>0</v>
      </c>
      <c r="BI152" s="54">
        <f t="shared" si="100"/>
        <v>0</v>
      </c>
      <c r="BJ152" s="54">
        <f t="shared" si="101"/>
        <v>0</v>
      </c>
      <c r="BK152" s="54">
        <f t="shared" si="102"/>
        <v>0</v>
      </c>
      <c r="BL152" s="54">
        <f t="shared" si="103"/>
        <v>0</v>
      </c>
      <c r="BN152" s="25">
        <f t="shared" si="104"/>
        <v>1</v>
      </c>
      <c r="BS152" s="39"/>
      <c r="BT152" s="39"/>
      <c r="BU152" s="39"/>
      <c r="BV152" s="39"/>
      <c r="BW152" s="39"/>
    </row>
    <row r="153" spans="3:75" x14ac:dyDescent="0.25">
      <c r="C153" s="62" t="str">
        <f t="shared" si="70"/>
        <v>-</v>
      </c>
      <c r="D153" s="62" t="str">
        <f t="shared" si="71"/>
        <v>-</v>
      </c>
      <c r="E153" s="62" t="str">
        <f t="shared" si="72"/>
        <v>-</v>
      </c>
      <c r="F153" s="62" t="str">
        <f t="shared" si="73"/>
        <v>-</v>
      </c>
      <c r="G153" s="62" t="str">
        <f t="shared" si="74"/>
        <v>-</v>
      </c>
      <c r="J153" s="17" t="s">
        <v>34</v>
      </c>
      <c r="K153" s="32" t="s">
        <v>68</v>
      </c>
      <c r="O153" s="25">
        <v>4</v>
      </c>
      <c r="P153" s="62" t="str">
        <f t="shared" si="75"/>
        <v>-</v>
      </c>
      <c r="Q153" s="62" t="str">
        <f t="shared" si="76"/>
        <v>-</v>
      </c>
      <c r="R153" s="62" t="str">
        <f t="shared" si="77"/>
        <v>-</v>
      </c>
      <c r="S153" s="62">
        <f t="shared" si="78"/>
        <v>4</v>
      </c>
      <c r="T153" s="62" t="str">
        <f t="shared" si="79"/>
        <v>-</v>
      </c>
      <c r="V153" s="32">
        <f t="shared" si="80"/>
        <v>6</v>
      </c>
      <c r="Z153" s="25">
        <v>1</v>
      </c>
      <c r="AA153" s="54">
        <f t="shared" si="81"/>
        <v>0</v>
      </c>
      <c r="AB153" s="54">
        <f t="shared" si="82"/>
        <v>0</v>
      </c>
      <c r="AC153" s="54">
        <f t="shared" si="83"/>
        <v>0</v>
      </c>
      <c r="AD153" s="54">
        <f t="shared" si="84"/>
        <v>0</v>
      </c>
      <c r="AE153" s="54">
        <f t="shared" si="85"/>
        <v>0</v>
      </c>
      <c r="AG153" s="32">
        <f t="shared" si="86"/>
        <v>5</v>
      </c>
      <c r="AK153" s="25">
        <v>1</v>
      </c>
      <c r="AL153" s="54">
        <f t="shared" si="87"/>
        <v>0</v>
      </c>
      <c r="AM153" s="54">
        <f t="shared" si="88"/>
        <v>0</v>
      </c>
      <c r="AN153" s="54">
        <f t="shared" si="89"/>
        <v>0</v>
      </c>
      <c r="AO153" s="54">
        <f t="shared" si="90"/>
        <v>0</v>
      </c>
      <c r="AP153" s="54">
        <f t="shared" si="91"/>
        <v>0</v>
      </c>
      <c r="AR153" s="32">
        <f t="shared" si="92"/>
        <v>4</v>
      </c>
      <c r="AV153" s="25">
        <v>1</v>
      </c>
      <c r="AW153" s="54">
        <f t="shared" si="93"/>
        <v>0</v>
      </c>
      <c r="AX153" s="54">
        <f t="shared" si="94"/>
        <v>0</v>
      </c>
      <c r="AY153" s="54">
        <f t="shared" si="95"/>
        <v>0</v>
      </c>
      <c r="AZ153" s="54">
        <f t="shared" si="96"/>
        <v>0</v>
      </c>
      <c r="BA153" s="54">
        <f t="shared" si="97"/>
        <v>0</v>
      </c>
      <c r="BC153" s="32">
        <f t="shared" si="98"/>
        <v>3</v>
      </c>
      <c r="BG153" s="25">
        <v>1</v>
      </c>
      <c r="BH153" s="54">
        <f t="shared" si="99"/>
        <v>0</v>
      </c>
      <c r="BI153" s="54">
        <f t="shared" si="100"/>
        <v>0</v>
      </c>
      <c r="BJ153" s="54">
        <f t="shared" si="101"/>
        <v>0</v>
      </c>
      <c r="BK153" s="54">
        <f t="shared" si="102"/>
        <v>0</v>
      </c>
      <c r="BL153" s="54">
        <f t="shared" si="103"/>
        <v>0</v>
      </c>
      <c r="BN153" s="25">
        <f t="shared" si="104"/>
        <v>1</v>
      </c>
      <c r="BS153" s="39"/>
      <c r="BT153" s="39"/>
      <c r="BU153" s="39"/>
      <c r="BV153" s="39"/>
      <c r="BW153" s="39"/>
    </row>
    <row r="154" spans="3:75" x14ac:dyDescent="0.25">
      <c r="C154" s="62" t="str">
        <f t="shared" si="70"/>
        <v>-</v>
      </c>
      <c r="D154" s="62" t="str">
        <f t="shared" si="71"/>
        <v>-</v>
      </c>
      <c r="E154" s="62" t="str">
        <f t="shared" si="72"/>
        <v>-</v>
      </c>
      <c r="F154" s="62" t="str">
        <f t="shared" si="73"/>
        <v>-</v>
      </c>
      <c r="G154" s="62" t="str">
        <f t="shared" si="74"/>
        <v>-</v>
      </c>
      <c r="J154" s="17" t="s">
        <v>34</v>
      </c>
      <c r="K154" s="40" t="s">
        <v>83</v>
      </c>
      <c r="M154" s="40" t="s">
        <v>314</v>
      </c>
      <c r="O154" s="25">
        <v>5</v>
      </c>
      <c r="P154" s="62" t="str">
        <f t="shared" si="75"/>
        <v>-</v>
      </c>
      <c r="Q154" s="62" t="str">
        <f t="shared" si="76"/>
        <v>-</v>
      </c>
      <c r="R154" s="62">
        <f t="shared" si="77"/>
        <v>10</v>
      </c>
      <c r="S154" s="62">
        <f t="shared" si="78"/>
        <v>5</v>
      </c>
      <c r="T154" s="62" t="str">
        <f t="shared" si="79"/>
        <v>-</v>
      </c>
      <c r="V154" s="32">
        <f t="shared" si="80"/>
        <v>6</v>
      </c>
      <c r="Z154" s="25">
        <v>1</v>
      </c>
      <c r="AA154" s="54">
        <f t="shared" si="81"/>
        <v>0</v>
      </c>
      <c r="AB154" s="54">
        <f t="shared" si="82"/>
        <v>0</v>
      </c>
      <c r="AC154" s="54">
        <f t="shared" si="83"/>
        <v>0</v>
      </c>
      <c r="AD154" s="54">
        <f t="shared" si="84"/>
        <v>0</v>
      </c>
      <c r="AE154" s="54">
        <f t="shared" si="85"/>
        <v>0</v>
      </c>
      <c r="AG154" s="32">
        <f t="shared" si="86"/>
        <v>5</v>
      </c>
      <c r="AK154" s="25">
        <v>1</v>
      </c>
      <c r="AL154" s="54">
        <f t="shared" si="87"/>
        <v>0</v>
      </c>
      <c r="AM154" s="54">
        <f t="shared" si="88"/>
        <v>0</v>
      </c>
      <c r="AN154" s="54">
        <f t="shared" si="89"/>
        <v>0</v>
      </c>
      <c r="AO154" s="54">
        <f t="shared" si="90"/>
        <v>0</v>
      </c>
      <c r="AP154" s="54">
        <f t="shared" si="91"/>
        <v>0</v>
      </c>
      <c r="AR154" s="32">
        <f t="shared" si="92"/>
        <v>4</v>
      </c>
      <c r="AV154" s="25">
        <v>1</v>
      </c>
      <c r="AW154" s="54">
        <f t="shared" si="93"/>
        <v>0</v>
      </c>
      <c r="AX154" s="54">
        <f t="shared" si="94"/>
        <v>0</v>
      </c>
      <c r="AY154" s="54">
        <f t="shared" si="95"/>
        <v>0</v>
      </c>
      <c r="AZ154" s="54">
        <f t="shared" si="96"/>
        <v>0</v>
      </c>
      <c r="BA154" s="54">
        <f t="shared" si="97"/>
        <v>0</v>
      </c>
      <c r="BC154" s="32">
        <f t="shared" si="98"/>
        <v>3</v>
      </c>
      <c r="BG154" s="25">
        <v>1</v>
      </c>
      <c r="BH154" s="54">
        <f t="shared" si="99"/>
        <v>0</v>
      </c>
      <c r="BI154" s="54">
        <f t="shared" si="100"/>
        <v>0</v>
      </c>
      <c r="BJ154" s="54">
        <f t="shared" si="101"/>
        <v>0</v>
      </c>
      <c r="BK154" s="54">
        <f t="shared" si="102"/>
        <v>0</v>
      </c>
      <c r="BL154" s="54">
        <f t="shared" si="103"/>
        <v>0</v>
      </c>
      <c r="BN154" s="25">
        <f t="shared" si="104"/>
        <v>1</v>
      </c>
      <c r="BS154" s="39"/>
      <c r="BT154" s="39"/>
      <c r="BU154" s="39"/>
      <c r="BV154" s="39"/>
      <c r="BW154" s="39"/>
    </row>
    <row r="155" spans="3:75" x14ac:dyDescent="0.25">
      <c r="C155" s="62" t="str">
        <f t="shared" si="70"/>
        <v>-</v>
      </c>
      <c r="D155" s="62" t="str">
        <f t="shared" si="71"/>
        <v>-</v>
      </c>
      <c r="E155" s="62" t="str">
        <f t="shared" si="72"/>
        <v>-</v>
      </c>
      <c r="F155" s="62" t="str">
        <f t="shared" si="73"/>
        <v>-</v>
      </c>
      <c r="G155" s="62" t="str">
        <f t="shared" si="74"/>
        <v>-</v>
      </c>
      <c r="J155" s="17" t="s">
        <v>34</v>
      </c>
      <c r="K155" s="40" t="s">
        <v>83</v>
      </c>
      <c r="M155" s="40" t="s">
        <v>313</v>
      </c>
      <c r="O155" s="25">
        <v>4</v>
      </c>
      <c r="P155" s="62" t="str">
        <f t="shared" si="75"/>
        <v>-</v>
      </c>
      <c r="Q155" s="62" t="str">
        <f t="shared" si="76"/>
        <v>-</v>
      </c>
      <c r="R155" s="62">
        <f t="shared" si="77"/>
        <v>8</v>
      </c>
      <c r="S155" s="62">
        <f t="shared" si="78"/>
        <v>4</v>
      </c>
      <c r="T155" s="62" t="str">
        <f t="shared" si="79"/>
        <v>-</v>
      </c>
      <c r="V155" s="32">
        <f t="shared" si="80"/>
        <v>6</v>
      </c>
      <c r="Z155" s="25">
        <v>1</v>
      </c>
      <c r="AA155" s="54">
        <f t="shared" si="81"/>
        <v>0</v>
      </c>
      <c r="AB155" s="54">
        <f t="shared" si="82"/>
        <v>0</v>
      </c>
      <c r="AC155" s="54">
        <f t="shared" si="83"/>
        <v>0</v>
      </c>
      <c r="AD155" s="54">
        <f t="shared" si="84"/>
        <v>0</v>
      </c>
      <c r="AE155" s="54">
        <f t="shared" si="85"/>
        <v>0</v>
      </c>
      <c r="AG155" s="32">
        <f t="shared" si="86"/>
        <v>5</v>
      </c>
      <c r="AK155" s="25">
        <v>1</v>
      </c>
      <c r="AL155" s="54">
        <f t="shared" si="87"/>
        <v>0</v>
      </c>
      <c r="AM155" s="54">
        <f t="shared" si="88"/>
        <v>0</v>
      </c>
      <c r="AN155" s="54">
        <f t="shared" si="89"/>
        <v>0</v>
      </c>
      <c r="AO155" s="54">
        <f t="shared" si="90"/>
        <v>0</v>
      </c>
      <c r="AP155" s="54">
        <f t="shared" si="91"/>
        <v>0</v>
      </c>
      <c r="AR155" s="32">
        <f t="shared" si="92"/>
        <v>4</v>
      </c>
      <c r="AV155" s="25">
        <v>1</v>
      </c>
      <c r="AW155" s="54">
        <f t="shared" si="93"/>
        <v>0</v>
      </c>
      <c r="AX155" s="54">
        <f t="shared" si="94"/>
        <v>0</v>
      </c>
      <c r="AY155" s="54">
        <f t="shared" si="95"/>
        <v>0</v>
      </c>
      <c r="AZ155" s="54">
        <f t="shared" si="96"/>
        <v>0</v>
      </c>
      <c r="BA155" s="54">
        <f t="shared" si="97"/>
        <v>0</v>
      </c>
      <c r="BC155" s="32">
        <f t="shared" si="98"/>
        <v>3</v>
      </c>
      <c r="BG155" s="25">
        <v>1</v>
      </c>
      <c r="BH155" s="54">
        <f t="shared" si="99"/>
        <v>0</v>
      </c>
      <c r="BI155" s="54">
        <f t="shared" si="100"/>
        <v>0</v>
      </c>
      <c r="BJ155" s="54">
        <f t="shared" si="101"/>
        <v>0</v>
      </c>
      <c r="BK155" s="54">
        <f t="shared" si="102"/>
        <v>0</v>
      </c>
      <c r="BL155" s="54">
        <f t="shared" si="103"/>
        <v>0</v>
      </c>
      <c r="BN155" s="25">
        <f t="shared" si="104"/>
        <v>1</v>
      </c>
      <c r="BS155" s="39"/>
      <c r="BT155" s="39"/>
      <c r="BU155" s="39"/>
      <c r="BV155" s="39"/>
      <c r="BW155" s="39"/>
    </row>
    <row r="156" spans="3:75" x14ac:dyDescent="0.25">
      <c r="C156" s="62" t="str">
        <f t="shared" si="70"/>
        <v>-</v>
      </c>
      <c r="D156" s="62" t="str">
        <f t="shared" si="71"/>
        <v>-</v>
      </c>
      <c r="E156" s="62" t="str">
        <f t="shared" si="72"/>
        <v>-</v>
      </c>
      <c r="F156" s="62" t="str">
        <f t="shared" si="73"/>
        <v>-</v>
      </c>
      <c r="G156" s="62" t="str">
        <f t="shared" si="74"/>
        <v>-</v>
      </c>
      <c r="J156" s="17" t="s">
        <v>34</v>
      </c>
      <c r="K156" s="32" t="s">
        <v>83</v>
      </c>
      <c r="O156" s="25">
        <v>3</v>
      </c>
      <c r="P156" s="62" t="str">
        <f t="shared" si="75"/>
        <v>-</v>
      </c>
      <c r="Q156" s="62" t="str">
        <f t="shared" si="76"/>
        <v>-</v>
      </c>
      <c r="R156" s="62">
        <f t="shared" si="77"/>
        <v>6</v>
      </c>
      <c r="S156" s="62">
        <f t="shared" si="78"/>
        <v>3</v>
      </c>
      <c r="T156" s="62" t="str">
        <f t="shared" si="79"/>
        <v>-</v>
      </c>
      <c r="V156" s="32">
        <f t="shared" si="80"/>
        <v>6</v>
      </c>
      <c r="Z156" s="25">
        <v>1</v>
      </c>
      <c r="AA156" s="54">
        <f t="shared" si="81"/>
        <v>0</v>
      </c>
      <c r="AB156" s="54">
        <f t="shared" si="82"/>
        <v>0</v>
      </c>
      <c r="AC156" s="54">
        <f t="shared" si="83"/>
        <v>0</v>
      </c>
      <c r="AD156" s="54">
        <f t="shared" si="84"/>
        <v>0</v>
      </c>
      <c r="AE156" s="54">
        <f t="shared" si="85"/>
        <v>0</v>
      </c>
      <c r="AG156" s="32">
        <f t="shared" si="86"/>
        <v>5</v>
      </c>
      <c r="AK156" s="25">
        <v>1</v>
      </c>
      <c r="AL156" s="54">
        <f t="shared" si="87"/>
        <v>0</v>
      </c>
      <c r="AM156" s="54">
        <f t="shared" si="88"/>
        <v>0</v>
      </c>
      <c r="AN156" s="54">
        <f t="shared" si="89"/>
        <v>0</v>
      </c>
      <c r="AO156" s="54">
        <f t="shared" si="90"/>
        <v>0</v>
      </c>
      <c r="AP156" s="54">
        <f t="shared" si="91"/>
        <v>0</v>
      </c>
      <c r="AR156" s="32">
        <f t="shared" si="92"/>
        <v>4</v>
      </c>
      <c r="AV156" s="25">
        <v>1</v>
      </c>
      <c r="AW156" s="54">
        <f t="shared" si="93"/>
        <v>0</v>
      </c>
      <c r="AX156" s="54">
        <f t="shared" si="94"/>
        <v>0</v>
      </c>
      <c r="AY156" s="54">
        <f t="shared" si="95"/>
        <v>0</v>
      </c>
      <c r="AZ156" s="54">
        <f t="shared" si="96"/>
        <v>0</v>
      </c>
      <c r="BA156" s="54">
        <f t="shared" si="97"/>
        <v>0</v>
      </c>
      <c r="BC156" s="32">
        <f t="shared" si="98"/>
        <v>3</v>
      </c>
      <c r="BG156" s="25">
        <v>1</v>
      </c>
      <c r="BH156" s="54">
        <f t="shared" si="99"/>
        <v>0</v>
      </c>
      <c r="BI156" s="54">
        <f t="shared" si="100"/>
        <v>0</v>
      </c>
      <c r="BJ156" s="54">
        <f t="shared" si="101"/>
        <v>0</v>
      </c>
      <c r="BK156" s="54">
        <f t="shared" si="102"/>
        <v>0</v>
      </c>
      <c r="BL156" s="54">
        <f t="shared" si="103"/>
        <v>0</v>
      </c>
      <c r="BN156" s="25">
        <f t="shared" si="104"/>
        <v>1</v>
      </c>
      <c r="BS156" s="39"/>
      <c r="BT156" s="39"/>
      <c r="BU156" s="39"/>
      <c r="BV156" s="39"/>
      <c r="BW156" s="39"/>
    </row>
    <row r="157" spans="3:75" x14ac:dyDescent="0.25">
      <c r="C157" s="62" t="str">
        <f t="shared" si="70"/>
        <v>-</v>
      </c>
      <c r="D157" s="62" t="str">
        <f t="shared" si="71"/>
        <v>-</v>
      </c>
      <c r="E157" s="62" t="str">
        <f t="shared" si="72"/>
        <v>-</v>
      </c>
      <c r="F157" s="62" t="str">
        <f t="shared" si="73"/>
        <v>-</v>
      </c>
      <c r="G157" s="62" t="str">
        <f t="shared" si="74"/>
        <v>-</v>
      </c>
      <c r="J157" s="17" t="s">
        <v>316</v>
      </c>
      <c r="K157" s="32" t="s">
        <v>89</v>
      </c>
      <c r="L157" s="32" t="s">
        <v>87</v>
      </c>
      <c r="M157" s="40" t="s">
        <v>93</v>
      </c>
      <c r="O157" s="25">
        <v>1</v>
      </c>
      <c r="P157" s="62" t="str">
        <f t="shared" si="75"/>
        <v>-</v>
      </c>
      <c r="Q157" s="62" t="str">
        <f t="shared" si="76"/>
        <v>-</v>
      </c>
      <c r="R157" s="62" t="str">
        <f t="shared" si="77"/>
        <v>-</v>
      </c>
      <c r="S157" s="62">
        <f t="shared" si="78"/>
        <v>1</v>
      </c>
      <c r="T157" s="62" t="str">
        <f t="shared" si="79"/>
        <v>-</v>
      </c>
      <c r="V157" s="32">
        <f t="shared" si="80"/>
        <v>6</v>
      </c>
      <c r="Z157" s="25">
        <v>1</v>
      </c>
      <c r="AA157" s="54">
        <f t="shared" si="81"/>
        <v>0</v>
      </c>
      <c r="AB157" s="54">
        <f t="shared" si="82"/>
        <v>0</v>
      </c>
      <c r="AC157" s="54">
        <f t="shared" si="83"/>
        <v>0</v>
      </c>
      <c r="AD157" s="54">
        <f t="shared" si="84"/>
        <v>0</v>
      </c>
      <c r="AE157" s="54">
        <f t="shared" si="85"/>
        <v>0</v>
      </c>
      <c r="AG157" s="32">
        <f t="shared" si="86"/>
        <v>5</v>
      </c>
      <c r="AK157" s="25">
        <v>1</v>
      </c>
      <c r="AL157" s="54">
        <f t="shared" si="87"/>
        <v>0</v>
      </c>
      <c r="AM157" s="54">
        <f t="shared" si="88"/>
        <v>0</v>
      </c>
      <c r="AN157" s="54">
        <f t="shared" si="89"/>
        <v>0</v>
      </c>
      <c r="AO157" s="54">
        <f t="shared" si="90"/>
        <v>0</v>
      </c>
      <c r="AP157" s="54">
        <f t="shared" si="91"/>
        <v>0</v>
      </c>
      <c r="AR157" s="32">
        <f t="shared" si="92"/>
        <v>4</v>
      </c>
      <c r="AV157" s="25">
        <v>1</v>
      </c>
      <c r="AW157" s="54">
        <f t="shared" si="93"/>
        <v>0</v>
      </c>
      <c r="AX157" s="54">
        <f t="shared" si="94"/>
        <v>0</v>
      </c>
      <c r="AY157" s="54">
        <f t="shared" si="95"/>
        <v>0</v>
      </c>
      <c r="AZ157" s="54">
        <f t="shared" si="96"/>
        <v>0</v>
      </c>
      <c r="BA157" s="54">
        <f t="shared" si="97"/>
        <v>0</v>
      </c>
      <c r="BC157" s="32">
        <f t="shared" si="98"/>
        <v>3</v>
      </c>
      <c r="BG157" s="25">
        <v>1</v>
      </c>
      <c r="BH157" s="54">
        <f t="shared" si="99"/>
        <v>0</v>
      </c>
      <c r="BI157" s="54">
        <f t="shared" si="100"/>
        <v>0</v>
      </c>
      <c r="BJ157" s="54">
        <f t="shared" si="101"/>
        <v>0</v>
      </c>
      <c r="BK157" s="54">
        <f t="shared" si="102"/>
        <v>0</v>
      </c>
      <c r="BL157" s="54">
        <f t="shared" si="103"/>
        <v>0</v>
      </c>
      <c r="BN157" s="25">
        <f t="shared" si="104"/>
        <v>1</v>
      </c>
      <c r="BS157" s="39"/>
      <c r="BT157" s="39"/>
      <c r="BU157" s="39"/>
      <c r="BV157" s="39"/>
      <c r="BW157" s="39"/>
    </row>
    <row r="158" spans="3:75" x14ac:dyDescent="0.25">
      <c r="C158" s="62" t="str">
        <f t="shared" si="70"/>
        <v>-</v>
      </c>
      <c r="D158" s="62" t="str">
        <f t="shared" si="71"/>
        <v>-</v>
      </c>
      <c r="E158" s="62" t="str">
        <f t="shared" si="72"/>
        <v>-</v>
      </c>
      <c r="F158" s="62" t="str">
        <f t="shared" si="73"/>
        <v>-</v>
      </c>
      <c r="G158" s="62" t="str">
        <f t="shared" si="74"/>
        <v>-</v>
      </c>
      <c r="J158" s="17" t="s">
        <v>316</v>
      </c>
      <c r="K158" s="32" t="s">
        <v>289</v>
      </c>
      <c r="O158" s="25">
        <v>2</v>
      </c>
      <c r="P158" s="62" t="str">
        <f t="shared" si="75"/>
        <v>-</v>
      </c>
      <c r="Q158" s="62">
        <f t="shared" si="76"/>
        <v>2</v>
      </c>
      <c r="R158" s="62" t="str">
        <f t="shared" si="77"/>
        <v>-</v>
      </c>
      <c r="S158" s="62" t="str">
        <f t="shared" si="78"/>
        <v>-</v>
      </c>
      <c r="T158" s="62" t="str">
        <f t="shared" si="79"/>
        <v>-</v>
      </c>
      <c r="V158" s="32">
        <f t="shared" si="80"/>
        <v>6</v>
      </c>
      <c r="Z158" s="25">
        <v>1</v>
      </c>
      <c r="AA158" s="54">
        <f t="shared" si="81"/>
        <v>0</v>
      </c>
      <c r="AB158" s="54">
        <f t="shared" si="82"/>
        <v>0</v>
      </c>
      <c r="AC158" s="54">
        <f t="shared" si="83"/>
        <v>0</v>
      </c>
      <c r="AD158" s="54">
        <f t="shared" si="84"/>
        <v>0</v>
      </c>
      <c r="AE158" s="54">
        <f t="shared" si="85"/>
        <v>0</v>
      </c>
      <c r="AG158" s="32">
        <f t="shared" si="86"/>
        <v>5</v>
      </c>
      <c r="AK158" s="25">
        <v>1</v>
      </c>
      <c r="AL158" s="54">
        <f t="shared" si="87"/>
        <v>0</v>
      </c>
      <c r="AM158" s="54">
        <f t="shared" si="88"/>
        <v>0</v>
      </c>
      <c r="AN158" s="54">
        <f t="shared" si="89"/>
        <v>0</v>
      </c>
      <c r="AO158" s="54">
        <f t="shared" si="90"/>
        <v>0</v>
      </c>
      <c r="AP158" s="54">
        <f t="shared" si="91"/>
        <v>0</v>
      </c>
      <c r="AR158" s="32">
        <f t="shared" si="92"/>
        <v>4</v>
      </c>
      <c r="AV158" s="25">
        <v>1</v>
      </c>
      <c r="AW158" s="54">
        <f t="shared" si="93"/>
        <v>0</v>
      </c>
      <c r="AX158" s="54">
        <f t="shared" si="94"/>
        <v>0</v>
      </c>
      <c r="AY158" s="54">
        <f t="shared" si="95"/>
        <v>0</v>
      </c>
      <c r="AZ158" s="54">
        <f t="shared" si="96"/>
        <v>0</v>
      </c>
      <c r="BA158" s="54">
        <f t="shared" si="97"/>
        <v>0</v>
      </c>
      <c r="BC158" s="32">
        <f t="shared" si="98"/>
        <v>3</v>
      </c>
      <c r="BG158" s="25">
        <v>1</v>
      </c>
      <c r="BH158" s="54">
        <f t="shared" si="99"/>
        <v>0</v>
      </c>
      <c r="BI158" s="54">
        <f t="shared" si="100"/>
        <v>0</v>
      </c>
      <c r="BJ158" s="54">
        <f t="shared" si="101"/>
        <v>0</v>
      </c>
      <c r="BK158" s="54">
        <f t="shared" si="102"/>
        <v>0</v>
      </c>
      <c r="BL158" s="54">
        <f t="shared" si="103"/>
        <v>0</v>
      </c>
      <c r="BN158" s="25">
        <f t="shared" si="104"/>
        <v>1</v>
      </c>
      <c r="BS158" s="39"/>
      <c r="BT158" s="39"/>
      <c r="BU158" s="39"/>
      <c r="BV158" s="39"/>
      <c r="BW158" s="39"/>
    </row>
    <row r="159" spans="3:75" x14ac:dyDescent="0.25">
      <c r="C159" s="62" t="str">
        <f t="shared" si="70"/>
        <v>-</v>
      </c>
      <c r="D159" s="62" t="str">
        <f t="shared" si="71"/>
        <v>-</v>
      </c>
      <c r="E159" s="62" t="str">
        <f t="shared" si="72"/>
        <v>-</v>
      </c>
      <c r="F159" s="62" t="str">
        <f t="shared" si="73"/>
        <v>-</v>
      </c>
      <c r="G159" s="62" t="str">
        <f t="shared" si="74"/>
        <v>-</v>
      </c>
      <c r="J159" s="17" t="s">
        <v>316</v>
      </c>
      <c r="K159" s="40" t="s">
        <v>66</v>
      </c>
      <c r="L159" s="32" t="s">
        <v>45</v>
      </c>
      <c r="M159" s="40" t="s">
        <v>53</v>
      </c>
      <c r="O159" s="25">
        <v>5</v>
      </c>
      <c r="P159" s="62" t="str">
        <f t="shared" si="75"/>
        <v>-</v>
      </c>
      <c r="Q159" s="62" t="str">
        <f t="shared" si="76"/>
        <v>-</v>
      </c>
      <c r="R159" s="62" t="str">
        <f t="shared" si="77"/>
        <v>-</v>
      </c>
      <c r="S159" s="62" t="str">
        <f t="shared" si="78"/>
        <v>-</v>
      </c>
      <c r="T159" s="62">
        <f t="shared" si="79"/>
        <v>20</v>
      </c>
      <c r="V159" s="32">
        <f t="shared" si="80"/>
        <v>6</v>
      </c>
      <c r="Z159" s="25">
        <v>1</v>
      </c>
      <c r="AA159" s="54">
        <f t="shared" si="81"/>
        <v>0</v>
      </c>
      <c r="AB159" s="54">
        <f t="shared" si="82"/>
        <v>0</v>
      </c>
      <c r="AC159" s="54">
        <f t="shared" si="83"/>
        <v>0</v>
      </c>
      <c r="AD159" s="54">
        <f t="shared" si="84"/>
        <v>0</v>
      </c>
      <c r="AE159" s="54">
        <f t="shared" si="85"/>
        <v>0</v>
      </c>
      <c r="AG159" s="32">
        <f t="shared" si="86"/>
        <v>5</v>
      </c>
      <c r="AK159" s="25">
        <v>1</v>
      </c>
      <c r="AL159" s="54">
        <f t="shared" si="87"/>
        <v>0</v>
      </c>
      <c r="AM159" s="54">
        <f t="shared" si="88"/>
        <v>0</v>
      </c>
      <c r="AN159" s="54">
        <f t="shared" si="89"/>
        <v>0</v>
      </c>
      <c r="AO159" s="54">
        <f t="shared" si="90"/>
        <v>0</v>
      </c>
      <c r="AP159" s="54">
        <f t="shared" si="91"/>
        <v>0</v>
      </c>
      <c r="AR159" s="32">
        <f t="shared" si="92"/>
        <v>4</v>
      </c>
      <c r="AV159" s="25">
        <v>1</v>
      </c>
      <c r="AW159" s="54">
        <f t="shared" si="93"/>
        <v>0</v>
      </c>
      <c r="AX159" s="54">
        <f t="shared" si="94"/>
        <v>0</v>
      </c>
      <c r="AY159" s="54">
        <f t="shared" si="95"/>
        <v>0</v>
      </c>
      <c r="AZ159" s="54">
        <f t="shared" si="96"/>
        <v>0</v>
      </c>
      <c r="BA159" s="54">
        <f t="shared" si="97"/>
        <v>0</v>
      </c>
      <c r="BC159" s="32">
        <f t="shared" si="98"/>
        <v>3</v>
      </c>
      <c r="BG159" s="25">
        <v>1</v>
      </c>
      <c r="BH159" s="54">
        <f t="shared" si="99"/>
        <v>0</v>
      </c>
      <c r="BI159" s="54">
        <f t="shared" si="100"/>
        <v>0</v>
      </c>
      <c r="BJ159" s="54">
        <f t="shared" si="101"/>
        <v>0</v>
      </c>
      <c r="BK159" s="54">
        <f t="shared" si="102"/>
        <v>0</v>
      </c>
      <c r="BL159" s="54">
        <f t="shared" si="103"/>
        <v>0</v>
      </c>
      <c r="BN159" s="25">
        <f t="shared" si="104"/>
        <v>1</v>
      </c>
      <c r="BS159" s="39"/>
      <c r="BT159" s="39"/>
      <c r="BU159" s="39"/>
      <c r="BV159" s="39"/>
      <c r="BW159" s="39"/>
    </row>
    <row r="160" spans="3:75" x14ac:dyDescent="0.25">
      <c r="C160" s="62" t="str">
        <f t="shared" si="70"/>
        <v>-</v>
      </c>
      <c r="D160" s="62" t="str">
        <f t="shared" si="71"/>
        <v>-</v>
      </c>
      <c r="E160" s="62" t="str">
        <f t="shared" si="72"/>
        <v>-</v>
      </c>
      <c r="F160" s="62" t="str">
        <f t="shared" si="73"/>
        <v>-</v>
      </c>
      <c r="G160" s="62" t="str">
        <f t="shared" si="74"/>
        <v>-</v>
      </c>
      <c r="J160" s="17" t="s">
        <v>316</v>
      </c>
      <c r="K160" s="32" t="s">
        <v>62</v>
      </c>
      <c r="L160" s="32" t="s">
        <v>87</v>
      </c>
      <c r="M160" s="40" t="s">
        <v>93</v>
      </c>
      <c r="O160" s="25">
        <v>1</v>
      </c>
      <c r="P160" s="62" t="str">
        <f t="shared" si="75"/>
        <v>-</v>
      </c>
      <c r="Q160" s="62" t="str">
        <f t="shared" si="76"/>
        <v>-</v>
      </c>
      <c r="R160" s="62">
        <f t="shared" si="77"/>
        <v>2</v>
      </c>
      <c r="S160" s="62" t="str">
        <f t="shared" si="78"/>
        <v>-</v>
      </c>
      <c r="T160" s="62" t="str">
        <f t="shared" si="79"/>
        <v>-</v>
      </c>
      <c r="V160" s="32">
        <f t="shared" si="80"/>
        <v>6</v>
      </c>
      <c r="Z160" s="25">
        <v>1</v>
      </c>
      <c r="AA160" s="54">
        <f t="shared" si="81"/>
        <v>0</v>
      </c>
      <c r="AB160" s="54">
        <f t="shared" si="82"/>
        <v>0</v>
      </c>
      <c r="AC160" s="54">
        <f t="shared" si="83"/>
        <v>0</v>
      </c>
      <c r="AD160" s="54">
        <f t="shared" si="84"/>
        <v>0</v>
      </c>
      <c r="AE160" s="54">
        <f t="shared" si="85"/>
        <v>0</v>
      </c>
      <c r="AG160" s="32">
        <f t="shared" si="86"/>
        <v>5</v>
      </c>
      <c r="AK160" s="25">
        <v>1</v>
      </c>
      <c r="AL160" s="54">
        <f t="shared" si="87"/>
        <v>0</v>
      </c>
      <c r="AM160" s="54">
        <f t="shared" si="88"/>
        <v>0</v>
      </c>
      <c r="AN160" s="54">
        <f t="shared" si="89"/>
        <v>0</v>
      </c>
      <c r="AO160" s="54">
        <f t="shared" si="90"/>
        <v>0</v>
      </c>
      <c r="AP160" s="54">
        <f t="shared" si="91"/>
        <v>0</v>
      </c>
      <c r="AR160" s="32">
        <f t="shared" si="92"/>
        <v>4</v>
      </c>
      <c r="AV160" s="25">
        <v>1</v>
      </c>
      <c r="AW160" s="54">
        <f t="shared" si="93"/>
        <v>0</v>
      </c>
      <c r="AX160" s="54">
        <f t="shared" si="94"/>
        <v>0</v>
      </c>
      <c r="AY160" s="54">
        <f t="shared" si="95"/>
        <v>0</v>
      </c>
      <c r="AZ160" s="54">
        <f t="shared" si="96"/>
        <v>0</v>
      </c>
      <c r="BA160" s="54">
        <f t="shared" si="97"/>
        <v>0</v>
      </c>
      <c r="BC160" s="32">
        <f t="shared" si="98"/>
        <v>3</v>
      </c>
      <c r="BG160" s="25">
        <v>1</v>
      </c>
      <c r="BH160" s="54">
        <f t="shared" si="99"/>
        <v>0</v>
      </c>
      <c r="BI160" s="54">
        <f t="shared" si="100"/>
        <v>0</v>
      </c>
      <c r="BJ160" s="54">
        <f t="shared" si="101"/>
        <v>0</v>
      </c>
      <c r="BK160" s="54">
        <f t="shared" si="102"/>
        <v>0</v>
      </c>
      <c r="BL160" s="54">
        <f t="shared" si="103"/>
        <v>0</v>
      </c>
      <c r="BN160" s="25">
        <f t="shared" si="104"/>
        <v>1</v>
      </c>
      <c r="BS160" s="39"/>
      <c r="BT160" s="39"/>
      <c r="BU160" s="39"/>
      <c r="BV160" s="39"/>
      <c r="BW160" s="39"/>
    </row>
    <row r="161" spans="3:75" x14ac:dyDescent="0.25">
      <c r="C161" s="62" t="str">
        <f t="shared" si="70"/>
        <v>-</v>
      </c>
      <c r="D161" s="62" t="str">
        <f t="shared" si="71"/>
        <v>-</v>
      </c>
      <c r="E161" s="62" t="str">
        <f t="shared" si="72"/>
        <v>-</v>
      </c>
      <c r="F161" s="62" t="str">
        <f t="shared" si="73"/>
        <v>-</v>
      </c>
      <c r="G161" s="62" t="str">
        <f t="shared" si="74"/>
        <v>-</v>
      </c>
      <c r="J161" s="17" t="s">
        <v>316</v>
      </c>
      <c r="K161" s="32" t="s">
        <v>62</v>
      </c>
      <c r="L161" s="32" t="s">
        <v>237</v>
      </c>
      <c r="O161" s="25">
        <v>2</v>
      </c>
      <c r="P161" s="62" t="str">
        <f t="shared" si="75"/>
        <v>-</v>
      </c>
      <c r="Q161" s="62" t="str">
        <f t="shared" si="76"/>
        <v>-</v>
      </c>
      <c r="R161" s="62">
        <f t="shared" si="77"/>
        <v>4</v>
      </c>
      <c r="S161" s="62" t="str">
        <f t="shared" si="78"/>
        <v>-</v>
      </c>
      <c r="T161" s="62" t="str">
        <f t="shared" si="79"/>
        <v>-</v>
      </c>
      <c r="V161" s="32">
        <f t="shared" si="80"/>
        <v>6</v>
      </c>
      <c r="Z161" s="25">
        <v>1</v>
      </c>
      <c r="AA161" s="54">
        <f t="shared" si="81"/>
        <v>0</v>
      </c>
      <c r="AB161" s="54">
        <f t="shared" si="82"/>
        <v>0</v>
      </c>
      <c r="AC161" s="54">
        <f t="shared" si="83"/>
        <v>0</v>
      </c>
      <c r="AD161" s="54">
        <f t="shared" si="84"/>
        <v>0</v>
      </c>
      <c r="AE161" s="54">
        <f t="shared" si="85"/>
        <v>0</v>
      </c>
      <c r="AG161" s="32">
        <f t="shared" si="86"/>
        <v>5</v>
      </c>
      <c r="AK161" s="25">
        <v>1</v>
      </c>
      <c r="AL161" s="54">
        <f t="shared" si="87"/>
        <v>0</v>
      </c>
      <c r="AM161" s="54">
        <f t="shared" si="88"/>
        <v>0</v>
      </c>
      <c r="AN161" s="54">
        <f t="shared" si="89"/>
        <v>0</v>
      </c>
      <c r="AO161" s="54">
        <f t="shared" si="90"/>
        <v>0</v>
      </c>
      <c r="AP161" s="54">
        <f t="shared" si="91"/>
        <v>0</v>
      </c>
      <c r="AR161" s="32">
        <f t="shared" si="92"/>
        <v>4</v>
      </c>
      <c r="AV161" s="25">
        <v>1</v>
      </c>
      <c r="AW161" s="54">
        <f t="shared" si="93"/>
        <v>0</v>
      </c>
      <c r="AX161" s="54">
        <f t="shared" si="94"/>
        <v>0</v>
      </c>
      <c r="AY161" s="54">
        <f t="shared" si="95"/>
        <v>0</v>
      </c>
      <c r="AZ161" s="54">
        <f t="shared" si="96"/>
        <v>0</v>
      </c>
      <c r="BA161" s="54">
        <f t="shared" si="97"/>
        <v>0</v>
      </c>
      <c r="BC161" s="32">
        <f t="shared" si="98"/>
        <v>3</v>
      </c>
      <c r="BG161" s="25">
        <v>1</v>
      </c>
      <c r="BH161" s="54">
        <f t="shared" si="99"/>
        <v>0</v>
      </c>
      <c r="BI161" s="54">
        <f t="shared" si="100"/>
        <v>0</v>
      </c>
      <c r="BJ161" s="54">
        <f t="shared" si="101"/>
        <v>0</v>
      </c>
      <c r="BK161" s="54">
        <f t="shared" si="102"/>
        <v>0</v>
      </c>
      <c r="BL161" s="54">
        <f t="shared" si="103"/>
        <v>0</v>
      </c>
      <c r="BN161" s="25">
        <f t="shared" si="104"/>
        <v>1</v>
      </c>
      <c r="BS161" s="39"/>
      <c r="BT161" s="39"/>
      <c r="BU161" s="39"/>
      <c r="BV161" s="39"/>
      <c r="BW161" s="39"/>
    </row>
    <row r="162" spans="3:75" x14ac:dyDescent="0.25">
      <c r="C162" s="62" t="str">
        <f t="shared" si="70"/>
        <v>-</v>
      </c>
      <c r="D162" s="62" t="str">
        <f t="shared" si="71"/>
        <v>-</v>
      </c>
      <c r="E162" s="62" t="str">
        <f t="shared" si="72"/>
        <v>-</v>
      </c>
      <c r="F162" s="62" t="str">
        <f t="shared" si="73"/>
        <v>-</v>
      </c>
      <c r="G162" s="62" t="str">
        <f t="shared" si="74"/>
        <v>-</v>
      </c>
      <c r="J162" s="17" t="s">
        <v>316</v>
      </c>
      <c r="K162" s="32" t="s">
        <v>65</v>
      </c>
      <c r="O162" s="25">
        <v>12</v>
      </c>
      <c r="P162" s="62">
        <f t="shared" si="75"/>
        <v>12</v>
      </c>
      <c r="Q162" s="62" t="str">
        <f t="shared" si="76"/>
        <v>-</v>
      </c>
      <c r="R162" s="62" t="str">
        <f t="shared" si="77"/>
        <v>-</v>
      </c>
      <c r="S162" s="62" t="str">
        <f t="shared" si="78"/>
        <v>-</v>
      </c>
      <c r="T162" s="62" t="str">
        <f t="shared" si="79"/>
        <v>-</v>
      </c>
      <c r="V162" s="32">
        <f t="shared" si="80"/>
        <v>6</v>
      </c>
      <c r="Z162" s="25">
        <v>1</v>
      </c>
      <c r="AA162" s="54">
        <f t="shared" si="81"/>
        <v>0</v>
      </c>
      <c r="AB162" s="54">
        <f t="shared" si="82"/>
        <v>0</v>
      </c>
      <c r="AC162" s="54">
        <f t="shared" si="83"/>
        <v>0</v>
      </c>
      <c r="AD162" s="54">
        <f t="shared" si="84"/>
        <v>0</v>
      </c>
      <c r="AE162" s="54">
        <f t="shared" si="85"/>
        <v>0</v>
      </c>
      <c r="AG162" s="32">
        <f t="shared" si="86"/>
        <v>5</v>
      </c>
      <c r="AK162" s="25">
        <v>1</v>
      </c>
      <c r="AL162" s="54">
        <f t="shared" si="87"/>
        <v>0</v>
      </c>
      <c r="AM162" s="54">
        <f t="shared" si="88"/>
        <v>0</v>
      </c>
      <c r="AN162" s="54">
        <f t="shared" si="89"/>
        <v>0</v>
      </c>
      <c r="AO162" s="54">
        <f t="shared" si="90"/>
        <v>0</v>
      </c>
      <c r="AP162" s="54">
        <f t="shared" si="91"/>
        <v>0</v>
      </c>
      <c r="AR162" s="32">
        <f t="shared" si="92"/>
        <v>4</v>
      </c>
      <c r="AV162" s="25">
        <v>1</v>
      </c>
      <c r="AW162" s="54">
        <f t="shared" si="93"/>
        <v>0</v>
      </c>
      <c r="AX162" s="54">
        <f t="shared" si="94"/>
        <v>0</v>
      </c>
      <c r="AY162" s="54">
        <f t="shared" si="95"/>
        <v>0</v>
      </c>
      <c r="AZ162" s="54">
        <f t="shared" si="96"/>
        <v>0</v>
      </c>
      <c r="BA162" s="54">
        <f t="shared" si="97"/>
        <v>0</v>
      </c>
      <c r="BC162" s="32">
        <f t="shared" si="98"/>
        <v>3</v>
      </c>
      <c r="BG162" s="25">
        <v>1</v>
      </c>
      <c r="BH162" s="54">
        <f t="shared" si="99"/>
        <v>0</v>
      </c>
      <c r="BI162" s="54">
        <f t="shared" si="100"/>
        <v>0</v>
      </c>
      <c r="BJ162" s="54">
        <f t="shared" si="101"/>
        <v>0</v>
      </c>
      <c r="BK162" s="54">
        <f t="shared" si="102"/>
        <v>0</v>
      </c>
      <c r="BL162" s="54">
        <f t="shared" si="103"/>
        <v>0</v>
      </c>
      <c r="BN162" s="25">
        <f t="shared" si="104"/>
        <v>1</v>
      </c>
      <c r="BS162" s="39"/>
      <c r="BT162" s="39"/>
      <c r="BU162" s="39"/>
      <c r="BV162" s="39"/>
      <c r="BW162" s="39"/>
    </row>
    <row r="163" spans="3:75" x14ac:dyDescent="0.25">
      <c r="C163" s="62" t="str">
        <f t="shared" si="70"/>
        <v>-</v>
      </c>
      <c r="D163" s="62" t="str">
        <f t="shared" si="71"/>
        <v>-</v>
      </c>
      <c r="E163" s="62" t="str">
        <f t="shared" si="72"/>
        <v>-</v>
      </c>
      <c r="F163" s="62" t="str">
        <f t="shared" si="73"/>
        <v>-</v>
      </c>
      <c r="G163" s="62" t="str">
        <f t="shared" si="74"/>
        <v>-</v>
      </c>
      <c r="J163" s="17" t="s">
        <v>316</v>
      </c>
      <c r="K163" s="32" t="s">
        <v>68</v>
      </c>
      <c r="O163" s="25">
        <v>6</v>
      </c>
      <c r="P163" s="62" t="str">
        <f t="shared" si="75"/>
        <v>-</v>
      </c>
      <c r="Q163" s="62" t="str">
        <f t="shared" si="76"/>
        <v>-</v>
      </c>
      <c r="R163" s="62" t="str">
        <f t="shared" si="77"/>
        <v>-</v>
      </c>
      <c r="S163" s="62">
        <f t="shared" si="78"/>
        <v>6</v>
      </c>
      <c r="T163" s="62" t="str">
        <f t="shared" si="79"/>
        <v>-</v>
      </c>
      <c r="V163" s="32">
        <f t="shared" si="80"/>
        <v>6</v>
      </c>
      <c r="Z163" s="25">
        <v>1</v>
      </c>
      <c r="AA163" s="54">
        <f t="shared" si="81"/>
        <v>0</v>
      </c>
      <c r="AB163" s="54">
        <f t="shared" si="82"/>
        <v>0</v>
      </c>
      <c r="AC163" s="54">
        <f t="shared" si="83"/>
        <v>0</v>
      </c>
      <c r="AD163" s="54">
        <f t="shared" si="84"/>
        <v>0</v>
      </c>
      <c r="AE163" s="54">
        <f t="shared" si="85"/>
        <v>0</v>
      </c>
      <c r="AG163" s="32">
        <f t="shared" si="86"/>
        <v>5</v>
      </c>
      <c r="AK163" s="25">
        <v>1</v>
      </c>
      <c r="AL163" s="54">
        <f t="shared" si="87"/>
        <v>0</v>
      </c>
      <c r="AM163" s="54">
        <f t="shared" si="88"/>
        <v>0</v>
      </c>
      <c r="AN163" s="54">
        <f t="shared" si="89"/>
        <v>0</v>
      </c>
      <c r="AO163" s="54">
        <f t="shared" si="90"/>
        <v>0</v>
      </c>
      <c r="AP163" s="54">
        <f t="shared" si="91"/>
        <v>0</v>
      </c>
      <c r="AR163" s="32">
        <f t="shared" si="92"/>
        <v>4</v>
      </c>
      <c r="AV163" s="25">
        <v>1</v>
      </c>
      <c r="AW163" s="54">
        <f t="shared" si="93"/>
        <v>0</v>
      </c>
      <c r="AX163" s="54">
        <f t="shared" si="94"/>
        <v>0</v>
      </c>
      <c r="AY163" s="54">
        <f t="shared" si="95"/>
        <v>0</v>
      </c>
      <c r="AZ163" s="54">
        <f t="shared" si="96"/>
        <v>0</v>
      </c>
      <c r="BA163" s="54">
        <f t="shared" si="97"/>
        <v>0</v>
      </c>
      <c r="BC163" s="32">
        <f t="shared" si="98"/>
        <v>3</v>
      </c>
      <c r="BG163" s="25">
        <v>1</v>
      </c>
      <c r="BH163" s="54">
        <f t="shared" si="99"/>
        <v>0</v>
      </c>
      <c r="BI163" s="54">
        <f t="shared" si="100"/>
        <v>0</v>
      </c>
      <c r="BJ163" s="54">
        <f t="shared" si="101"/>
        <v>0</v>
      </c>
      <c r="BK163" s="54">
        <f t="shared" si="102"/>
        <v>0</v>
      </c>
      <c r="BL163" s="54">
        <f t="shared" si="103"/>
        <v>0</v>
      </c>
      <c r="BN163" s="25">
        <f t="shared" si="104"/>
        <v>1</v>
      </c>
      <c r="BS163" s="39"/>
      <c r="BT163" s="39"/>
      <c r="BU163" s="39"/>
      <c r="BV163" s="39"/>
      <c r="BW163" s="39"/>
    </row>
    <row r="164" spans="3:75" x14ac:dyDescent="0.25">
      <c r="C164" s="62" t="str">
        <f t="shared" si="70"/>
        <v>-</v>
      </c>
      <c r="D164" s="62" t="str">
        <f t="shared" si="71"/>
        <v>-</v>
      </c>
      <c r="E164" s="62" t="str">
        <f t="shared" si="72"/>
        <v>-</v>
      </c>
      <c r="F164" s="62" t="str">
        <f t="shared" si="73"/>
        <v>-</v>
      </c>
      <c r="G164" s="62" t="str">
        <f t="shared" si="74"/>
        <v>-</v>
      </c>
      <c r="J164" s="17" t="s">
        <v>316</v>
      </c>
      <c r="K164" s="32" t="s">
        <v>83</v>
      </c>
      <c r="O164" s="25">
        <v>1</v>
      </c>
      <c r="P164" s="62" t="str">
        <f t="shared" si="75"/>
        <v>-</v>
      </c>
      <c r="Q164" s="62" t="str">
        <f t="shared" si="76"/>
        <v>-</v>
      </c>
      <c r="R164" s="62">
        <f t="shared" si="77"/>
        <v>2</v>
      </c>
      <c r="S164" s="62">
        <f t="shared" si="78"/>
        <v>1</v>
      </c>
      <c r="T164" s="62" t="str">
        <f t="shared" si="79"/>
        <v>-</v>
      </c>
      <c r="V164" s="32">
        <f t="shared" si="80"/>
        <v>6</v>
      </c>
      <c r="Z164" s="25">
        <v>1</v>
      </c>
      <c r="AA164" s="54">
        <f t="shared" si="81"/>
        <v>0</v>
      </c>
      <c r="AB164" s="54">
        <f t="shared" si="82"/>
        <v>0</v>
      </c>
      <c r="AC164" s="54">
        <f t="shared" si="83"/>
        <v>0</v>
      </c>
      <c r="AD164" s="54">
        <f t="shared" si="84"/>
        <v>0</v>
      </c>
      <c r="AE164" s="54">
        <f t="shared" si="85"/>
        <v>0</v>
      </c>
      <c r="AG164" s="32">
        <f t="shared" si="86"/>
        <v>5</v>
      </c>
      <c r="AK164" s="25">
        <v>1</v>
      </c>
      <c r="AL164" s="54">
        <f t="shared" si="87"/>
        <v>0</v>
      </c>
      <c r="AM164" s="54">
        <f t="shared" si="88"/>
        <v>0</v>
      </c>
      <c r="AN164" s="54">
        <f t="shared" si="89"/>
        <v>0</v>
      </c>
      <c r="AO164" s="54">
        <f t="shared" si="90"/>
        <v>0</v>
      </c>
      <c r="AP164" s="54">
        <f t="shared" si="91"/>
        <v>0</v>
      </c>
      <c r="AR164" s="32">
        <f t="shared" si="92"/>
        <v>4</v>
      </c>
      <c r="AV164" s="25">
        <v>1</v>
      </c>
      <c r="AW164" s="54">
        <f t="shared" si="93"/>
        <v>0</v>
      </c>
      <c r="AX164" s="54">
        <f t="shared" si="94"/>
        <v>0</v>
      </c>
      <c r="AY164" s="54">
        <f t="shared" si="95"/>
        <v>0</v>
      </c>
      <c r="AZ164" s="54">
        <f t="shared" si="96"/>
        <v>0</v>
      </c>
      <c r="BA164" s="54">
        <f t="shared" si="97"/>
        <v>0</v>
      </c>
      <c r="BC164" s="32">
        <f t="shared" si="98"/>
        <v>3</v>
      </c>
      <c r="BG164" s="25">
        <v>1</v>
      </c>
      <c r="BH164" s="54">
        <f t="shared" si="99"/>
        <v>0</v>
      </c>
      <c r="BI164" s="54">
        <f t="shared" si="100"/>
        <v>0</v>
      </c>
      <c r="BJ164" s="54">
        <f t="shared" si="101"/>
        <v>0</v>
      </c>
      <c r="BK164" s="54">
        <f t="shared" si="102"/>
        <v>0</v>
      </c>
      <c r="BL164" s="54">
        <f t="shared" si="103"/>
        <v>0</v>
      </c>
      <c r="BN164" s="25">
        <f t="shared" si="104"/>
        <v>1</v>
      </c>
      <c r="BS164" s="39"/>
      <c r="BT164" s="39"/>
      <c r="BU164" s="39"/>
      <c r="BV164" s="39"/>
      <c r="BW164" s="39"/>
    </row>
    <row r="165" spans="3:75" x14ac:dyDescent="0.25">
      <c r="C165" s="62" t="str">
        <f t="shared" si="70"/>
        <v>-</v>
      </c>
      <c r="D165" s="62" t="str">
        <f t="shared" si="71"/>
        <v>-</v>
      </c>
      <c r="E165" s="62" t="str">
        <f t="shared" si="72"/>
        <v>-</v>
      </c>
      <c r="F165" s="62" t="str">
        <f t="shared" si="73"/>
        <v>-</v>
      </c>
      <c r="G165" s="62" t="str">
        <f t="shared" si="74"/>
        <v>-</v>
      </c>
      <c r="J165" s="17" t="s">
        <v>316</v>
      </c>
      <c r="K165" s="32" t="s">
        <v>83</v>
      </c>
      <c r="O165" s="25">
        <v>12</v>
      </c>
      <c r="P165" s="62" t="str">
        <f t="shared" si="75"/>
        <v>-</v>
      </c>
      <c r="Q165" s="62" t="str">
        <f t="shared" si="76"/>
        <v>-</v>
      </c>
      <c r="R165" s="62">
        <f t="shared" si="77"/>
        <v>24</v>
      </c>
      <c r="S165" s="62">
        <f t="shared" si="78"/>
        <v>12</v>
      </c>
      <c r="T165" s="62" t="str">
        <f t="shared" si="79"/>
        <v>-</v>
      </c>
      <c r="V165" s="32">
        <f t="shared" si="80"/>
        <v>6</v>
      </c>
      <c r="Z165" s="25">
        <v>1</v>
      </c>
      <c r="AA165" s="54">
        <f t="shared" si="81"/>
        <v>0</v>
      </c>
      <c r="AB165" s="54">
        <f t="shared" si="82"/>
        <v>0</v>
      </c>
      <c r="AC165" s="54">
        <f t="shared" si="83"/>
        <v>0</v>
      </c>
      <c r="AD165" s="54">
        <f t="shared" si="84"/>
        <v>0</v>
      </c>
      <c r="AE165" s="54">
        <f t="shared" si="85"/>
        <v>0</v>
      </c>
      <c r="AG165" s="32">
        <f t="shared" si="86"/>
        <v>5</v>
      </c>
      <c r="AK165" s="25">
        <v>1</v>
      </c>
      <c r="AL165" s="54">
        <f t="shared" si="87"/>
        <v>0</v>
      </c>
      <c r="AM165" s="54">
        <f t="shared" si="88"/>
        <v>0</v>
      </c>
      <c r="AN165" s="54">
        <f t="shared" si="89"/>
        <v>0</v>
      </c>
      <c r="AO165" s="54">
        <f t="shared" si="90"/>
        <v>0</v>
      </c>
      <c r="AP165" s="54">
        <f t="shared" si="91"/>
        <v>0</v>
      </c>
      <c r="AR165" s="32">
        <f t="shared" si="92"/>
        <v>4</v>
      </c>
      <c r="AV165" s="25">
        <v>1</v>
      </c>
      <c r="AW165" s="54">
        <f t="shared" si="93"/>
        <v>0</v>
      </c>
      <c r="AX165" s="54">
        <f t="shared" si="94"/>
        <v>0</v>
      </c>
      <c r="AY165" s="54">
        <f t="shared" si="95"/>
        <v>0</v>
      </c>
      <c r="AZ165" s="54">
        <f t="shared" si="96"/>
        <v>0</v>
      </c>
      <c r="BA165" s="54">
        <f t="shared" si="97"/>
        <v>0</v>
      </c>
      <c r="BC165" s="32">
        <f t="shared" si="98"/>
        <v>3</v>
      </c>
      <c r="BG165" s="25">
        <v>1</v>
      </c>
      <c r="BH165" s="54">
        <f t="shared" si="99"/>
        <v>0</v>
      </c>
      <c r="BI165" s="54">
        <f t="shared" si="100"/>
        <v>0</v>
      </c>
      <c r="BJ165" s="54">
        <f t="shared" si="101"/>
        <v>0</v>
      </c>
      <c r="BK165" s="54">
        <f t="shared" si="102"/>
        <v>0</v>
      </c>
      <c r="BL165" s="54">
        <f t="shared" si="103"/>
        <v>0</v>
      </c>
      <c r="BN165" s="25">
        <f t="shared" si="104"/>
        <v>1</v>
      </c>
      <c r="BS165" s="39"/>
      <c r="BT165" s="39"/>
      <c r="BU165" s="39"/>
      <c r="BV165" s="39"/>
      <c r="BW165" s="39"/>
    </row>
    <row r="166" spans="3:75" x14ac:dyDescent="0.25">
      <c r="C166" s="62" t="str">
        <f t="shared" si="70"/>
        <v>-</v>
      </c>
      <c r="D166" s="62" t="str">
        <f t="shared" si="71"/>
        <v>-</v>
      </c>
      <c r="E166" s="62" t="str">
        <f t="shared" si="72"/>
        <v>-</v>
      </c>
      <c r="F166" s="62" t="str">
        <f t="shared" si="73"/>
        <v>-</v>
      </c>
      <c r="G166" s="62" t="str">
        <f t="shared" si="74"/>
        <v>-</v>
      </c>
      <c r="J166" s="17" t="s">
        <v>2</v>
      </c>
      <c r="K166" s="32" t="s">
        <v>200</v>
      </c>
      <c r="M166" s="40" t="s">
        <v>245</v>
      </c>
      <c r="O166" s="25">
        <v>4</v>
      </c>
      <c r="P166" s="62" t="str">
        <f t="shared" si="75"/>
        <v>-</v>
      </c>
      <c r="Q166" s="62" t="str">
        <f t="shared" si="76"/>
        <v>-</v>
      </c>
      <c r="R166" s="62" t="str">
        <f t="shared" si="77"/>
        <v>-</v>
      </c>
      <c r="S166" s="62">
        <f t="shared" si="78"/>
        <v>4</v>
      </c>
      <c r="T166" s="62" t="str">
        <f t="shared" si="79"/>
        <v>-</v>
      </c>
      <c r="V166" s="32">
        <f t="shared" si="80"/>
        <v>6</v>
      </c>
      <c r="Z166" s="25">
        <v>1</v>
      </c>
      <c r="AA166" s="54">
        <f t="shared" si="81"/>
        <v>0</v>
      </c>
      <c r="AB166" s="54">
        <f t="shared" si="82"/>
        <v>0</v>
      </c>
      <c r="AC166" s="54">
        <f t="shared" si="83"/>
        <v>0</v>
      </c>
      <c r="AD166" s="54">
        <f t="shared" si="84"/>
        <v>0</v>
      </c>
      <c r="AE166" s="54">
        <f t="shared" si="85"/>
        <v>0</v>
      </c>
      <c r="AG166" s="32">
        <f t="shared" si="86"/>
        <v>5</v>
      </c>
      <c r="AK166" s="25">
        <v>1</v>
      </c>
      <c r="AL166" s="54">
        <f t="shared" si="87"/>
        <v>0</v>
      </c>
      <c r="AM166" s="54">
        <f t="shared" si="88"/>
        <v>0</v>
      </c>
      <c r="AN166" s="54">
        <f t="shared" si="89"/>
        <v>0</v>
      </c>
      <c r="AO166" s="54">
        <f t="shared" si="90"/>
        <v>0</v>
      </c>
      <c r="AP166" s="54">
        <f t="shared" si="91"/>
        <v>0</v>
      </c>
      <c r="AR166" s="32">
        <f t="shared" si="92"/>
        <v>4</v>
      </c>
      <c r="AV166" s="25">
        <v>1</v>
      </c>
      <c r="AW166" s="54">
        <f t="shared" si="93"/>
        <v>0</v>
      </c>
      <c r="AX166" s="54">
        <f t="shared" si="94"/>
        <v>0</v>
      </c>
      <c r="AY166" s="54">
        <f t="shared" si="95"/>
        <v>0</v>
      </c>
      <c r="AZ166" s="54">
        <f t="shared" si="96"/>
        <v>0</v>
      </c>
      <c r="BA166" s="54">
        <f t="shared" si="97"/>
        <v>0</v>
      </c>
      <c r="BC166" s="32">
        <f t="shared" si="98"/>
        <v>3</v>
      </c>
      <c r="BG166" s="25">
        <v>1</v>
      </c>
      <c r="BH166" s="54">
        <f t="shared" si="99"/>
        <v>0</v>
      </c>
      <c r="BI166" s="54">
        <f t="shared" si="100"/>
        <v>0</v>
      </c>
      <c r="BJ166" s="54">
        <f t="shared" si="101"/>
        <v>0</v>
      </c>
      <c r="BK166" s="54">
        <f t="shared" si="102"/>
        <v>0</v>
      </c>
      <c r="BL166" s="54">
        <f t="shared" si="103"/>
        <v>0</v>
      </c>
      <c r="BN166" s="25">
        <f t="shared" si="104"/>
        <v>1</v>
      </c>
      <c r="BS166" s="39"/>
      <c r="BT166" s="39"/>
      <c r="BU166" s="39"/>
      <c r="BV166" s="39"/>
      <c r="BW166" s="39"/>
    </row>
    <row r="167" spans="3:75" x14ac:dyDescent="0.25">
      <c r="C167" s="62" t="str">
        <f t="shared" si="70"/>
        <v>-</v>
      </c>
      <c r="D167" s="62" t="str">
        <f t="shared" si="71"/>
        <v>-</v>
      </c>
      <c r="E167" s="62" t="str">
        <f t="shared" si="72"/>
        <v>-</v>
      </c>
      <c r="F167" s="62" t="str">
        <f t="shared" si="73"/>
        <v>-</v>
      </c>
      <c r="G167" s="62" t="str">
        <f t="shared" si="74"/>
        <v>-</v>
      </c>
      <c r="J167" s="17" t="s">
        <v>2</v>
      </c>
      <c r="K167" s="32" t="s">
        <v>65</v>
      </c>
      <c r="O167" s="25">
        <v>2</v>
      </c>
      <c r="P167" s="62">
        <f t="shared" si="75"/>
        <v>2</v>
      </c>
      <c r="Q167" s="62" t="str">
        <f t="shared" si="76"/>
        <v>-</v>
      </c>
      <c r="R167" s="62" t="str">
        <f t="shared" si="77"/>
        <v>-</v>
      </c>
      <c r="S167" s="62" t="str">
        <f t="shared" si="78"/>
        <v>-</v>
      </c>
      <c r="T167" s="62" t="str">
        <f t="shared" si="79"/>
        <v>-</v>
      </c>
      <c r="V167" s="32">
        <f t="shared" si="80"/>
        <v>6</v>
      </c>
      <c r="Z167" s="25">
        <v>1</v>
      </c>
      <c r="AA167" s="54">
        <f t="shared" si="81"/>
        <v>0</v>
      </c>
      <c r="AB167" s="54">
        <f t="shared" si="82"/>
        <v>0</v>
      </c>
      <c r="AC167" s="54">
        <f t="shared" si="83"/>
        <v>0</v>
      </c>
      <c r="AD167" s="54">
        <f t="shared" si="84"/>
        <v>0</v>
      </c>
      <c r="AE167" s="54">
        <f t="shared" si="85"/>
        <v>0</v>
      </c>
      <c r="AG167" s="32">
        <f t="shared" si="86"/>
        <v>5</v>
      </c>
      <c r="AK167" s="25">
        <v>1</v>
      </c>
      <c r="AL167" s="54">
        <f t="shared" si="87"/>
        <v>0</v>
      </c>
      <c r="AM167" s="54">
        <f t="shared" si="88"/>
        <v>0</v>
      </c>
      <c r="AN167" s="54">
        <f t="shared" si="89"/>
        <v>0</v>
      </c>
      <c r="AO167" s="54">
        <f t="shared" si="90"/>
        <v>0</v>
      </c>
      <c r="AP167" s="54">
        <f t="shared" si="91"/>
        <v>0</v>
      </c>
      <c r="AR167" s="32">
        <f t="shared" si="92"/>
        <v>4</v>
      </c>
      <c r="AV167" s="25">
        <v>1</v>
      </c>
      <c r="AW167" s="54">
        <f t="shared" si="93"/>
        <v>0</v>
      </c>
      <c r="AX167" s="54">
        <f t="shared" si="94"/>
        <v>0</v>
      </c>
      <c r="AY167" s="54">
        <f t="shared" si="95"/>
        <v>0</v>
      </c>
      <c r="AZ167" s="54">
        <f t="shared" si="96"/>
        <v>0</v>
      </c>
      <c r="BA167" s="54">
        <f t="shared" si="97"/>
        <v>0</v>
      </c>
      <c r="BC167" s="32">
        <f t="shared" si="98"/>
        <v>3</v>
      </c>
      <c r="BG167" s="25">
        <v>1</v>
      </c>
      <c r="BH167" s="54">
        <f t="shared" si="99"/>
        <v>0</v>
      </c>
      <c r="BI167" s="54">
        <f t="shared" si="100"/>
        <v>0</v>
      </c>
      <c r="BJ167" s="54">
        <f t="shared" si="101"/>
        <v>0</v>
      </c>
      <c r="BK167" s="54">
        <f t="shared" si="102"/>
        <v>0</v>
      </c>
      <c r="BL167" s="54">
        <f t="shared" si="103"/>
        <v>0</v>
      </c>
      <c r="BN167" s="25">
        <f t="shared" si="104"/>
        <v>1</v>
      </c>
      <c r="BS167" s="39"/>
      <c r="BT167" s="39"/>
      <c r="BU167" s="39"/>
      <c r="BV167" s="39"/>
      <c r="BW167" s="39"/>
    </row>
    <row r="168" spans="3:75" x14ac:dyDescent="0.25">
      <c r="C168" s="62" t="str">
        <f t="shared" si="70"/>
        <v>-</v>
      </c>
      <c r="D168" s="62" t="str">
        <f t="shared" si="71"/>
        <v>-</v>
      </c>
      <c r="E168" s="62" t="str">
        <f t="shared" si="72"/>
        <v>-</v>
      </c>
      <c r="F168" s="62" t="str">
        <f t="shared" si="73"/>
        <v>-</v>
      </c>
      <c r="G168" s="62" t="str">
        <f t="shared" si="74"/>
        <v>-</v>
      </c>
      <c r="J168" s="17" t="s">
        <v>21</v>
      </c>
      <c r="K168" s="32" t="s">
        <v>65</v>
      </c>
      <c r="L168" s="32" t="s">
        <v>45</v>
      </c>
      <c r="O168" s="25">
        <v>2</v>
      </c>
      <c r="P168" s="62">
        <f t="shared" si="75"/>
        <v>2</v>
      </c>
      <c r="Q168" s="62" t="str">
        <f t="shared" si="76"/>
        <v>-</v>
      </c>
      <c r="R168" s="62" t="str">
        <f t="shared" si="77"/>
        <v>-</v>
      </c>
      <c r="S168" s="62" t="str">
        <f t="shared" si="78"/>
        <v>-</v>
      </c>
      <c r="T168" s="62" t="str">
        <f t="shared" si="79"/>
        <v>-</v>
      </c>
      <c r="V168" s="32">
        <f t="shared" si="80"/>
        <v>6</v>
      </c>
      <c r="Z168" s="25">
        <v>1</v>
      </c>
      <c r="AA168" s="54">
        <f t="shared" si="81"/>
        <v>0</v>
      </c>
      <c r="AB168" s="54">
        <f t="shared" si="82"/>
        <v>0</v>
      </c>
      <c r="AC168" s="54">
        <f t="shared" si="83"/>
        <v>0</v>
      </c>
      <c r="AD168" s="54">
        <f t="shared" si="84"/>
        <v>0</v>
      </c>
      <c r="AE168" s="54">
        <f t="shared" si="85"/>
        <v>0</v>
      </c>
      <c r="AG168" s="32">
        <f t="shared" si="86"/>
        <v>5</v>
      </c>
      <c r="AK168" s="25">
        <v>1</v>
      </c>
      <c r="AL168" s="54">
        <f t="shared" si="87"/>
        <v>0</v>
      </c>
      <c r="AM168" s="54">
        <f t="shared" si="88"/>
        <v>0</v>
      </c>
      <c r="AN168" s="54">
        <f t="shared" si="89"/>
        <v>0</v>
      </c>
      <c r="AO168" s="54">
        <f t="shared" si="90"/>
        <v>0</v>
      </c>
      <c r="AP168" s="54">
        <f t="shared" si="91"/>
        <v>0</v>
      </c>
      <c r="AR168" s="32">
        <f t="shared" si="92"/>
        <v>4</v>
      </c>
      <c r="AV168" s="25">
        <v>1</v>
      </c>
      <c r="AW168" s="54">
        <f t="shared" si="93"/>
        <v>0</v>
      </c>
      <c r="AX168" s="54">
        <f t="shared" si="94"/>
        <v>0</v>
      </c>
      <c r="AY168" s="54">
        <f t="shared" si="95"/>
        <v>0</v>
      </c>
      <c r="AZ168" s="54">
        <f t="shared" si="96"/>
        <v>0</v>
      </c>
      <c r="BA168" s="54">
        <f t="shared" si="97"/>
        <v>0</v>
      </c>
      <c r="BC168" s="32">
        <f t="shared" si="98"/>
        <v>3</v>
      </c>
      <c r="BG168" s="25">
        <v>1</v>
      </c>
      <c r="BH168" s="54">
        <f t="shared" si="99"/>
        <v>0</v>
      </c>
      <c r="BI168" s="54">
        <f t="shared" si="100"/>
        <v>0</v>
      </c>
      <c r="BJ168" s="54">
        <f t="shared" si="101"/>
        <v>0</v>
      </c>
      <c r="BK168" s="54">
        <f t="shared" si="102"/>
        <v>0</v>
      </c>
      <c r="BL168" s="54">
        <f t="shared" si="103"/>
        <v>0</v>
      </c>
      <c r="BN168" s="25">
        <f t="shared" si="104"/>
        <v>1</v>
      </c>
      <c r="BS168" s="39"/>
      <c r="BT168" s="39"/>
      <c r="BU168" s="39"/>
      <c r="BV168" s="39"/>
      <c r="BW168" s="39"/>
    </row>
    <row r="169" spans="3:75" x14ac:dyDescent="0.25">
      <c r="C169" s="62" t="str">
        <f t="shared" si="70"/>
        <v>-</v>
      </c>
      <c r="D169" s="62" t="str">
        <f t="shared" si="71"/>
        <v>-</v>
      </c>
      <c r="E169" s="62" t="str">
        <f t="shared" si="72"/>
        <v>-</v>
      </c>
      <c r="F169" s="62" t="str">
        <f t="shared" si="73"/>
        <v>-</v>
      </c>
      <c r="G169" s="62" t="str">
        <f t="shared" si="74"/>
        <v>-</v>
      </c>
      <c r="J169" s="17" t="s">
        <v>21</v>
      </c>
      <c r="K169" s="32" t="s">
        <v>65</v>
      </c>
      <c r="L169" s="32" t="s">
        <v>67</v>
      </c>
      <c r="M169" s="32" t="s">
        <v>169</v>
      </c>
      <c r="N169" s="32"/>
      <c r="O169" s="25">
        <v>2</v>
      </c>
      <c r="P169" s="62">
        <f t="shared" si="75"/>
        <v>2</v>
      </c>
      <c r="Q169" s="62" t="str">
        <f t="shared" si="76"/>
        <v>-</v>
      </c>
      <c r="R169" s="62" t="str">
        <f t="shared" si="77"/>
        <v>-</v>
      </c>
      <c r="S169" s="62" t="str">
        <f t="shared" si="78"/>
        <v>-</v>
      </c>
      <c r="T169" s="62" t="str">
        <f t="shared" si="79"/>
        <v>-</v>
      </c>
      <c r="V169" s="32">
        <f t="shared" si="80"/>
        <v>6</v>
      </c>
      <c r="Z169" s="25">
        <v>1</v>
      </c>
      <c r="AA169" s="54">
        <f t="shared" si="81"/>
        <v>0</v>
      </c>
      <c r="AB169" s="54">
        <f t="shared" si="82"/>
        <v>0</v>
      </c>
      <c r="AC169" s="54">
        <f t="shared" si="83"/>
        <v>0</v>
      </c>
      <c r="AD169" s="54">
        <f t="shared" si="84"/>
        <v>0</v>
      </c>
      <c r="AE169" s="54">
        <f t="shared" si="85"/>
        <v>0</v>
      </c>
      <c r="AG169" s="32">
        <f t="shared" si="86"/>
        <v>5</v>
      </c>
      <c r="AK169" s="25">
        <v>1</v>
      </c>
      <c r="AL169" s="54">
        <f t="shared" si="87"/>
        <v>0</v>
      </c>
      <c r="AM169" s="54">
        <f t="shared" si="88"/>
        <v>0</v>
      </c>
      <c r="AN169" s="54">
        <f t="shared" si="89"/>
        <v>0</v>
      </c>
      <c r="AO169" s="54">
        <f t="shared" si="90"/>
        <v>0</v>
      </c>
      <c r="AP169" s="54">
        <f t="shared" si="91"/>
        <v>0</v>
      </c>
      <c r="AR169" s="32">
        <f t="shared" si="92"/>
        <v>4</v>
      </c>
      <c r="AV169" s="25">
        <v>1</v>
      </c>
      <c r="AW169" s="54">
        <f t="shared" si="93"/>
        <v>0</v>
      </c>
      <c r="AX169" s="54">
        <f t="shared" si="94"/>
        <v>0</v>
      </c>
      <c r="AY169" s="54">
        <f t="shared" si="95"/>
        <v>0</v>
      </c>
      <c r="AZ169" s="54">
        <f t="shared" si="96"/>
        <v>0</v>
      </c>
      <c r="BA169" s="54">
        <f t="shared" si="97"/>
        <v>0</v>
      </c>
      <c r="BC169" s="32">
        <f t="shared" si="98"/>
        <v>3</v>
      </c>
      <c r="BG169" s="25">
        <v>1</v>
      </c>
      <c r="BH169" s="54">
        <f t="shared" si="99"/>
        <v>0</v>
      </c>
      <c r="BI169" s="54">
        <f t="shared" si="100"/>
        <v>0</v>
      </c>
      <c r="BJ169" s="54">
        <f t="shared" si="101"/>
        <v>0</v>
      </c>
      <c r="BK169" s="54">
        <f t="shared" si="102"/>
        <v>0</v>
      </c>
      <c r="BL169" s="54">
        <f t="shared" si="103"/>
        <v>0</v>
      </c>
      <c r="BN169" s="25">
        <f t="shared" si="104"/>
        <v>1</v>
      </c>
      <c r="BS169" s="39"/>
      <c r="BT169" s="39"/>
      <c r="BU169" s="39"/>
      <c r="BV169" s="39"/>
      <c r="BW169" s="39"/>
    </row>
    <row r="170" spans="3:75" x14ac:dyDescent="0.25">
      <c r="C170" s="62" t="str">
        <f t="shared" si="70"/>
        <v>-</v>
      </c>
      <c r="D170" s="62" t="str">
        <f t="shared" si="71"/>
        <v>-</v>
      </c>
      <c r="E170" s="62" t="str">
        <f t="shared" si="72"/>
        <v>-</v>
      </c>
      <c r="F170" s="62" t="str">
        <f t="shared" si="73"/>
        <v>-</v>
      </c>
      <c r="G170" s="62" t="str">
        <f t="shared" si="74"/>
        <v>-</v>
      </c>
      <c r="J170" s="17" t="s">
        <v>21</v>
      </c>
      <c r="K170" s="32" t="s">
        <v>83</v>
      </c>
      <c r="O170" s="25">
        <v>4</v>
      </c>
      <c r="P170" s="62" t="str">
        <f t="shared" si="75"/>
        <v>-</v>
      </c>
      <c r="Q170" s="62" t="str">
        <f t="shared" si="76"/>
        <v>-</v>
      </c>
      <c r="R170" s="62">
        <f t="shared" si="77"/>
        <v>8</v>
      </c>
      <c r="S170" s="62">
        <f t="shared" si="78"/>
        <v>4</v>
      </c>
      <c r="T170" s="62" t="str">
        <f t="shared" si="79"/>
        <v>-</v>
      </c>
      <c r="V170" s="32">
        <f t="shared" si="80"/>
        <v>6</v>
      </c>
      <c r="Z170" s="25">
        <v>1</v>
      </c>
      <c r="AA170" s="54">
        <f t="shared" si="81"/>
        <v>0</v>
      </c>
      <c r="AB170" s="54">
        <f t="shared" si="82"/>
        <v>0</v>
      </c>
      <c r="AC170" s="54">
        <f t="shared" si="83"/>
        <v>0</v>
      </c>
      <c r="AD170" s="54">
        <f t="shared" si="84"/>
        <v>0</v>
      </c>
      <c r="AE170" s="54">
        <f t="shared" si="85"/>
        <v>0</v>
      </c>
      <c r="AG170" s="32">
        <f t="shared" si="86"/>
        <v>5</v>
      </c>
      <c r="AK170" s="25">
        <v>1</v>
      </c>
      <c r="AL170" s="54">
        <f t="shared" si="87"/>
        <v>0</v>
      </c>
      <c r="AM170" s="54">
        <f t="shared" si="88"/>
        <v>0</v>
      </c>
      <c r="AN170" s="54">
        <f t="shared" si="89"/>
        <v>0</v>
      </c>
      <c r="AO170" s="54">
        <f t="shared" si="90"/>
        <v>0</v>
      </c>
      <c r="AP170" s="54">
        <f t="shared" si="91"/>
        <v>0</v>
      </c>
      <c r="AR170" s="32">
        <f t="shared" si="92"/>
        <v>4</v>
      </c>
      <c r="AV170" s="25">
        <v>1</v>
      </c>
      <c r="AW170" s="54">
        <f t="shared" si="93"/>
        <v>0</v>
      </c>
      <c r="AX170" s="54">
        <f t="shared" si="94"/>
        <v>0</v>
      </c>
      <c r="AY170" s="54">
        <f t="shared" si="95"/>
        <v>0</v>
      </c>
      <c r="AZ170" s="54">
        <f t="shared" si="96"/>
        <v>0</v>
      </c>
      <c r="BA170" s="54">
        <f t="shared" si="97"/>
        <v>0</v>
      </c>
      <c r="BC170" s="32">
        <f t="shared" si="98"/>
        <v>3</v>
      </c>
      <c r="BG170" s="25">
        <v>1</v>
      </c>
      <c r="BH170" s="54">
        <f t="shared" si="99"/>
        <v>0</v>
      </c>
      <c r="BI170" s="54">
        <f t="shared" si="100"/>
        <v>0</v>
      </c>
      <c r="BJ170" s="54">
        <f t="shared" si="101"/>
        <v>0</v>
      </c>
      <c r="BK170" s="54">
        <f t="shared" si="102"/>
        <v>0</v>
      </c>
      <c r="BL170" s="54">
        <f t="shared" si="103"/>
        <v>0</v>
      </c>
      <c r="BN170" s="25">
        <f t="shared" si="104"/>
        <v>1</v>
      </c>
      <c r="BS170" s="39"/>
      <c r="BT170" s="39"/>
      <c r="BU170" s="39"/>
      <c r="BV170" s="39"/>
      <c r="BW170" s="39"/>
    </row>
    <row r="171" spans="3:75" x14ac:dyDescent="0.25">
      <c r="C171" s="62" t="str">
        <f t="shared" si="70"/>
        <v>-</v>
      </c>
      <c r="D171" s="62" t="str">
        <f t="shared" si="71"/>
        <v>-</v>
      </c>
      <c r="E171" s="62" t="str">
        <f t="shared" si="72"/>
        <v>-</v>
      </c>
      <c r="F171" s="62" t="str">
        <f t="shared" si="73"/>
        <v>-</v>
      </c>
      <c r="G171" s="62" t="str">
        <f t="shared" si="74"/>
        <v>-</v>
      </c>
      <c r="J171" s="17" t="s">
        <v>103</v>
      </c>
      <c r="K171" s="32" t="s">
        <v>58</v>
      </c>
      <c r="O171" s="25">
        <v>1</v>
      </c>
      <c r="P171" s="62">
        <f t="shared" si="75"/>
        <v>1</v>
      </c>
      <c r="Q171" s="62">
        <f t="shared" si="76"/>
        <v>1</v>
      </c>
      <c r="R171" s="62" t="str">
        <f t="shared" si="77"/>
        <v>-</v>
      </c>
      <c r="S171" s="62" t="str">
        <f t="shared" si="78"/>
        <v>-</v>
      </c>
      <c r="T171" s="62" t="str">
        <f t="shared" si="79"/>
        <v>-</v>
      </c>
      <c r="V171" s="32">
        <f t="shared" si="80"/>
        <v>6</v>
      </c>
      <c r="Z171" s="25">
        <v>1</v>
      </c>
      <c r="AA171" s="54">
        <f t="shared" si="81"/>
        <v>0</v>
      </c>
      <c r="AB171" s="54">
        <f t="shared" si="82"/>
        <v>0</v>
      </c>
      <c r="AC171" s="54">
        <f t="shared" si="83"/>
        <v>0</v>
      </c>
      <c r="AD171" s="54">
        <f t="shared" si="84"/>
        <v>0</v>
      </c>
      <c r="AE171" s="54">
        <f t="shared" si="85"/>
        <v>0</v>
      </c>
      <c r="AG171" s="32">
        <f t="shared" si="86"/>
        <v>5</v>
      </c>
      <c r="AK171" s="25">
        <v>1</v>
      </c>
      <c r="AL171" s="54">
        <f t="shared" si="87"/>
        <v>0</v>
      </c>
      <c r="AM171" s="54">
        <f t="shared" si="88"/>
        <v>0</v>
      </c>
      <c r="AN171" s="54">
        <f t="shared" si="89"/>
        <v>0</v>
      </c>
      <c r="AO171" s="54">
        <f t="shared" si="90"/>
        <v>0</v>
      </c>
      <c r="AP171" s="54">
        <f t="shared" si="91"/>
        <v>0</v>
      </c>
      <c r="AR171" s="32">
        <f t="shared" si="92"/>
        <v>4</v>
      </c>
      <c r="AV171" s="25">
        <v>1</v>
      </c>
      <c r="AW171" s="54">
        <f t="shared" si="93"/>
        <v>0</v>
      </c>
      <c r="AX171" s="54">
        <f t="shared" si="94"/>
        <v>0</v>
      </c>
      <c r="AY171" s="54">
        <f t="shared" si="95"/>
        <v>0</v>
      </c>
      <c r="AZ171" s="54">
        <f t="shared" si="96"/>
        <v>0</v>
      </c>
      <c r="BA171" s="54">
        <f t="shared" si="97"/>
        <v>0</v>
      </c>
      <c r="BC171" s="32">
        <f t="shared" si="98"/>
        <v>3</v>
      </c>
      <c r="BG171" s="25">
        <v>1</v>
      </c>
      <c r="BH171" s="54">
        <f t="shared" si="99"/>
        <v>0</v>
      </c>
      <c r="BI171" s="54">
        <f t="shared" si="100"/>
        <v>0</v>
      </c>
      <c r="BJ171" s="54">
        <f t="shared" si="101"/>
        <v>0</v>
      </c>
      <c r="BK171" s="54">
        <f t="shared" si="102"/>
        <v>0</v>
      </c>
      <c r="BL171" s="54">
        <f t="shared" si="103"/>
        <v>0</v>
      </c>
      <c r="BN171" s="25">
        <f t="shared" si="104"/>
        <v>1</v>
      </c>
      <c r="BS171" s="39"/>
      <c r="BT171" s="39"/>
      <c r="BU171" s="39"/>
      <c r="BV171" s="39"/>
      <c r="BW171" s="39"/>
    </row>
    <row r="172" spans="3:75" x14ac:dyDescent="0.25">
      <c r="C172" s="62" t="str">
        <f t="shared" si="70"/>
        <v>-</v>
      </c>
      <c r="D172" s="62" t="str">
        <f t="shared" si="71"/>
        <v>-</v>
      </c>
      <c r="E172" s="62" t="str">
        <f t="shared" si="72"/>
        <v>-</v>
      </c>
      <c r="F172" s="62" t="str">
        <f t="shared" si="73"/>
        <v>-</v>
      </c>
      <c r="G172" s="62" t="str">
        <f t="shared" si="74"/>
        <v>-</v>
      </c>
      <c r="J172" s="17" t="s">
        <v>103</v>
      </c>
      <c r="K172" s="32" t="s">
        <v>65</v>
      </c>
      <c r="L172" s="32" t="s">
        <v>44</v>
      </c>
      <c r="O172" s="25">
        <v>1</v>
      </c>
      <c r="P172" s="62">
        <f t="shared" si="75"/>
        <v>1</v>
      </c>
      <c r="Q172" s="62" t="str">
        <f t="shared" si="76"/>
        <v>-</v>
      </c>
      <c r="R172" s="62" t="str">
        <f t="shared" si="77"/>
        <v>-</v>
      </c>
      <c r="S172" s="62" t="str">
        <f t="shared" si="78"/>
        <v>-</v>
      </c>
      <c r="T172" s="62" t="str">
        <f t="shared" si="79"/>
        <v>-</v>
      </c>
      <c r="V172" s="32">
        <f t="shared" si="80"/>
        <v>6</v>
      </c>
      <c r="Z172" s="25">
        <v>1</v>
      </c>
      <c r="AA172" s="54">
        <f t="shared" si="81"/>
        <v>0</v>
      </c>
      <c r="AB172" s="54">
        <f t="shared" si="82"/>
        <v>0</v>
      </c>
      <c r="AC172" s="54">
        <f t="shared" si="83"/>
        <v>0</v>
      </c>
      <c r="AD172" s="54">
        <f t="shared" si="84"/>
        <v>0</v>
      </c>
      <c r="AE172" s="54">
        <f t="shared" si="85"/>
        <v>0</v>
      </c>
      <c r="AG172" s="32">
        <f t="shared" si="86"/>
        <v>5</v>
      </c>
      <c r="AK172" s="25">
        <v>1</v>
      </c>
      <c r="AL172" s="54">
        <f t="shared" si="87"/>
        <v>0</v>
      </c>
      <c r="AM172" s="54">
        <f t="shared" si="88"/>
        <v>0</v>
      </c>
      <c r="AN172" s="54">
        <f t="shared" si="89"/>
        <v>0</v>
      </c>
      <c r="AO172" s="54">
        <f t="shared" si="90"/>
        <v>0</v>
      </c>
      <c r="AP172" s="54">
        <f t="shared" si="91"/>
        <v>0</v>
      </c>
      <c r="AR172" s="32">
        <f t="shared" si="92"/>
        <v>4</v>
      </c>
      <c r="AV172" s="25">
        <v>1</v>
      </c>
      <c r="AW172" s="54">
        <f t="shared" si="93"/>
        <v>0</v>
      </c>
      <c r="AX172" s="54">
        <f t="shared" si="94"/>
        <v>0</v>
      </c>
      <c r="AY172" s="54">
        <f t="shared" si="95"/>
        <v>0</v>
      </c>
      <c r="AZ172" s="54">
        <f t="shared" si="96"/>
        <v>0</v>
      </c>
      <c r="BA172" s="54">
        <f t="shared" si="97"/>
        <v>0</v>
      </c>
      <c r="BC172" s="32">
        <f t="shared" si="98"/>
        <v>3</v>
      </c>
      <c r="BG172" s="25">
        <v>1</v>
      </c>
      <c r="BH172" s="54">
        <f t="shared" si="99"/>
        <v>0</v>
      </c>
      <c r="BI172" s="54">
        <f t="shared" si="100"/>
        <v>0</v>
      </c>
      <c r="BJ172" s="54">
        <f t="shared" si="101"/>
        <v>0</v>
      </c>
      <c r="BK172" s="54">
        <f t="shared" si="102"/>
        <v>0</v>
      </c>
      <c r="BL172" s="54">
        <f t="shared" si="103"/>
        <v>0</v>
      </c>
      <c r="BN172" s="25">
        <f t="shared" si="104"/>
        <v>1</v>
      </c>
      <c r="BS172" s="39"/>
      <c r="BT172" s="39"/>
      <c r="BU172" s="39"/>
      <c r="BV172" s="39"/>
      <c r="BW172" s="39"/>
    </row>
    <row r="173" spans="3:75" x14ac:dyDescent="0.25">
      <c r="C173" s="62" t="str">
        <f t="shared" si="70"/>
        <v>-</v>
      </c>
      <c r="D173" s="62" t="str">
        <f t="shared" si="71"/>
        <v>-</v>
      </c>
      <c r="E173" s="62" t="str">
        <f t="shared" si="72"/>
        <v>-</v>
      </c>
      <c r="F173" s="62" t="str">
        <f t="shared" si="73"/>
        <v>-</v>
      </c>
      <c r="G173" s="62" t="str">
        <f t="shared" si="74"/>
        <v>-</v>
      </c>
      <c r="J173" s="17" t="s">
        <v>103</v>
      </c>
      <c r="K173" s="32" t="s">
        <v>83</v>
      </c>
      <c r="M173" s="40" t="s">
        <v>170</v>
      </c>
      <c r="O173" s="25">
        <v>4</v>
      </c>
      <c r="P173" s="62" t="str">
        <f t="shared" si="75"/>
        <v>-</v>
      </c>
      <c r="Q173" s="62" t="str">
        <f t="shared" si="76"/>
        <v>-</v>
      </c>
      <c r="R173" s="62">
        <f t="shared" si="77"/>
        <v>8</v>
      </c>
      <c r="S173" s="62">
        <f t="shared" si="78"/>
        <v>4</v>
      </c>
      <c r="T173" s="62" t="str">
        <f t="shared" si="79"/>
        <v>-</v>
      </c>
      <c r="V173" s="32">
        <f t="shared" si="80"/>
        <v>6</v>
      </c>
      <c r="Z173" s="25">
        <v>1</v>
      </c>
      <c r="AA173" s="54">
        <f t="shared" si="81"/>
        <v>0</v>
      </c>
      <c r="AB173" s="54">
        <f t="shared" si="82"/>
        <v>0</v>
      </c>
      <c r="AC173" s="54">
        <f t="shared" si="83"/>
        <v>0</v>
      </c>
      <c r="AD173" s="54">
        <f t="shared" si="84"/>
        <v>0</v>
      </c>
      <c r="AE173" s="54">
        <f t="shared" si="85"/>
        <v>0</v>
      </c>
      <c r="AG173" s="32">
        <f t="shared" si="86"/>
        <v>5</v>
      </c>
      <c r="AK173" s="25">
        <v>1</v>
      </c>
      <c r="AL173" s="54">
        <f t="shared" si="87"/>
        <v>0</v>
      </c>
      <c r="AM173" s="54">
        <f t="shared" si="88"/>
        <v>0</v>
      </c>
      <c r="AN173" s="54">
        <f t="shared" si="89"/>
        <v>0</v>
      </c>
      <c r="AO173" s="54">
        <f t="shared" si="90"/>
        <v>0</v>
      </c>
      <c r="AP173" s="54">
        <f t="shared" si="91"/>
        <v>0</v>
      </c>
      <c r="AR173" s="32">
        <f t="shared" si="92"/>
        <v>4</v>
      </c>
      <c r="AV173" s="25">
        <v>1</v>
      </c>
      <c r="AW173" s="54">
        <f t="shared" si="93"/>
        <v>0</v>
      </c>
      <c r="AX173" s="54">
        <f t="shared" si="94"/>
        <v>0</v>
      </c>
      <c r="AY173" s="54">
        <f t="shared" si="95"/>
        <v>0</v>
      </c>
      <c r="AZ173" s="54">
        <f t="shared" si="96"/>
        <v>0</v>
      </c>
      <c r="BA173" s="54">
        <f t="shared" si="97"/>
        <v>0</v>
      </c>
      <c r="BC173" s="32">
        <f t="shared" si="98"/>
        <v>3</v>
      </c>
      <c r="BG173" s="25">
        <v>1</v>
      </c>
      <c r="BH173" s="54">
        <f t="shared" si="99"/>
        <v>0</v>
      </c>
      <c r="BI173" s="54">
        <f t="shared" si="100"/>
        <v>0</v>
      </c>
      <c r="BJ173" s="54">
        <f t="shared" si="101"/>
        <v>0</v>
      </c>
      <c r="BK173" s="54">
        <f t="shared" si="102"/>
        <v>0</v>
      </c>
      <c r="BL173" s="54">
        <f t="shared" si="103"/>
        <v>0</v>
      </c>
      <c r="BN173" s="25">
        <f t="shared" si="104"/>
        <v>1</v>
      </c>
      <c r="BS173" s="39"/>
      <c r="BT173" s="39"/>
      <c r="BU173" s="39"/>
      <c r="BV173" s="39"/>
      <c r="BW173" s="39"/>
    </row>
    <row r="174" spans="3:75" x14ac:dyDescent="0.25">
      <c r="C174" s="62" t="str">
        <f t="shared" si="70"/>
        <v>-</v>
      </c>
      <c r="D174" s="62" t="str">
        <f t="shared" si="71"/>
        <v>-</v>
      </c>
      <c r="E174" s="62" t="str">
        <f t="shared" si="72"/>
        <v>-</v>
      </c>
      <c r="F174" s="62" t="str">
        <f t="shared" si="73"/>
        <v>-</v>
      </c>
      <c r="G174" s="62" t="str">
        <f t="shared" si="74"/>
        <v>-</v>
      </c>
      <c r="J174" s="17" t="s">
        <v>103</v>
      </c>
      <c r="K174" s="32" t="s">
        <v>83</v>
      </c>
      <c r="M174" s="40" t="s">
        <v>171</v>
      </c>
      <c r="O174" s="25">
        <v>1</v>
      </c>
      <c r="P174" s="62" t="str">
        <f t="shared" si="75"/>
        <v>-</v>
      </c>
      <c r="Q174" s="62" t="str">
        <f t="shared" si="76"/>
        <v>-</v>
      </c>
      <c r="R174" s="62">
        <f t="shared" si="77"/>
        <v>2</v>
      </c>
      <c r="S174" s="62">
        <f t="shared" si="78"/>
        <v>1</v>
      </c>
      <c r="T174" s="62" t="str">
        <f t="shared" si="79"/>
        <v>-</v>
      </c>
      <c r="V174" s="32">
        <f t="shared" si="80"/>
        <v>6</v>
      </c>
      <c r="Z174" s="25">
        <v>1</v>
      </c>
      <c r="AA174" s="54">
        <f t="shared" si="81"/>
        <v>0</v>
      </c>
      <c r="AB174" s="54">
        <f t="shared" si="82"/>
        <v>0</v>
      </c>
      <c r="AC174" s="54">
        <f t="shared" si="83"/>
        <v>0</v>
      </c>
      <c r="AD174" s="54">
        <f t="shared" si="84"/>
        <v>0</v>
      </c>
      <c r="AE174" s="54">
        <f t="shared" si="85"/>
        <v>0</v>
      </c>
      <c r="AG174" s="32">
        <f t="shared" si="86"/>
        <v>5</v>
      </c>
      <c r="AK174" s="25">
        <v>1</v>
      </c>
      <c r="AL174" s="54">
        <f t="shared" si="87"/>
        <v>0</v>
      </c>
      <c r="AM174" s="54">
        <f t="shared" si="88"/>
        <v>0</v>
      </c>
      <c r="AN174" s="54">
        <f t="shared" si="89"/>
        <v>0</v>
      </c>
      <c r="AO174" s="54">
        <f t="shared" si="90"/>
        <v>0</v>
      </c>
      <c r="AP174" s="54">
        <f t="shared" si="91"/>
        <v>0</v>
      </c>
      <c r="AR174" s="32">
        <f t="shared" si="92"/>
        <v>4</v>
      </c>
      <c r="AV174" s="25">
        <v>1</v>
      </c>
      <c r="AW174" s="54">
        <f t="shared" si="93"/>
        <v>0</v>
      </c>
      <c r="AX174" s="54">
        <f t="shared" si="94"/>
        <v>0</v>
      </c>
      <c r="AY174" s="54">
        <f t="shared" si="95"/>
        <v>0</v>
      </c>
      <c r="AZ174" s="54">
        <f t="shared" si="96"/>
        <v>0</v>
      </c>
      <c r="BA174" s="54">
        <f t="shared" si="97"/>
        <v>0</v>
      </c>
      <c r="BC174" s="32">
        <f t="shared" si="98"/>
        <v>3</v>
      </c>
      <c r="BG174" s="25">
        <v>1</v>
      </c>
      <c r="BH174" s="54">
        <f t="shared" si="99"/>
        <v>0</v>
      </c>
      <c r="BI174" s="54">
        <f t="shared" si="100"/>
        <v>0</v>
      </c>
      <c r="BJ174" s="54">
        <f t="shared" si="101"/>
        <v>0</v>
      </c>
      <c r="BK174" s="54">
        <f t="shared" si="102"/>
        <v>0</v>
      </c>
      <c r="BL174" s="54">
        <f t="shared" si="103"/>
        <v>0</v>
      </c>
      <c r="BN174" s="25">
        <f t="shared" si="104"/>
        <v>1</v>
      </c>
      <c r="BS174" s="39"/>
      <c r="BT174" s="39"/>
      <c r="BU174" s="39"/>
      <c r="BV174" s="39"/>
      <c r="BW174" s="39"/>
    </row>
    <row r="175" spans="3:75" x14ac:dyDescent="0.25">
      <c r="C175" s="62" t="str">
        <f t="shared" si="70"/>
        <v>-</v>
      </c>
      <c r="D175" s="62" t="str">
        <f t="shared" si="71"/>
        <v>-</v>
      </c>
      <c r="E175" s="62" t="str">
        <f t="shared" si="72"/>
        <v>-</v>
      </c>
      <c r="F175" s="62" t="str">
        <f t="shared" si="73"/>
        <v>-</v>
      </c>
      <c r="G175" s="62" t="str">
        <f t="shared" si="74"/>
        <v>-</v>
      </c>
      <c r="J175" s="17" t="s">
        <v>8</v>
      </c>
      <c r="K175" s="32" t="s">
        <v>229</v>
      </c>
      <c r="M175" s="32"/>
      <c r="N175" s="32"/>
      <c r="O175" s="25">
        <v>3</v>
      </c>
      <c r="P175" s="62" t="str">
        <f t="shared" si="75"/>
        <v>-</v>
      </c>
      <c r="Q175" s="62" t="str">
        <f t="shared" si="76"/>
        <v>-</v>
      </c>
      <c r="R175" s="62">
        <f t="shared" si="77"/>
        <v>12</v>
      </c>
      <c r="S175" s="62">
        <f t="shared" si="78"/>
        <v>6</v>
      </c>
      <c r="T175" s="62" t="str">
        <f t="shared" si="79"/>
        <v>-</v>
      </c>
      <c r="V175" s="32">
        <f t="shared" si="80"/>
        <v>6</v>
      </c>
      <c r="Z175" s="25">
        <v>1</v>
      </c>
      <c r="AA175" s="54">
        <f t="shared" si="81"/>
        <v>0</v>
      </c>
      <c r="AB175" s="54">
        <f t="shared" si="82"/>
        <v>0</v>
      </c>
      <c r="AC175" s="54">
        <f t="shared" si="83"/>
        <v>0</v>
      </c>
      <c r="AD175" s="54">
        <f t="shared" si="84"/>
        <v>0</v>
      </c>
      <c r="AE175" s="54">
        <f t="shared" si="85"/>
        <v>0</v>
      </c>
      <c r="AG175" s="32">
        <f t="shared" si="86"/>
        <v>5</v>
      </c>
      <c r="AK175" s="25">
        <v>1</v>
      </c>
      <c r="AL175" s="54">
        <f t="shared" si="87"/>
        <v>0</v>
      </c>
      <c r="AM175" s="54">
        <f t="shared" si="88"/>
        <v>0</v>
      </c>
      <c r="AN175" s="54">
        <f t="shared" si="89"/>
        <v>0</v>
      </c>
      <c r="AO175" s="54">
        <f t="shared" si="90"/>
        <v>0</v>
      </c>
      <c r="AP175" s="54">
        <f t="shared" si="91"/>
        <v>0</v>
      </c>
      <c r="AR175" s="32">
        <f t="shared" si="92"/>
        <v>4</v>
      </c>
      <c r="AV175" s="25">
        <v>1</v>
      </c>
      <c r="AW175" s="54">
        <f t="shared" si="93"/>
        <v>0</v>
      </c>
      <c r="AX175" s="54">
        <f t="shared" si="94"/>
        <v>0</v>
      </c>
      <c r="AY175" s="54">
        <f t="shared" si="95"/>
        <v>0</v>
      </c>
      <c r="AZ175" s="54">
        <f t="shared" si="96"/>
        <v>0</v>
      </c>
      <c r="BA175" s="54">
        <f t="shared" si="97"/>
        <v>0</v>
      </c>
      <c r="BC175" s="32">
        <f t="shared" si="98"/>
        <v>3</v>
      </c>
      <c r="BG175" s="25">
        <v>1</v>
      </c>
      <c r="BH175" s="54">
        <f t="shared" si="99"/>
        <v>0</v>
      </c>
      <c r="BI175" s="54">
        <f t="shared" si="100"/>
        <v>0</v>
      </c>
      <c r="BJ175" s="54">
        <f t="shared" si="101"/>
        <v>0</v>
      </c>
      <c r="BK175" s="54">
        <f t="shared" si="102"/>
        <v>0</v>
      </c>
      <c r="BL175" s="54">
        <f t="shared" si="103"/>
        <v>0</v>
      </c>
      <c r="BN175" s="25">
        <f t="shared" si="104"/>
        <v>1</v>
      </c>
      <c r="BS175" s="39"/>
      <c r="BT175" s="39"/>
      <c r="BU175" s="39"/>
      <c r="BV175" s="39"/>
      <c r="BW175" s="39"/>
    </row>
    <row r="176" spans="3:75" x14ac:dyDescent="0.25">
      <c r="C176" s="62" t="str">
        <f t="shared" si="70"/>
        <v>-</v>
      </c>
      <c r="D176" s="62" t="str">
        <f t="shared" si="71"/>
        <v>-</v>
      </c>
      <c r="E176" s="62" t="str">
        <f t="shared" si="72"/>
        <v>-</v>
      </c>
      <c r="F176" s="62" t="str">
        <f t="shared" si="73"/>
        <v>-</v>
      </c>
      <c r="G176" s="62" t="str">
        <f t="shared" si="74"/>
        <v>-</v>
      </c>
      <c r="J176" s="17" t="s">
        <v>8</v>
      </c>
      <c r="K176" s="32" t="s">
        <v>234</v>
      </c>
      <c r="M176" s="32"/>
      <c r="N176" s="32"/>
      <c r="O176" s="25">
        <v>1</v>
      </c>
      <c r="P176" s="62">
        <f t="shared" si="75"/>
        <v>2</v>
      </c>
      <c r="Q176" s="62" t="str">
        <f t="shared" si="76"/>
        <v>-</v>
      </c>
      <c r="R176" s="62">
        <f t="shared" si="77"/>
        <v>12</v>
      </c>
      <c r="S176" s="62">
        <f t="shared" si="78"/>
        <v>4</v>
      </c>
      <c r="T176" s="62" t="str">
        <f t="shared" si="79"/>
        <v>-</v>
      </c>
      <c r="V176" s="32">
        <f t="shared" si="80"/>
        <v>6</v>
      </c>
      <c r="Z176" s="25">
        <v>1</v>
      </c>
      <c r="AA176" s="54">
        <f t="shared" si="81"/>
        <v>0</v>
      </c>
      <c r="AB176" s="54">
        <f t="shared" si="82"/>
        <v>0</v>
      </c>
      <c r="AC176" s="54">
        <f t="shared" si="83"/>
        <v>0</v>
      </c>
      <c r="AD176" s="54">
        <f t="shared" si="84"/>
        <v>0</v>
      </c>
      <c r="AE176" s="54">
        <f t="shared" si="85"/>
        <v>0</v>
      </c>
      <c r="AG176" s="32">
        <f t="shared" si="86"/>
        <v>5</v>
      </c>
      <c r="AK176" s="25">
        <v>1</v>
      </c>
      <c r="AL176" s="54">
        <f t="shared" si="87"/>
        <v>0</v>
      </c>
      <c r="AM176" s="54">
        <f t="shared" si="88"/>
        <v>0</v>
      </c>
      <c r="AN176" s="54">
        <f t="shared" si="89"/>
        <v>0</v>
      </c>
      <c r="AO176" s="54">
        <f t="shared" si="90"/>
        <v>0</v>
      </c>
      <c r="AP176" s="54">
        <f t="shared" si="91"/>
        <v>0</v>
      </c>
      <c r="AR176" s="32">
        <f t="shared" si="92"/>
        <v>4</v>
      </c>
      <c r="AV176" s="25">
        <v>1</v>
      </c>
      <c r="AW176" s="54">
        <f t="shared" si="93"/>
        <v>0</v>
      </c>
      <c r="AX176" s="54">
        <f t="shared" si="94"/>
        <v>0</v>
      </c>
      <c r="AY176" s="54">
        <f t="shared" si="95"/>
        <v>0</v>
      </c>
      <c r="AZ176" s="54">
        <f t="shared" si="96"/>
        <v>0</v>
      </c>
      <c r="BA176" s="54">
        <f t="shared" si="97"/>
        <v>0</v>
      </c>
      <c r="BC176" s="32">
        <f t="shared" si="98"/>
        <v>3</v>
      </c>
      <c r="BG176" s="25">
        <v>1</v>
      </c>
      <c r="BH176" s="54">
        <f t="shared" si="99"/>
        <v>0</v>
      </c>
      <c r="BI176" s="54">
        <f t="shared" si="100"/>
        <v>0</v>
      </c>
      <c r="BJ176" s="54">
        <f t="shared" si="101"/>
        <v>0</v>
      </c>
      <c r="BK176" s="54">
        <f t="shared" si="102"/>
        <v>0</v>
      </c>
      <c r="BL176" s="54">
        <f t="shared" si="103"/>
        <v>0</v>
      </c>
      <c r="BN176" s="25">
        <f t="shared" si="104"/>
        <v>1</v>
      </c>
      <c r="BS176" s="39"/>
      <c r="BT176" s="39"/>
      <c r="BU176" s="39"/>
      <c r="BV176" s="39"/>
      <c r="BW176" s="39"/>
    </row>
    <row r="177" spans="3:75" x14ac:dyDescent="0.25">
      <c r="C177" s="62" t="str">
        <f t="shared" si="70"/>
        <v>-</v>
      </c>
      <c r="D177" s="62" t="str">
        <f t="shared" si="71"/>
        <v>-</v>
      </c>
      <c r="E177" s="62" t="str">
        <f t="shared" si="72"/>
        <v>-</v>
      </c>
      <c r="F177" s="62" t="str">
        <f t="shared" si="73"/>
        <v>-</v>
      </c>
      <c r="G177" s="62" t="str">
        <f t="shared" si="74"/>
        <v>-</v>
      </c>
      <c r="J177" s="17" t="s">
        <v>8</v>
      </c>
      <c r="K177" s="32" t="s">
        <v>53</v>
      </c>
      <c r="O177" s="25">
        <v>1</v>
      </c>
      <c r="P177" s="62">
        <f t="shared" si="75"/>
        <v>1</v>
      </c>
      <c r="Q177" s="62" t="str">
        <f t="shared" si="76"/>
        <v>-</v>
      </c>
      <c r="R177" s="62">
        <f t="shared" si="77"/>
        <v>1</v>
      </c>
      <c r="S177" s="62" t="str">
        <f t="shared" si="78"/>
        <v>-</v>
      </c>
      <c r="T177" s="62" t="str">
        <f t="shared" si="79"/>
        <v>-</v>
      </c>
      <c r="V177" s="32">
        <f t="shared" si="80"/>
        <v>6</v>
      </c>
      <c r="Z177" s="25">
        <v>1</v>
      </c>
      <c r="AA177" s="54">
        <f t="shared" si="81"/>
        <v>0</v>
      </c>
      <c r="AB177" s="54">
        <f t="shared" si="82"/>
        <v>0</v>
      </c>
      <c r="AC177" s="54">
        <f t="shared" si="83"/>
        <v>0</v>
      </c>
      <c r="AD177" s="54">
        <f t="shared" si="84"/>
        <v>0</v>
      </c>
      <c r="AE177" s="54">
        <f t="shared" si="85"/>
        <v>0</v>
      </c>
      <c r="AG177" s="32">
        <f t="shared" si="86"/>
        <v>5</v>
      </c>
      <c r="AK177" s="25">
        <v>1</v>
      </c>
      <c r="AL177" s="54">
        <f t="shared" si="87"/>
        <v>0</v>
      </c>
      <c r="AM177" s="54">
        <f t="shared" si="88"/>
        <v>0</v>
      </c>
      <c r="AN177" s="54">
        <f t="shared" si="89"/>
        <v>0</v>
      </c>
      <c r="AO177" s="54">
        <f t="shared" si="90"/>
        <v>0</v>
      </c>
      <c r="AP177" s="54">
        <f t="shared" si="91"/>
        <v>0</v>
      </c>
      <c r="AR177" s="32">
        <f t="shared" si="92"/>
        <v>4</v>
      </c>
      <c r="AV177" s="25">
        <v>1</v>
      </c>
      <c r="AW177" s="54">
        <f t="shared" si="93"/>
        <v>0</v>
      </c>
      <c r="AX177" s="54">
        <f t="shared" si="94"/>
        <v>0</v>
      </c>
      <c r="AY177" s="54">
        <f t="shared" si="95"/>
        <v>0</v>
      </c>
      <c r="AZ177" s="54">
        <f t="shared" si="96"/>
        <v>0</v>
      </c>
      <c r="BA177" s="54">
        <f t="shared" si="97"/>
        <v>0</v>
      </c>
      <c r="BC177" s="32">
        <f t="shared" si="98"/>
        <v>3</v>
      </c>
      <c r="BG177" s="25">
        <v>1</v>
      </c>
      <c r="BH177" s="54">
        <f t="shared" si="99"/>
        <v>0</v>
      </c>
      <c r="BI177" s="54">
        <f t="shared" si="100"/>
        <v>0</v>
      </c>
      <c r="BJ177" s="54">
        <f t="shared" si="101"/>
        <v>0</v>
      </c>
      <c r="BK177" s="54">
        <f t="shared" si="102"/>
        <v>0</v>
      </c>
      <c r="BL177" s="54">
        <f t="shared" si="103"/>
        <v>0</v>
      </c>
      <c r="BN177" s="25">
        <f t="shared" si="104"/>
        <v>1</v>
      </c>
      <c r="BS177" s="39"/>
      <c r="BT177" s="39"/>
      <c r="BU177" s="39"/>
      <c r="BV177" s="39"/>
      <c r="BW177" s="39"/>
    </row>
    <row r="178" spans="3:75" x14ac:dyDescent="0.25">
      <c r="C178" s="62" t="str">
        <f t="shared" si="70"/>
        <v>-</v>
      </c>
      <c r="D178" s="62" t="str">
        <f t="shared" si="71"/>
        <v>-</v>
      </c>
      <c r="E178" s="62" t="str">
        <f t="shared" si="72"/>
        <v>-</v>
      </c>
      <c r="F178" s="62" t="str">
        <f t="shared" si="73"/>
        <v>-</v>
      </c>
      <c r="G178" s="62" t="str">
        <f t="shared" si="74"/>
        <v>-</v>
      </c>
      <c r="J178" s="17" t="s">
        <v>8</v>
      </c>
      <c r="K178" s="32" t="s">
        <v>65</v>
      </c>
      <c r="M178" s="32" t="s">
        <v>243</v>
      </c>
      <c r="N178" s="32"/>
      <c r="O178" s="25">
        <v>2</v>
      </c>
      <c r="P178" s="62">
        <f t="shared" si="75"/>
        <v>2</v>
      </c>
      <c r="Q178" s="62" t="str">
        <f t="shared" si="76"/>
        <v>-</v>
      </c>
      <c r="R178" s="62" t="str">
        <f t="shared" si="77"/>
        <v>-</v>
      </c>
      <c r="S178" s="62" t="str">
        <f t="shared" si="78"/>
        <v>-</v>
      </c>
      <c r="T178" s="62" t="str">
        <f t="shared" si="79"/>
        <v>-</v>
      </c>
      <c r="V178" s="32">
        <f t="shared" si="80"/>
        <v>6</v>
      </c>
      <c r="Z178" s="25">
        <v>1</v>
      </c>
      <c r="AA178" s="54">
        <f t="shared" si="81"/>
        <v>0</v>
      </c>
      <c r="AB178" s="54">
        <f t="shared" si="82"/>
        <v>0</v>
      </c>
      <c r="AC178" s="54">
        <f t="shared" si="83"/>
        <v>0</v>
      </c>
      <c r="AD178" s="54">
        <f t="shared" si="84"/>
        <v>0</v>
      </c>
      <c r="AE178" s="54">
        <f t="shared" si="85"/>
        <v>0</v>
      </c>
      <c r="AG178" s="32">
        <f t="shared" si="86"/>
        <v>5</v>
      </c>
      <c r="AK178" s="25">
        <v>1</v>
      </c>
      <c r="AL178" s="54">
        <f t="shared" si="87"/>
        <v>0</v>
      </c>
      <c r="AM178" s="54">
        <f t="shared" si="88"/>
        <v>0</v>
      </c>
      <c r="AN178" s="54">
        <f t="shared" si="89"/>
        <v>0</v>
      </c>
      <c r="AO178" s="54">
        <f t="shared" si="90"/>
        <v>0</v>
      </c>
      <c r="AP178" s="54">
        <f t="shared" si="91"/>
        <v>0</v>
      </c>
      <c r="AR178" s="32">
        <f t="shared" si="92"/>
        <v>4</v>
      </c>
      <c r="AV178" s="25">
        <v>1</v>
      </c>
      <c r="AW178" s="54">
        <f t="shared" si="93"/>
        <v>0</v>
      </c>
      <c r="AX178" s="54">
        <f t="shared" si="94"/>
        <v>0</v>
      </c>
      <c r="AY178" s="54">
        <f t="shared" si="95"/>
        <v>0</v>
      </c>
      <c r="AZ178" s="54">
        <f t="shared" si="96"/>
        <v>0</v>
      </c>
      <c r="BA178" s="54">
        <f t="shared" si="97"/>
        <v>0</v>
      </c>
      <c r="BC178" s="32">
        <f t="shared" si="98"/>
        <v>3</v>
      </c>
      <c r="BG178" s="25">
        <v>1</v>
      </c>
      <c r="BH178" s="54">
        <f t="shared" si="99"/>
        <v>0</v>
      </c>
      <c r="BI178" s="54">
        <f t="shared" si="100"/>
        <v>0</v>
      </c>
      <c r="BJ178" s="54">
        <f t="shared" si="101"/>
        <v>0</v>
      </c>
      <c r="BK178" s="54">
        <f t="shared" si="102"/>
        <v>0</v>
      </c>
      <c r="BL178" s="54">
        <f t="shared" si="103"/>
        <v>0</v>
      </c>
      <c r="BN178" s="25">
        <f t="shared" si="104"/>
        <v>1</v>
      </c>
      <c r="BS178" s="39"/>
      <c r="BT178" s="39"/>
      <c r="BU178" s="39"/>
      <c r="BV178" s="39"/>
      <c r="BW178" s="39"/>
    </row>
    <row r="179" spans="3:75" x14ac:dyDescent="0.25">
      <c r="C179" s="62" t="str">
        <f t="shared" si="70"/>
        <v>-</v>
      </c>
      <c r="D179" s="62" t="str">
        <f t="shared" si="71"/>
        <v>-</v>
      </c>
      <c r="E179" s="62" t="str">
        <f t="shared" si="72"/>
        <v>-</v>
      </c>
      <c r="F179" s="62" t="str">
        <f t="shared" si="73"/>
        <v>-</v>
      </c>
      <c r="G179" s="62" t="str">
        <f t="shared" si="74"/>
        <v>-</v>
      </c>
      <c r="J179" s="17" t="s">
        <v>8</v>
      </c>
      <c r="K179" s="32" t="s">
        <v>220</v>
      </c>
      <c r="M179" s="32" t="s">
        <v>242</v>
      </c>
      <c r="N179" s="32"/>
      <c r="O179" s="25">
        <v>2</v>
      </c>
      <c r="P179" s="62" t="str">
        <f t="shared" si="75"/>
        <v>-</v>
      </c>
      <c r="Q179" s="62" t="str">
        <f t="shared" si="76"/>
        <v>-</v>
      </c>
      <c r="R179" s="62" t="str">
        <f t="shared" si="77"/>
        <v>-</v>
      </c>
      <c r="S179" s="62" t="str">
        <f t="shared" si="78"/>
        <v>-</v>
      </c>
      <c r="T179" s="62">
        <f t="shared" si="79"/>
        <v>6</v>
      </c>
      <c r="V179" s="32">
        <f t="shared" si="80"/>
        <v>6</v>
      </c>
      <c r="Z179" s="25">
        <v>1</v>
      </c>
      <c r="AA179" s="54">
        <f t="shared" si="81"/>
        <v>0</v>
      </c>
      <c r="AB179" s="54">
        <f t="shared" si="82"/>
        <v>0</v>
      </c>
      <c r="AC179" s="54">
        <f t="shared" si="83"/>
        <v>0</v>
      </c>
      <c r="AD179" s="54">
        <f t="shared" si="84"/>
        <v>0</v>
      </c>
      <c r="AE179" s="54">
        <f t="shared" si="85"/>
        <v>0</v>
      </c>
      <c r="AG179" s="32">
        <f t="shared" si="86"/>
        <v>5</v>
      </c>
      <c r="AK179" s="25">
        <v>1</v>
      </c>
      <c r="AL179" s="54">
        <f t="shared" si="87"/>
        <v>0</v>
      </c>
      <c r="AM179" s="54">
        <f t="shared" si="88"/>
        <v>0</v>
      </c>
      <c r="AN179" s="54">
        <f t="shared" si="89"/>
        <v>0</v>
      </c>
      <c r="AO179" s="54">
        <f t="shared" si="90"/>
        <v>0</v>
      </c>
      <c r="AP179" s="54">
        <f t="shared" si="91"/>
        <v>0</v>
      </c>
      <c r="AR179" s="32">
        <f t="shared" si="92"/>
        <v>4</v>
      </c>
      <c r="AV179" s="25">
        <v>1</v>
      </c>
      <c r="AW179" s="54">
        <f t="shared" si="93"/>
        <v>0</v>
      </c>
      <c r="AX179" s="54">
        <f t="shared" si="94"/>
        <v>0</v>
      </c>
      <c r="AY179" s="54">
        <f t="shared" si="95"/>
        <v>0</v>
      </c>
      <c r="AZ179" s="54">
        <f t="shared" si="96"/>
        <v>0</v>
      </c>
      <c r="BA179" s="54">
        <f t="shared" si="97"/>
        <v>0</v>
      </c>
      <c r="BC179" s="32">
        <f t="shared" si="98"/>
        <v>3</v>
      </c>
      <c r="BG179" s="25">
        <v>1</v>
      </c>
      <c r="BH179" s="54">
        <f t="shared" si="99"/>
        <v>0</v>
      </c>
      <c r="BI179" s="54">
        <f t="shared" si="100"/>
        <v>0</v>
      </c>
      <c r="BJ179" s="54">
        <f t="shared" si="101"/>
        <v>0</v>
      </c>
      <c r="BK179" s="54">
        <f t="shared" si="102"/>
        <v>0</v>
      </c>
      <c r="BL179" s="54">
        <f t="shared" si="103"/>
        <v>0</v>
      </c>
      <c r="BN179" s="25">
        <f t="shared" si="104"/>
        <v>1</v>
      </c>
      <c r="BS179" s="39"/>
      <c r="BT179" s="39"/>
      <c r="BU179" s="39"/>
      <c r="BV179" s="39"/>
      <c r="BW179" s="39"/>
    </row>
    <row r="180" spans="3:75" x14ac:dyDescent="0.25">
      <c r="C180" s="62" t="str">
        <f t="shared" si="70"/>
        <v>-</v>
      </c>
      <c r="D180" s="62" t="str">
        <f t="shared" si="71"/>
        <v>-</v>
      </c>
      <c r="E180" s="62" t="str">
        <f t="shared" si="72"/>
        <v>-</v>
      </c>
      <c r="F180" s="62" t="str">
        <f t="shared" si="73"/>
        <v>-</v>
      </c>
      <c r="G180" s="62" t="str">
        <f t="shared" si="74"/>
        <v>-</v>
      </c>
      <c r="J180" s="17" t="s">
        <v>8</v>
      </c>
      <c r="K180" s="32" t="s">
        <v>220</v>
      </c>
      <c r="M180" s="40" t="s">
        <v>241</v>
      </c>
      <c r="O180" s="25">
        <v>1</v>
      </c>
      <c r="P180" s="62" t="str">
        <f t="shared" si="75"/>
        <v>-</v>
      </c>
      <c r="Q180" s="62" t="str">
        <f t="shared" si="76"/>
        <v>-</v>
      </c>
      <c r="R180" s="62" t="str">
        <f t="shared" si="77"/>
        <v>-</v>
      </c>
      <c r="S180" s="62" t="str">
        <f t="shared" si="78"/>
        <v>-</v>
      </c>
      <c r="T180" s="62">
        <f t="shared" si="79"/>
        <v>3</v>
      </c>
      <c r="V180" s="32">
        <f t="shared" si="80"/>
        <v>6</v>
      </c>
      <c r="Z180" s="25">
        <v>1</v>
      </c>
      <c r="AA180" s="54">
        <f t="shared" si="81"/>
        <v>0</v>
      </c>
      <c r="AB180" s="54">
        <f t="shared" si="82"/>
        <v>0</v>
      </c>
      <c r="AC180" s="54">
        <f t="shared" si="83"/>
        <v>0</v>
      </c>
      <c r="AD180" s="54">
        <f t="shared" si="84"/>
        <v>0</v>
      </c>
      <c r="AE180" s="54">
        <f t="shared" si="85"/>
        <v>0</v>
      </c>
      <c r="AG180" s="32">
        <f t="shared" si="86"/>
        <v>5</v>
      </c>
      <c r="AK180" s="25">
        <v>1</v>
      </c>
      <c r="AL180" s="54">
        <f t="shared" si="87"/>
        <v>0</v>
      </c>
      <c r="AM180" s="54">
        <f t="shared" si="88"/>
        <v>0</v>
      </c>
      <c r="AN180" s="54">
        <f t="shared" si="89"/>
        <v>0</v>
      </c>
      <c r="AO180" s="54">
        <f t="shared" si="90"/>
        <v>0</v>
      </c>
      <c r="AP180" s="54">
        <f t="shared" si="91"/>
        <v>0</v>
      </c>
      <c r="AR180" s="32">
        <f t="shared" si="92"/>
        <v>4</v>
      </c>
      <c r="AV180" s="25">
        <v>1</v>
      </c>
      <c r="AW180" s="54">
        <f t="shared" si="93"/>
        <v>0</v>
      </c>
      <c r="AX180" s="54">
        <f t="shared" si="94"/>
        <v>0</v>
      </c>
      <c r="AY180" s="54">
        <f t="shared" si="95"/>
        <v>0</v>
      </c>
      <c r="AZ180" s="54">
        <f t="shared" si="96"/>
        <v>0</v>
      </c>
      <c r="BA180" s="54">
        <f t="shared" si="97"/>
        <v>0</v>
      </c>
      <c r="BC180" s="32">
        <f t="shared" si="98"/>
        <v>3</v>
      </c>
      <c r="BG180" s="25">
        <v>1</v>
      </c>
      <c r="BH180" s="54">
        <f t="shared" si="99"/>
        <v>0</v>
      </c>
      <c r="BI180" s="54">
        <f t="shared" si="100"/>
        <v>0</v>
      </c>
      <c r="BJ180" s="54">
        <f t="shared" si="101"/>
        <v>0</v>
      </c>
      <c r="BK180" s="54">
        <f t="shared" si="102"/>
        <v>0</v>
      </c>
      <c r="BL180" s="54">
        <f t="shared" si="103"/>
        <v>0</v>
      </c>
      <c r="BN180" s="25">
        <f t="shared" si="104"/>
        <v>1</v>
      </c>
      <c r="BS180" s="39"/>
      <c r="BT180" s="39"/>
      <c r="BU180" s="39"/>
      <c r="BV180" s="39"/>
      <c r="BW180" s="39"/>
    </row>
    <row r="181" spans="3:75" x14ac:dyDescent="0.25">
      <c r="C181" s="62" t="str">
        <f t="shared" si="70"/>
        <v>-</v>
      </c>
      <c r="D181" s="62" t="str">
        <f t="shared" si="71"/>
        <v>-</v>
      </c>
      <c r="E181" s="62" t="str">
        <f t="shared" si="72"/>
        <v>-</v>
      </c>
      <c r="F181" s="62" t="str">
        <f t="shared" si="73"/>
        <v>-</v>
      </c>
      <c r="G181" s="62" t="str">
        <f t="shared" si="74"/>
        <v>-</v>
      </c>
      <c r="J181" s="17" t="s">
        <v>41</v>
      </c>
      <c r="K181" s="32" t="s">
        <v>66</v>
      </c>
      <c r="L181" s="32" t="s">
        <v>87</v>
      </c>
      <c r="O181" s="25">
        <v>1</v>
      </c>
      <c r="P181" s="62" t="str">
        <f t="shared" si="75"/>
        <v>-</v>
      </c>
      <c r="Q181" s="62" t="str">
        <f t="shared" si="76"/>
        <v>-</v>
      </c>
      <c r="R181" s="62" t="str">
        <f t="shared" si="77"/>
        <v>-</v>
      </c>
      <c r="S181" s="62" t="str">
        <f t="shared" si="78"/>
        <v>-</v>
      </c>
      <c r="T181" s="62">
        <f t="shared" si="79"/>
        <v>4</v>
      </c>
      <c r="V181" s="32">
        <f t="shared" si="80"/>
        <v>6</v>
      </c>
      <c r="Z181" s="25">
        <v>1</v>
      </c>
      <c r="AA181" s="54">
        <f t="shared" si="81"/>
        <v>0</v>
      </c>
      <c r="AB181" s="54">
        <f t="shared" si="82"/>
        <v>0</v>
      </c>
      <c r="AC181" s="54">
        <f t="shared" si="83"/>
        <v>0</v>
      </c>
      <c r="AD181" s="54">
        <f t="shared" si="84"/>
        <v>0</v>
      </c>
      <c r="AE181" s="54">
        <f t="shared" si="85"/>
        <v>0</v>
      </c>
      <c r="AG181" s="32">
        <f t="shared" si="86"/>
        <v>5</v>
      </c>
      <c r="AK181" s="25">
        <v>1</v>
      </c>
      <c r="AL181" s="54">
        <f t="shared" si="87"/>
        <v>0</v>
      </c>
      <c r="AM181" s="54">
        <f t="shared" si="88"/>
        <v>0</v>
      </c>
      <c r="AN181" s="54">
        <f t="shared" si="89"/>
        <v>0</v>
      </c>
      <c r="AO181" s="54">
        <f t="shared" si="90"/>
        <v>0</v>
      </c>
      <c r="AP181" s="54">
        <f t="shared" si="91"/>
        <v>0</v>
      </c>
      <c r="AR181" s="32">
        <f t="shared" si="92"/>
        <v>4</v>
      </c>
      <c r="AV181" s="25">
        <v>1</v>
      </c>
      <c r="AW181" s="54">
        <f t="shared" si="93"/>
        <v>0</v>
      </c>
      <c r="AX181" s="54">
        <f t="shared" si="94"/>
        <v>0</v>
      </c>
      <c r="AY181" s="54">
        <f t="shared" si="95"/>
        <v>0</v>
      </c>
      <c r="AZ181" s="54">
        <f t="shared" si="96"/>
        <v>0</v>
      </c>
      <c r="BA181" s="54">
        <f t="shared" si="97"/>
        <v>0</v>
      </c>
      <c r="BC181" s="32">
        <f t="shared" si="98"/>
        <v>3</v>
      </c>
      <c r="BG181" s="25">
        <v>1</v>
      </c>
      <c r="BH181" s="54">
        <f t="shared" si="99"/>
        <v>0</v>
      </c>
      <c r="BI181" s="54">
        <f t="shared" si="100"/>
        <v>0</v>
      </c>
      <c r="BJ181" s="54">
        <f t="shared" si="101"/>
        <v>0</v>
      </c>
      <c r="BK181" s="54">
        <f t="shared" si="102"/>
        <v>0</v>
      </c>
      <c r="BL181" s="54">
        <f t="shared" si="103"/>
        <v>0</v>
      </c>
      <c r="BN181" s="25">
        <f t="shared" si="104"/>
        <v>1</v>
      </c>
      <c r="BS181" s="39"/>
      <c r="BT181" s="39"/>
      <c r="BU181" s="39"/>
      <c r="BV181" s="39"/>
      <c r="BW181" s="39"/>
    </row>
    <row r="182" spans="3:75" x14ac:dyDescent="0.25">
      <c r="C182" s="62" t="str">
        <f t="shared" si="70"/>
        <v>-</v>
      </c>
      <c r="D182" s="62" t="str">
        <f t="shared" si="71"/>
        <v>-</v>
      </c>
      <c r="E182" s="62" t="str">
        <f t="shared" si="72"/>
        <v>-</v>
      </c>
      <c r="F182" s="62" t="str">
        <f t="shared" si="73"/>
        <v>-</v>
      </c>
      <c r="G182" s="62" t="str">
        <f t="shared" si="74"/>
        <v>-</v>
      </c>
      <c r="J182" s="17" t="s">
        <v>41</v>
      </c>
      <c r="K182" s="32" t="s">
        <v>65</v>
      </c>
      <c r="L182" s="32" t="s">
        <v>45</v>
      </c>
      <c r="O182" s="25">
        <v>1</v>
      </c>
      <c r="P182" s="62">
        <f t="shared" si="75"/>
        <v>1</v>
      </c>
      <c r="Q182" s="62" t="str">
        <f t="shared" si="76"/>
        <v>-</v>
      </c>
      <c r="R182" s="62" t="str">
        <f t="shared" si="77"/>
        <v>-</v>
      </c>
      <c r="S182" s="62" t="str">
        <f t="shared" si="78"/>
        <v>-</v>
      </c>
      <c r="T182" s="62" t="str">
        <f t="shared" si="79"/>
        <v>-</v>
      </c>
      <c r="V182" s="32">
        <f t="shared" si="80"/>
        <v>6</v>
      </c>
      <c r="Z182" s="25">
        <v>1</v>
      </c>
      <c r="AA182" s="54">
        <f t="shared" si="81"/>
        <v>0</v>
      </c>
      <c r="AB182" s="54">
        <f t="shared" si="82"/>
        <v>0</v>
      </c>
      <c r="AC182" s="54">
        <f t="shared" si="83"/>
        <v>0</v>
      </c>
      <c r="AD182" s="54">
        <f t="shared" si="84"/>
        <v>0</v>
      </c>
      <c r="AE182" s="54">
        <f t="shared" si="85"/>
        <v>0</v>
      </c>
      <c r="AG182" s="32">
        <f t="shared" si="86"/>
        <v>5</v>
      </c>
      <c r="AK182" s="25">
        <v>1</v>
      </c>
      <c r="AL182" s="54">
        <f t="shared" si="87"/>
        <v>0</v>
      </c>
      <c r="AM182" s="54">
        <f t="shared" si="88"/>
        <v>0</v>
      </c>
      <c r="AN182" s="54">
        <f t="shared" si="89"/>
        <v>0</v>
      </c>
      <c r="AO182" s="54">
        <f t="shared" si="90"/>
        <v>0</v>
      </c>
      <c r="AP182" s="54">
        <f t="shared" si="91"/>
        <v>0</v>
      </c>
      <c r="AR182" s="32">
        <f t="shared" si="92"/>
        <v>4</v>
      </c>
      <c r="AV182" s="25">
        <v>1</v>
      </c>
      <c r="AW182" s="54">
        <f t="shared" si="93"/>
        <v>0</v>
      </c>
      <c r="AX182" s="54">
        <f t="shared" si="94"/>
        <v>0</v>
      </c>
      <c r="AY182" s="54">
        <f t="shared" si="95"/>
        <v>0</v>
      </c>
      <c r="AZ182" s="54">
        <f t="shared" si="96"/>
        <v>0</v>
      </c>
      <c r="BA182" s="54">
        <f t="shared" si="97"/>
        <v>0</v>
      </c>
      <c r="BC182" s="32">
        <f t="shared" si="98"/>
        <v>3</v>
      </c>
      <c r="BG182" s="25">
        <v>1</v>
      </c>
      <c r="BH182" s="54">
        <f t="shared" si="99"/>
        <v>0</v>
      </c>
      <c r="BI182" s="54">
        <f t="shared" si="100"/>
        <v>0</v>
      </c>
      <c r="BJ182" s="54">
        <f t="shared" si="101"/>
        <v>0</v>
      </c>
      <c r="BK182" s="54">
        <f t="shared" si="102"/>
        <v>0</v>
      </c>
      <c r="BL182" s="54">
        <f t="shared" si="103"/>
        <v>0</v>
      </c>
      <c r="BN182" s="25">
        <f t="shared" si="104"/>
        <v>1</v>
      </c>
      <c r="BS182" s="39"/>
      <c r="BT182" s="39"/>
      <c r="BU182" s="39"/>
      <c r="BV182" s="39"/>
      <c r="BW182" s="39"/>
    </row>
    <row r="183" spans="3:75" x14ac:dyDescent="0.25">
      <c r="C183" s="62" t="str">
        <f t="shared" si="70"/>
        <v>-</v>
      </c>
      <c r="D183" s="62" t="str">
        <f t="shared" si="71"/>
        <v>-</v>
      </c>
      <c r="E183" s="62" t="str">
        <f t="shared" si="72"/>
        <v>-</v>
      </c>
      <c r="F183" s="62" t="str">
        <f t="shared" si="73"/>
        <v>-</v>
      </c>
      <c r="G183" s="62" t="str">
        <f t="shared" si="74"/>
        <v>-</v>
      </c>
      <c r="J183" s="17" t="s">
        <v>41</v>
      </c>
      <c r="K183" s="32" t="s">
        <v>65</v>
      </c>
      <c r="L183" s="32" t="s">
        <v>44</v>
      </c>
      <c r="M183" s="32" t="s">
        <v>110</v>
      </c>
      <c r="N183" s="32"/>
      <c r="O183" s="25">
        <v>1</v>
      </c>
      <c r="P183" s="62">
        <f t="shared" si="75"/>
        <v>1</v>
      </c>
      <c r="Q183" s="62" t="str">
        <f t="shared" si="76"/>
        <v>-</v>
      </c>
      <c r="R183" s="62" t="str">
        <f t="shared" si="77"/>
        <v>-</v>
      </c>
      <c r="S183" s="62" t="str">
        <f t="shared" si="78"/>
        <v>-</v>
      </c>
      <c r="T183" s="62" t="str">
        <f t="shared" si="79"/>
        <v>-</v>
      </c>
      <c r="V183" s="32">
        <f t="shared" si="80"/>
        <v>6</v>
      </c>
      <c r="Z183" s="25">
        <v>1</v>
      </c>
      <c r="AA183" s="54">
        <f t="shared" si="81"/>
        <v>0</v>
      </c>
      <c r="AB183" s="54">
        <f t="shared" si="82"/>
        <v>0</v>
      </c>
      <c r="AC183" s="54">
        <f t="shared" si="83"/>
        <v>0</v>
      </c>
      <c r="AD183" s="54">
        <f t="shared" si="84"/>
        <v>0</v>
      </c>
      <c r="AE183" s="54">
        <f t="shared" si="85"/>
        <v>0</v>
      </c>
      <c r="AG183" s="32">
        <f t="shared" si="86"/>
        <v>5</v>
      </c>
      <c r="AK183" s="25">
        <v>1</v>
      </c>
      <c r="AL183" s="54">
        <f t="shared" si="87"/>
        <v>0</v>
      </c>
      <c r="AM183" s="54">
        <f t="shared" si="88"/>
        <v>0</v>
      </c>
      <c r="AN183" s="54">
        <f t="shared" si="89"/>
        <v>0</v>
      </c>
      <c r="AO183" s="54">
        <f t="shared" si="90"/>
        <v>0</v>
      </c>
      <c r="AP183" s="54">
        <f t="shared" si="91"/>
        <v>0</v>
      </c>
      <c r="AR183" s="32">
        <f t="shared" si="92"/>
        <v>4</v>
      </c>
      <c r="AV183" s="25">
        <v>1</v>
      </c>
      <c r="AW183" s="54">
        <f t="shared" si="93"/>
        <v>0</v>
      </c>
      <c r="AX183" s="54">
        <f t="shared" si="94"/>
        <v>0</v>
      </c>
      <c r="AY183" s="54">
        <f t="shared" si="95"/>
        <v>0</v>
      </c>
      <c r="AZ183" s="54">
        <f t="shared" si="96"/>
        <v>0</v>
      </c>
      <c r="BA183" s="54">
        <f t="shared" si="97"/>
        <v>0</v>
      </c>
      <c r="BC183" s="32">
        <f t="shared" si="98"/>
        <v>3</v>
      </c>
      <c r="BG183" s="25">
        <v>1</v>
      </c>
      <c r="BH183" s="54">
        <f t="shared" si="99"/>
        <v>0</v>
      </c>
      <c r="BI183" s="54">
        <f t="shared" si="100"/>
        <v>0</v>
      </c>
      <c r="BJ183" s="54">
        <f t="shared" si="101"/>
        <v>0</v>
      </c>
      <c r="BK183" s="54">
        <f t="shared" si="102"/>
        <v>0</v>
      </c>
      <c r="BL183" s="54">
        <f t="shared" si="103"/>
        <v>0</v>
      </c>
      <c r="BN183" s="25">
        <f t="shared" si="104"/>
        <v>1</v>
      </c>
      <c r="BS183" s="39"/>
      <c r="BT183" s="39"/>
      <c r="BU183" s="39"/>
      <c r="BV183" s="39"/>
      <c r="BW183" s="39"/>
    </row>
    <row r="184" spans="3:75" x14ac:dyDescent="0.25">
      <c r="C184" s="62" t="str">
        <f t="shared" si="70"/>
        <v>-</v>
      </c>
      <c r="D184" s="62" t="str">
        <f t="shared" si="71"/>
        <v>-</v>
      </c>
      <c r="E184" s="62" t="str">
        <f t="shared" si="72"/>
        <v>-</v>
      </c>
      <c r="F184" s="62" t="str">
        <f t="shared" si="73"/>
        <v>-</v>
      </c>
      <c r="G184" s="62" t="str">
        <f t="shared" si="74"/>
        <v>-</v>
      </c>
      <c r="J184" s="17" t="s">
        <v>41</v>
      </c>
      <c r="K184" s="32" t="s">
        <v>65</v>
      </c>
      <c r="L184" s="32" t="s">
        <v>44</v>
      </c>
      <c r="M184" s="32" t="s">
        <v>111</v>
      </c>
      <c r="N184" s="32"/>
      <c r="O184" s="25">
        <v>1</v>
      </c>
      <c r="P184" s="62">
        <f t="shared" si="75"/>
        <v>1</v>
      </c>
      <c r="Q184" s="62" t="str">
        <f t="shared" si="76"/>
        <v>-</v>
      </c>
      <c r="R184" s="62" t="str">
        <f t="shared" si="77"/>
        <v>-</v>
      </c>
      <c r="S184" s="62" t="str">
        <f t="shared" si="78"/>
        <v>-</v>
      </c>
      <c r="T184" s="62" t="str">
        <f t="shared" si="79"/>
        <v>-</v>
      </c>
      <c r="V184" s="32">
        <f t="shared" si="80"/>
        <v>6</v>
      </c>
      <c r="Z184" s="25">
        <v>1</v>
      </c>
      <c r="AA184" s="54">
        <f t="shared" si="81"/>
        <v>0</v>
      </c>
      <c r="AB184" s="54">
        <f t="shared" si="82"/>
        <v>0</v>
      </c>
      <c r="AC184" s="54">
        <f t="shared" si="83"/>
        <v>0</v>
      </c>
      <c r="AD184" s="54">
        <f t="shared" si="84"/>
        <v>0</v>
      </c>
      <c r="AE184" s="54">
        <f t="shared" si="85"/>
        <v>0</v>
      </c>
      <c r="AG184" s="32">
        <f t="shared" si="86"/>
        <v>5</v>
      </c>
      <c r="AK184" s="25">
        <v>1</v>
      </c>
      <c r="AL184" s="54">
        <f t="shared" si="87"/>
        <v>0</v>
      </c>
      <c r="AM184" s="54">
        <f t="shared" si="88"/>
        <v>0</v>
      </c>
      <c r="AN184" s="54">
        <f t="shared" si="89"/>
        <v>0</v>
      </c>
      <c r="AO184" s="54">
        <f t="shared" si="90"/>
        <v>0</v>
      </c>
      <c r="AP184" s="54">
        <f t="shared" si="91"/>
        <v>0</v>
      </c>
      <c r="AR184" s="32">
        <f t="shared" si="92"/>
        <v>4</v>
      </c>
      <c r="AV184" s="25">
        <v>1</v>
      </c>
      <c r="AW184" s="54">
        <f t="shared" si="93"/>
        <v>0</v>
      </c>
      <c r="AX184" s="54">
        <f t="shared" si="94"/>
        <v>0</v>
      </c>
      <c r="AY184" s="54">
        <f t="shared" si="95"/>
        <v>0</v>
      </c>
      <c r="AZ184" s="54">
        <f t="shared" si="96"/>
        <v>0</v>
      </c>
      <c r="BA184" s="54">
        <f t="shared" si="97"/>
        <v>0</v>
      </c>
      <c r="BC184" s="32">
        <f t="shared" si="98"/>
        <v>3</v>
      </c>
      <c r="BG184" s="25">
        <v>1</v>
      </c>
      <c r="BH184" s="54">
        <f t="shared" si="99"/>
        <v>0</v>
      </c>
      <c r="BI184" s="54">
        <f t="shared" si="100"/>
        <v>0</v>
      </c>
      <c r="BJ184" s="54">
        <f t="shared" si="101"/>
        <v>0</v>
      </c>
      <c r="BK184" s="54">
        <f t="shared" si="102"/>
        <v>0</v>
      </c>
      <c r="BL184" s="54">
        <f t="shared" si="103"/>
        <v>0</v>
      </c>
      <c r="BN184" s="25">
        <f t="shared" si="104"/>
        <v>1</v>
      </c>
      <c r="BS184" s="39"/>
      <c r="BT184" s="39"/>
      <c r="BU184" s="39"/>
      <c r="BV184" s="39"/>
      <c r="BW184" s="39"/>
    </row>
    <row r="185" spans="3:75" x14ac:dyDescent="0.25">
      <c r="C185" s="62" t="str">
        <f t="shared" si="70"/>
        <v>-</v>
      </c>
      <c r="D185" s="62" t="str">
        <f t="shared" si="71"/>
        <v>-</v>
      </c>
      <c r="E185" s="62" t="str">
        <f t="shared" si="72"/>
        <v>-</v>
      </c>
      <c r="F185" s="62" t="str">
        <f t="shared" si="73"/>
        <v>-</v>
      </c>
      <c r="G185" s="62" t="str">
        <f t="shared" si="74"/>
        <v>-</v>
      </c>
      <c r="J185" s="17" t="s">
        <v>41</v>
      </c>
      <c r="K185" s="32" t="s">
        <v>65</v>
      </c>
      <c r="L185" s="32" t="s">
        <v>115</v>
      </c>
      <c r="M185" s="32" t="s">
        <v>113</v>
      </c>
      <c r="N185" s="32"/>
      <c r="O185" s="25">
        <v>1</v>
      </c>
      <c r="P185" s="62">
        <f t="shared" si="75"/>
        <v>1</v>
      </c>
      <c r="Q185" s="62" t="str">
        <f t="shared" si="76"/>
        <v>-</v>
      </c>
      <c r="R185" s="62" t="str">
        <f t="shared" si="77"/>
        <v>-</v>
      </c>
      <c r="S185" s="62" t="str">
        <f t="shared" si="78"/>
        <v>-</v>
      </c>
      <c r="T185" s="62" t="str">
        <f t="shared" si="79"/>
        <v>-</v>
      </c>
      <c r="V185" s="32">
        <f t="shared" si="80"/>
        <v>6</v>
      </c>
      <c r="Z185" s="25">
        <v>1</v>
      </c>
      <c r="AA185" s="54">
        <f t="shared" si="81"/>
        <v>0</v>
      </c>
      <c r="AB185" s="54">
        <f t="shared" si="82"/>
        <v>0</v>
      </c>
      <c r="AC185" s="54">
        <f t="shared" si="83"/>
        <v>0</v>
      </c>
      <c r="AD185" s="54">
        <f t="shared" si="84"/>
        <v>0</v>
      </c>
      <c r="AE185" s="54">
        <f t="shared" si="85"/>
        <v>0</v>
      </c>
      <c r="AG185" s="32">
        <f t="shared" si="86"/>
        <v>5</v>
      </c>
      <c r="AK185" s="25">
        <v>1</v>
      </c>
      <c r="AL185" s="54">
        <f t="shared" si="87"/>
        <v>0</v>
      </c>
      <c r="AM185" s="54">
        <f t="shared" si="88"/>
        <v>0</v>
      </c>
      <c r="AN185" s="54">
        <f t="shared" si="89"/>
        <v>0</v>
      </c>
      <c r="AO185" s="54">
        <f t="shared" si="90"/>
        <v>0</v>
      </c>
      <c r="AP185" s="54">
        <f t="shared" si="91"/>
        <v>0</v>
      </c>
      <c r="AR185" s="32">
        <f t="shared" si="92"/>
        <v>4</v>
      </c>
      <c r="AV185" s="25">
        <v>1</v>
      </c>
      <c r="AW185" s="54">
        <f t="shared" si="93"/>
        <v>0</v>
      </c>
      <c r="AX185" s="54">
        <f t="shared" si="94"/>
        <v>0</v>
      </c>
      <c r="AY185" s="54">
        <f t="shared" si="95"/>
        <v>0</v>
      </c>
      <c r="AZ185" s="54">
        <f t="shared" si="96"/>
        <v>0</v>
      </c>
      <c r="BA185" s="54">
        <f t="shared" si="97"/>
        <v>0</v>
      </c>
      <c r="BC185" s="32">
        <f t="shared" si="98"/>
        <v>3</v>
      </c>
      <c r="BG185" s="25">
        <v>1</v>
      </c>
      <c r="BH185" s="54">
        <f t="shared" si="99"/>
        <v>0</v>
      </c>
      <c r="BI185" s="54">
        <f t="shared" si="100"/>
        <v>0</v>
      </c>
      <c r="BJ185" s="54">
        <f t="shared" si="101"/>
        <v>0</v>
      </c>
      <c r="BK185" s="54">
        <f t="shared" si="102"/>
        <v>0</v>
      </c>
      <c r="BL185" s="54">
        <f t="shared" si="103"/>
        <v>0</v>
      </c>
      <c r="BN185" s="25">
        <f t="shared" si="104"/>
        <v>1</v>
      </c>
      <c r="BS185" s="39"/>
      <c r="BT185" s="39"/>
      <c r="BU185" s="39"/>
      <c r="BV185" s="39"/>
      <c r="BW185" s="39"/>
    </row>
    <row r="186" spans="3:75" x14ac:dyDescent="0.25">
      <c r="C186" s="62" t="str">
        <f t="shared" si="70"/>
        <v>-</v>
      </c>
      <c r="D186" s="62" t="str">
        <f t="shared" si="71"/>
        <v>-</v>
      </c>
      <c r="E186" s="62" t="str">
        <f t="shared" si="72"/>
        <v>-</v>
      </c>
      <c r="F186" s="62" t="str">
        <f t="shared" si="73"/>
        <v>-</v>
      </c>
      <c r="G186" s="62" t="str">
        <f t="shared" si="74"/>
        <v>-</v>
      </c>
      <c r="J186" s="17" t="s">
        <v>41</v>
      </c>
      <c r="K186" s="32" t="s">
        <v>65</v>
      </c>
      <c r="L186" s="32" t="s">
        <v>88</v>
      </c>
      <c r="M186" s="32" t="s">
        <v>112</v>
      </c>
      <c r="N186" s="32"/>
      <c r="O186" s="25">
        <v>1</v>
      </c>
      <c r="P186" s="62">
        <f t="shared" si="75"/>
        <v>1</v>
      </c>
      <c r="Q186" s="62" t="str">
        <f t="shared" si="76"/>
        <v>-</v>
      </c>
      <c r="R186" s="62" t="str">
        <f t="shared" si="77"/>
        <v>-</v>
      </c>
      <c r="S186" s="62" t="str">
        <f t="shared" si="78"/>
        <v>-</v>
      </c>
      <c r="T186" s="62" t="str">
        <f t="shared" si="79"/>
        <v>-</v>
      </c>
      <c r="V186" s="32">
        <f t="shared" si="80"/>
        <v>6</v>
      </c>
      <c r="Z186" s="25">
        <v>1</v>
      </c>
      <c r="AA186" s="54">
        <f t="shared" si="81"/>
        <v>0</v>
      </c>
      <c r="AB186" s="54">
        <f t="shared" si="82"/>
        <v>0</v>
      </c>
      <c r="AC186" s="54">
        <f t="shared" si="83"/>
        <v>0</v>
      </c>
      <c r="AD186" s="54">
        <f t="shared" si="84"/>
        <v>0</v>
      </c>
      <c r="AE186" s="54">
        <f t="shared" si="85"/>
        <v>0</v>
      </c>
      <c r="AG186" s="32">
        <f t="shared" si="86"/>
        <v>5</v>
      </c>
      <c r="AK186" s="25">
        <v>1</v>
      </c>
      <c r="AL186" s="54">
        <f t="shared" si="87"/>
        <v>0</v>
      </c>
      <c r="AM186" s="54">
        <f t="shared" si="88"/>
        <v>0</v>
      </c>
      <c r="AN186" s="54">
        <f t="shared" si="89"/>
        <v>0</v>
      </c>
      <c r="AO186" s="54">
        <f t="shared" si="90"/>
        <v>0</v>
      </c>
      <c r="AP186" s="54">
        <f t="shared" si="91"/>
        <v>0</v>
      </c>
      <c r="AR186" s="32">
        <f t="shared" si="92"/>
        <v>4</v>
      </c>
      <c r="AV186" s="25">
        <v>1</v>
      </c>
      <c r="AW186" s="54">
        <f t="shared" si="93"/>
        <v>0</v>
      </c>
      <c r="AX186" s="54">
        <f t="shared" si="94"/>
        <v>0</v>
      </c>
      <c r="AY186" s="54">
        <f t="shared" si="95"/>
        <v>0</v>
      </c>
      <c r="AZ186" s="54">
        <f t="shared" si="96"/>
        <v>0</v>
      </c>
      <c r="BA186" s="54">
        <f t="shared" si="97"/>
        <v>0</v>
      </c>
      <c r="BC186" s="32">
        <f t="shared" si="98"/>
        <v>3</v>
      </c>
      <c r="BG186" s="25">
        <v>1</v>
      </c>
      <c r="BH186" s="54">
        <f t="shared" si="99"/>
        <v>0</v>
      </c>
      <c r="BI186" s="54">
        <f t="shared" si="100"/>
        <v>0</v>
      </c>
      <c r="BJ186" s="54">
        <f t="shared" si="101"/>
        <v>0</v>
      </c>
      <c r="BK186" s="54">
        <f t="shared" si="102"/>
        <v>0</v>
      </c>
      <c r="BL186" s="54">
        <f t="shared" si="103"/>
        <v>0</v>
      </c>
      <c r="BN186" s="25">
        <f t="shared" si="104"/>
        <v>1</v>
      </c>
      <c r="BS186" s="39"/>
      <c r="BT186" s="39"/>
      <c r="BU186" s="39"/>
      <c r="BV186" s="39"/>
      <c r="BW186" s="39"/>
    </row>
    <row r="187" spans="3:75" x14ac:dyDescent="0.25">
      <c r="C187" s="62" t="str">
        <f t="shared" si="70"/>
        <v>-</v>
      </c>
      <c r="D187" s="62" t="str">
        <f t="shared" si="71"/>
        <v>-</v>
      </c>
      <c r="E187" s="62" t="str">
        <f t="shared" si="72"/>
        <v>-</v>
      </c>
      <c r="F187" s="62" t="str">
        <f t="shared" si="73"/>
        <v>-</v>
      </c>
      <c r="G187" s="62" t="str">
        <f t="shared" si="74"/>
        <v>-</v>
      </c>
      <c r="J187" s="17" t="s">
        <v>41</v>
      </c>
      <c r="K187" s="32" t="s">
        <v>65</v>
      </c>
      <c r="L187" s="32" t="s">
        <v>91</v>
      </c>
      <c r="M187" s="32" t="s">
        <v>111</v>
      </c>
      <c r="N187" s="32"/>
      <c r="O187" s="25">
        <v>1</v>
      </c>
      <c r="P187" s="62">
        <f t="shared" si="75"/>
        <v>1</v>
      </c>
      <c r="Q187" s="62" t="str">
        <f t="shared" si="76"/>
        <v>-</v>
      </c>
      <c r="R187" s="62" t="str">
        <f t="shared" si="77"/>
        <v>-</v>
      </c>
      <c r="S187" s="62" t="str">
        <f t="shared" si="78"/>
        <v>-</v>
      </c>
      <c r="T187" s="62" t="str">
        <f t="shared" si="79"/>
        <v>-</v>
      </c>
      <c r="V187" s="32">
        <f t="shared" si="80"/>
        <v>6</v>
      </c>
      <c r="Z187" s="25">
        <v>1</v>
      </c>
      <c r="AA187" s="54">
        <f t="shared" si="81"/>
        <v>0</v>
      </c>
      <c r="AB187" s="54">
        <f t="shared" si="82"/>
        <v>0</v>
      </c>
      <c r="AC187" s="54">
        <f t="shared" si="83"/>
        <v>0</v>
      </c>
      <c r="AD187" s="54">
        <f t="shared" si="84"/>
        <v>0</v>
      </c>
      <c r="AE187" s="54">
        <f t="shared" si="85"/>
        <v>0</v>
      </c>
      <c r="AG187" s="32">
        <f t="shared" si="86"/>
        <v>5</v>
      </c>
      <c r="AK187" s="25">
        <v>1</v>
      </c>
      <c r="AL187" s="54">
        <f t="shared" si="87"/>
        <v>0</v>
      </c>
      <c r="AM187" s="54">
        <f t="shared" si="88"/>
        <v>0</v>
      </c>
      <c r="AN187" s="54">
        <f t="shared" si="89"/>
        <v>0</v>
      </c>
      <c r="AO187" s="54">
        <f t="shared" si="90"/>
        <v>0</v>
      </c>
      <c r="AP187" s="54">
        <f t="shared" si="91"/>
        <v>0</v>
      </c>
      <c r="AR187" s="32">
        <f t="shared" si="92"/>
        <v>4</v>
      </c>
      <c r="AV187" s="25">
        <v>1</v>
      </c>
      <c r="AW187" s="54">
        <f t="shared" si="93"/>
        <v>0</v>
      </c>
      <c r="AX187" s="54">
        <f t="shared" si="94"/>
        <v>0</v>
      </c>
      <c r="AY187" s="54">
        <f t="shared" si="95"/>
        <v>0</v>
      </c>
      <c r="AZ187" s="54">
        <f t="shared" si="96"/>
        <v>0</v>
      </c>
      <c r="BA187" s="54">
        <f t="shared" si="97"/>
        <v>0</v>
      </c>
      <c r="BC187" s="32">
        <f t="shared" si="98"/>
        <v>3</v>
      </c>
      <c r="BG187" s="25">
        <v>1</v>
      </c>
      <c r="BH187" s="54">
        <f t="shared" si="99"/>
        <v>0</v>
      </c>
      <c r="BI187" s="54">
        <f t="shared" si="100"/>
        <v>0</v>
      </c>
      <c r="BJ187" s="54">
        <f t="shared" si="101"/>
        <v>0</v>
      </c>
      <c r="BK187" s="54">
        <f t="shared" si="102"/>
        <v>0</v>
      </c>
      <c r="BL187" s="54">
        <f t="shared" si="103"/>
        <v>0</v>
      </c>
      <c r="BN187" s="25">
        <f t="shared" si="104"/>
        <v>1</v>
      </c>
      <c r="BS187" s="39"/>
      <c r="BT187" s="39"/>
      <c r="BU187" s="39"/>
      <c r="BV187" s="39"/>
      <c r="BW187" s="39"/>
    </row>
    <row r="188" spans="3:75" x14ac:dyDescent="0.25">
      <c r="C188" s="62" t="str">
        <f t="shared" si="70"/>
        <v>-</v>
      </c>
      <c r="D188" s="62" t="str">
        <f t="shared" si="71"/>
        <v>-</v>
      </c>
      <c r="E188" s="62" t="str">
        <f t="shared" si="72"/>
        <v>-</v>
      </c>
      <c r="F188" s="62" t="str">
        <f t="shared" si="73"/>
        <v>-</v>
      </c>
      <c r="G188" s="62" t="str">
        <f t="shared" si="74"/>
        <v>-</v>
      </c>
      <c r="J188" s="17" t="s">
        <v>41</v>
      </c>
      <c r="K188" s="32" t="s">
        <v>65</v>
      </c>
      <c r="L188" s="32" t="s">
        <v>114</v>
      </c>
      <c r="M188" s="32" t="s">
        <v>112</v>
      </c>
      <c r="N188" s="32"/>
      <c r="O188" s="25">
        <v>1</v>
      </c>
      <c r="P188" s="62">
        <f t="shared" si="75"/>
        <v>1</v>
      </c>
      <c r="Q188" s="62" t="str">
        <f t="shared" si="76"/>
        <v>-</v>
      </c>
      <c r="R188" s="62" t="str">
        <f t="shared" si="77"/>
        <v>-</v>
      </c>
      <c r="S188" s="62" t="str">
        <f t="shared" si="78"/>
        <v>-</v>
      </c>
      <c r="T188" s="62" t="str">
        <f t="shared" si="79"/>
        <v>-</v>
      </c>
      <c r="V188" s="32">
        <f t="shared" si="80"/>
        <v>6</v>
      </c>
      <c r="Z188" s="25">
        <v>1</v>
      </c>
      <c r="AA188" s="54">
        <f t="shared" si="81"/>
        <v>0</v>
      </c>
      <c r="AB188" s="54">
        <f t="shared" si="82"/>
        <v>0</v>
      </c>
      <c r="AC188" s="54">
        <f t="shared" si="83"/>
        <v>0</v>
      </c>
      <c r="AD188" s="54">
        <f t="shared" si="84"/>
        <v>0</v>
      </c>
      <c r="AE188" s="54">
        <f t="shared" si="85"/>
        <v>0</v>
      </c>
      <c r="AG188" s="32">
        <f t="shared" si="86"/>
        <v>5</v>
      </c>
      <c r="AK188" s="25">
        <v>1</v>
      </c>
      <c r="AL188" s="54">
        <f t="shared" si="87"/>
        <v>0</v>
      </c>
      <c r="AM188" s="54">
        <f t="shared" si="88"/>
        <v>0</v>
      </c>
      <c r="AN188" s="54">
        <f t="shared" si="89"/>
        <v>0</v>
      </c>
      <c r="AO188" s="54">
        <f t="shared" si="90"/>
        <v>0</v>
      </c>
      <c r="AP188" s="54">
        <f t="shared" si="91"/>
        <v>0</v>
      </c>
      <c r="AR188" s="32">
        <f t="shared" si="92"/>
        <v>4</v>
      </c>
      <c r="AV188" s="25">
        <v>1</v>
      </c>
      <c r="AW188" s="54">
        <f t="shared" si="93"/>
        <v>0</v>
      </c>
      <c r="AX188" s="54">
        <f t="shared" si="94"/>
        <v>0</v>
      </c>
      <c r="AY188" s="54">
        <f t="shared" si="95"/>
        <v>0</v>
      </c>
      <c r="AZ188" s="54">
        <f t="shared" si="96"/>
        <v>0</v>
      </c>
      <c r="BA188" s="54">
        <f t="shared" si="97"/>
        <v>0</v>
      </c>
      <c r="BC188" s="32">
        <f t="shared" si="98"/>
        <v>3</v>
      </c>
      <c r="BG188" s="25">
        <v>1</v>
      </c>
      <c r="BH188" s="54">
        <f t="shared" si="99"/>
        <v>0</v>
      </c>
      <c r="BI188" s="54">
        <f t="shared" si="100"/>
        <v>0</v>
      </c>
      <c r="BJ188" s="54">
        <f t="shared" si="101"/>
        <v>0</v>
      </c>
      <c r="BK188" s="54">
        <f t="shared" si="102"/>
        <v>0</v>
      </c>
      <c r="BL188" s="54">
        <f t="shared" si="103"/>
        <v>0</v>
      </c>
      <c r="BN188" s="25">
        <f t="shared" si="104"/>
        <v>1</v>
      </c>
      <c r="BS188" s="39"/>
      <c r="BT188" s="39"/>
      <c r="BU188" s="39"/>
      <c r="BV188" s="39"/>
      <c r="BW188" s="39"/>
    </row>
    <row r="189" spans="3:75" x14ac:dyDescent="0.25">
      <c r="C189" s="62" t="str">
        <f t="shared" si="70"/>
        <v>-</v>
      </c>
      <c r="D189" s="62" t="str">
        <f t="shared" si="71"/>
        <v>-</v>
      </c>
      <c r="E189" s="62" t="str">
        <f t="shared" si="72"/>
        <v>-</v>
      </c>
      <c r="F189" s="62" t="str">
        <f t="shared" si="73"/>
        <v>-</v>
      </c>
      <c r="G189" s="62" t="str">
        <f t="shared" si="74"/>
        <v>-</v>
      </c>
      <c r="J189" s="17" t="s">
        <v>41</v>
      </c>
      <c r="K189" s="32" t="s">
        <v>83</v>
      </c>
      <c r="M189" s="40" t="s">
        <v>119</v>
      </c>
      <c r="O189" s="25">
        <v>1</v>
      </c>
      <c r="P189" s="62" t="str">
        <f t="shared" si="75"/>
        <v>-</v>
      </c>
      <c r="Q189" s="62" t="str">
        <f t="shared" si="76"/>
        <v>-</v>
      </c>
      <c r="R189" s="62">
        <f t="shared" si="77"/>
        <v>2</v>
      </c>
      <c r="S189" s="62">
        <f t="shared" si="78"/>
        <v>1</v>
      </c>
      <c r="T189" s="62" t="str">
        <f t="shared" si="79"/>
        <v>-</v>
      </c>
      <c r="V189" s="32">
        <f t="shared" si="80"/>
        <v>6</v>
      </c>
      <c r="Z189" s="25">
        <v>1</v>
      </c>
      <c r="AA189" s="54">
        <f t="shared" si="81"/>
        <v>0</v>
      </c>
      <c r="AB189" s="54">
        <f t="shared" si="82"/>
        <v>0</v>
      </c>
      <c r="AC189" s="54">
        <f t="shared" si="83"/>
        <v>0</v>
      </c>
      <c r="AD189" s="54">
        <f t="shared" si="84"/>
        <v>0</v>
      </c>
      <c r="AE189" s="54">
        <f t="shared" si="85"/>
        <v>0</v>
      </c>
      <c r="AG189" s="32">
        <f t="shared" si="86"/>
        <v>5</v>
      </c>
      <c r="AK189" s="25">
        <v>1</v>
      </c>
      <c r="AL189" s="54">
        <f t="shared" si="87"/>
        <v>0</v>
      </c>
      <c r="AM189" s="54">
        <f t="shared" si="88"/>
        <v>0</v>
      </c>
      <c r="AN189" s="54">
        <f t="shared" si="89"/>
        <v>0</v>
      </c>
      <c r="AO189" s="54">
        <f t="shared" si="90"/>
        <v>0</v>
      </c>
      <c r="AP189" s="54">
        <f t="shared" si="91"/>
        <v>0</v>
      </c>
      <c r="AR189" s="32">
        <f t="shared" si="92"/>
        <v>4</v>
      </c>
      <c r="AV189" s="25">
        <v>1</v>
      </c>
      <c r="AW189" s="54">
        <f t="shared" si="93"/>
        <v>0</v>
      </c>
      <c r="AX189" s="54">
        <f t="shared" si="94"/>
        <v>0</v>
      </c>
      <c r="AY189" s="54">
        <f t="shared" si="95"/>
        <v>0</v>
      </c>
      <c r="AZ189" s="54">
        <f t="shared" si="96"/>
        <v>0</v>
      </c>
      <c r="BA189" s="54">
        <f t="shared" si="97"/>
        <v>0</v>
      </c>
      <c r="BC189" s="32">
        <f t="shared" si="98"/>
        <v>3</v>
      </c>
      <c r="BG189" s="25">
        <v>1</v>
      </c>
      <c r="BH189" s="54">
        <f t="shared" si="99"/>
        <v>0</v>
      </c>
      <c r="BI189" s="54">
        <f t="shared" si="100"/>
        <v>0</v>
      </c>
      <c r="BJ189" s="54">
        <f t="shared" si="101"/>
        <v>0</v>
      </c>
      <c r="BK189" s="54">
        <f t="shared" si="102"/>
        <v>0</v>
      </c>
      <c r="BL189" s="54">
        <f t="shared" si="103"/>
        <v>0</v>
      </c>
      <c r="BN189" s="25">
        <f t="shared" si="104"/>
        <v>1</v>
      </c>
      <c r="BS189" s="39"/>
      <c r="BT189" s="39"/>
      <c r="BU189" s="39"/>
      <c r="BV189" s="39"/>
      <c r="BW189" s="39"/>
    </row>
    <row r="190" spans="3:75" x14ac:dyDescent="0.25">
      <c r="C190" s="62" t="str">
        <f t="shared" si="70"/>
        <v>-</v>
      </c>
      <c r="D190" s="62" t="str">
        <f t="shared" si="71"/>
        <v>-</v>
      </c>
      <c r="E190" s="62" t="str">
        <f t="shared" si="72"/>
        <v>-</v>
      </c>
      <c r="F190" s="62" t="str">
        <f t="shared" si="73"/>
        <v>-</v>
      </c>
      <c r="G190" s="62" t="str">
        <f t="shared" si="74"/>
        <v>-</v>
      </c>
      <c r="J190" s="17" t="s">
        <v>41</v>
      </c>
      <c r="K190" s="32" t="s">
        <v>83</v>
      </c>
      <c r="M190" s="40" t="s">
        <v>120</v>
      </c>
      <c r="O190" s="25">
        <v>1</v>
      </c>
      <c r="P190" s="62" t="str">
        <f t="shared" si="75"/>
        <v>-</v>
      </c>
      <c r="Q190" s="62" t="str">
        <f t="shared" si="76"/>
        <v>-</v>
      </c>
      <c r="R190" s="62">
        <f t="shared" si="77"/>
        <v>2</v>
      </c>
      <c r="S190" s="62">
        <f t="shared" si="78"/>
        <v>1</v>
      </c>
      <c r="T190" s="62" t="str">
        <f t="shared" si="79"/>
        <v>-</v>
      </c>
      <c r="V190" s="32">
        <f t="shared" si="80"/>
        <v>6</v>
      </c>
      <c r="Z190" s="25">
        <v>1</v>
      </c>
      <c r="AA190" s="54">
        <f t="shared" si="81"/>
        <v>0</v>
      </c>
      <c r="AB190" s="54">
        <f t="shared" si="82"/>
        <v>0</v>
      </c>
      <c r="AC190" s="54">
        <f t="shared" si="83"/>
        <v>0</v>
      </c>
      <c r="AD190" s="54">
        <f t="shared" si="84"/>
        <v>0</v>
      </c>
      <c r="AE190" s="54">
        <f t="shared" si="85"/>
        <v>0</v>
      </c>
      <c r="AG190" s="32">
        <f t="shared" si="86"/>
        <v>5</v>
      </c>
      <c r="AK190" s="25">
        <v>1</v>
      </c>
      <c r="AL190" s="54">
        <f t="shared" si="87"/>
        <v>0</v>
      </c>
      <c r="AM190" s="54">
        <f t="shared" si="88"/>
        <v>0</v>
      </c>
      <c r="AN190" s="54">
        <f t="shared" si="89"/>
        <v>0</v>
      </c>
      <c r="AO190" s="54">
        <f t="shared" si="90"/>
        <v>0</v>
      </c>
      <c r="AP190" s="54">
        <f t="shared" si="91"/>
        <v>0</v>
      </c>
      <c r="AR190" s="32">
        <f t="shared" si="92"/>
        <v>4</v>
      </c>
      <c r="AV190" s="25">
        <v>1</v>
      </c>
      <c r="AW190" s="54">
        <f t="shared" si="93"/>
        <v>0</v>
      </c>
      <c r="AX190" s="54">
        <f t="shared" si="94"/>
        <v>0</v>
      </c>
      <c r="AY190" s="54">
        <f t="shared" si="95"/>
        <v>0</v>
      </c>
      <c r="AZ190" s="54">
        <f t="shared" si="96"/>
        <v>0</v>
      </c>
      <c r="BA190" s="54">
        <f t="shared" si="97"/>
        <v>0</v>
      </c>
      <c r="BC190" s="32">
        <f t="shared" si="98"/>
        <v>3</v>
      </c>
      <c r="BG190" s="25">
        <v>1</v>
      </c>
      <c r="BH190" s="54">
        <f t="shared" si="99"/>
        <v>0</v>
      </c>
      <c r="BI190" s="54">
        <f t="shared" si="100"/>
        <v>0</v>
      </c>
      <c r="BJ190" s="54">
        <f t="shared" si="101"/>
        <v>0</v>
      </c>
      <c r="BK190" s="54">
        <f t="shared" si="102"/>
        <v>0</v>
      </c>
      <c r="BL190" s="54">
        <f t="shared" si="103"/>
        <v>0</v>
      </c>
      <c r="BN190" s="25">
        <f t="shared" si="104"/>
        <v>1</v>
      </c>
      <c r="BS190" s="39"/>
      <c r="BT190" s="39"/>
      <c r="BU190" s="39"/>
      <c r="BV190" s="39"/>
      <c r="BW190" s="39"/>
    </row>
    <row r="191" spans="3:75" x14ac:dyDescent="0.25">
      <c r="C191" s="62" t="str">
        <f t="shared" si="70"/>
        <v>-</v>
      </c>
      <c r="D191" s="62" t="str">
        <f t="shared" si="71"/>
        <v>-</v>
      </c>
      <c r="E191" s="62" t="str">
        <f t="shared" si="72"/>
        <v>-</v>
      </c>
      <c r="F191" s="62" t="str">
        <f t="shared" si="73"/>
        <v>-</v>
      </c>
      <c r="G191" s="62" t="str">
        <f t="shared" si="74"/>
        <v>-</v>
      </c>
      <c r="J191" s="17" t="s">
        <v>41</v>
      </c>
      <c r="K191" s="32" t="s">
        <v>83</v>
      </c>
      <c r="M191" s="40" t="s">
        <v>123</v>
      </c>
      <c r="O191" s="25">
        <v>1</v>
      </c>
      <c r="P191" s="62" t="str">
        <f t="shared" si="75"/>
        <v>-</v>
      </c>
      <c r="Q191" s="62" t="str">
        <f t="shared" si="76"/>
        <v>-</v>
      </c>
      <c r="R191" s="62">
        <f t="shared" si="77"/>
        <v>2</v>
      </c>
      <c r="S191" s="62">
        <f t="shared" si="78"/>
        <v>1</v>
      </c>
      <c r="T191" s="62" t="str">
        <f t="shared" si="79"/>
        <v>-</v>
      </c>
      <c r="V191" s="32">
        <f t="shared" si="80"/>
        <v>6</v>
      </c>
      <c r="Z191" s="25">
        <v>1</v>
      </c>
      <c r="AA191" s="54">
        <f t="shared" si="81"/>
        <v>0</v>
      </c>
      <c r="AB191" s="54">
        <f t="shared" si="82"/>
        <v>0</v>
      </c>
      <c r="AC191" s="54">
        <f t="shared" si="83"/>
        <v>0</v>
      </c>
      <c r="AD191" s="54">
        <f t="shared" si="84"/>
        <v>0</v>
      </c>
      <c r="AE191" s="54">
        <f t="shared" si="85"/>
        <v>0</v>
      </c>
      <c r="AG191" s="32">
        <f t="shared" si="86"/>
        <v>5</v>
      </c>
      <c r="AK191" s="25">
        <v>1</v>
      </c>
      <c r="AL191" s="54">
        <f t="shared" si="87"/>
        <v>0</v>
      </c>
      <c r="AM191" s="54">
        <f t="shared" si="88"/>
        <v>0</v>
      </c>
      <c r="AN191" s="54">
        <f t="shared" si="89"/>
        <v>0</v>
      </c>
      <c r="AO191" s="54">
        <f t="shared" si="90"/>
        <v>0</v>
      </c>
      <c r="AP191" s="54">
        <f t="shared" si="91"/>
        <v>0</v>
      </c>
      <c r="AR191" s="32">
        <f t="shared" si="92"/>
        <v>4</v>
      </c>
      <c r="AV191" s="25">
        <v>1</v>
      </c>
      <c r="AW191" s="54">
        <f t="shared" si="93"/>
        <v>0</v>
      </c>
      <c r="AX191" s="54">
        <f t="shared" si="94"/>
        <v>0</v>
      </c>
      <c r="AY191" s="54">
        <f t="shared" si="95"/>
        <v>0</v>
      </c>
      <c r="AZ191" s="54">
        <f t="shared" si="96"/>
        <v>0</v>
      </c>
      <c r="BA191" s="54">
        <f t="shared" si="97"/>
        <v>0</v>
      </c>
      <c r="BC191" s="32">
        <f t="shared" si="98"/>
        <v>3</v>
      </c>
      <c r="BG191" s="25">
        <v>1</v>
      </c>
      <c r="BH191" s="54">
        <f t="shared" si="99"/>
        <v>0</v>
      </c>
      <c r="BI191" s="54">
        <f t="shared" si="100"/>
        <v>0</v>
      </c>
      <c r="BJ191" s="54">
        <f t="shared" si="101"/>
        <v>0</v>
      </c>
      <c r="BK191" s="54">
        <f t="shared" si="102"/>
        <v>0</v>
      </c>
      <c r="BL191" s="54">
        <f t="shared" si="103"/>
        <v>0</v>
      </c>
      <c r="BN191" s="25">
        <f t="shared" si="104"/>
        <v>1</v>
      </c>
      <c r="BS191" s="39"/>
      <c r="BT191" s="39"/>
      <c r="BU191" s="39"/>
      <c r="BV191" s="39"/>
      <c r="BW191" s="39"/>
    </row>
    <row r="192" spans="3:75" x14ac:dyDescent="0.25">
      <c r="C192" s="62" t="str">
        <f t="shared" si="70"/>
        <v>-</v>
      </c>
      <c r="D192" s="62" t="str">
        <f t="shared" si="71"/>
        <v>-</v>
      </c>
      <c r="E192" s="62" t="str">
        <f t="shared" si="72"/>
        <v>-</v>
      </c>
      <c r="F192" s="62" t="str">
        <f t="shared" si="73"/>
        <v>-</v>
      </c>
      <c r="G192" s="62" t="str">
        <f t="shared" si="74"/>
        <v>-</v>
      </c>
      <c r="J192" s="17" t="s">
        <v>41</v>
      </c>
      <c r="K192" s="32" t="s">
        <v>83</v>
      </c>
      <c r="M192" s="40" t="s">
        <v>122</v>
      </c>
      <c r="O192" s="25">
        <v>1</v>
      </c>
      <c r="P192" s="62" t="str">
        <f t="shared" si="75"/>
        <v>-</v>
      </c>
      <c r="Q192" s="62" t="str">
        <f t="shared" si="76"/>
        <v>-</v>
      </c>
      <c r="R192" s="62">
        <f t="shared" si="77"/>
        <v>2</v>
      </c>
      <c r="S192" s="62">
        <f t="shared" si="78"/>
        <v>1</v>
      </c>
      <c r="T192" s="62" t="str">
        <f t="shared" si="79"/>
        <v>-</v>
      </c>
      <c r="V192" s="32">
        <f t="shared" si="80"/>
        <v>6</v>
      </c>
      <c r="Z192" s="25">
        <v>1</v>
      </c>
      <c r="AA192" s="54">
        <f t="shared" si="81"/>
        <v>0</v>
      </c>
      <c r="AB192" s="54">
        <f t="shared" si="82"/>
        <v>0</v>
      </c>
      <c r="AC192" s="54">
        <f t="shared" si="83"/>
        <v>0</v>
      </c>
      <c r="AD192" s="54">
        <f t="shared" si="84"/>
        <v>0</v>
      </c>
      <c r="AE192" s="54">
        <f t="shared" si="85"/>
        <v>0</v>
      </c>
      <c r="AG192" s="32">
        <f t="shared" si="86"/>
        <v>5</v>
      </c>
      <c r="AK192" s="25">
        <v>1</v>
      </c>
      <c r="AL192" s="54">
        <f t="shared" si="87"/>
        <v>0</v>
      </c>
      <c r="AM192" s="54">
        <f t="shared" si="88"/>
        <v>0</v>
      </c>
      <c r="AN192" s="54">
        <f t="shared" si="89"/>
        <v>0</v>
      </c>
      <c r="AO192" s="54">
        <f t="shared" si="90"/>
        <v>0</v>
      </c>
      <c r="AP192" s="54">
        <f t="shared" si="91"/>
        <v>0</v>
      </c>
      <c r="AR192" s="32">
        <f t="shared" si="92"/>
        <v>4</v>
      </c>
      <c r="AV192" s="25">
        <v>1</v>
      </c>
      <c r="AW192" s="54">
        <f t="shared" si="93"/>
        <v>0</v>
      </c>
      <c r="AX192" s="54">
        <f t="shared" si="94"/>
        <v>0</v>
      </c>
      <c r="AY192" s="54">
        <f t="shared" si="95"/>
        <v>0</v>
      </c>
      <c r="AZ192" s="54">
        <f t="shared" si="96"/>
        <v>0</v>
      </c>
      <c r="BA192" s="54">
        <f t="shared" si="97"/>
        <v>0</v>
      </c>
      <c r="BC192" s="32">
        <f t="shared" si="98"/>
        <v>3</v>
      </c>
      <c r="BG192" s="25">
        <v>1</v>
      </c>
      <c r="BH192" s="54">
        <f t="shared" si="99"/>
        <v>0</v>
      </c>
      <c r="BI192" s="54">
        <f t="shared" si="100"/>
        <v>0</v>
      </c>
      <c r="BJ192" s="54">
        <f t="shared" si="101"/>
        <v>0</v>
      </c>
      <c r="BK192" s="54">
        <f t="shared" si="102"/>
        <v>0</v>
      </c>
      <c r="BL192" s="54">
        <f t="shared" si="103"/>
        <v>0</v>
      </c>
      <c r="BN192" s="25">
        <f t="shared" si="104"/>
        <v>1</v>
      </c>
      <c r="BS192" s="39"/>
      <c r="BT192" s="39"/>
      <c r="BU192" s="39"/>
      <c r="BV192" s="39"/>
      <c r="BW192" s="39"/>
    </row>
    <row r="193" spans="3:75" x14ac:dyDescent="0.25">
      <c r="C193" s="62" t="str">
        <f t="shared" si="70"/>
        <v>-</v>
      </c>
      <c r="D193" s="62" t="str">
        <f t="shared" si="71"/>
        <v>-</v>
      </c>
      <c r="E193" s="62" t="str">
        <f t="shared" si="72"/>
        <v>-</v>
      </c>
      <c r="F193" s="62" t="str">
        <f t="shared" si="73"/>
        <v>-</v>
      </c>
      <c r="G193" s="62" t="str">
        <f t="shared" si="74"/>
        <v>-</v>
      </c>
      <c r="J193" s="17" t="s">
        <v>41</v>
      </c>
      <c r="K193" s="32" t="s">
        <v>83</v>
      </c>
      <c r="M193" s="40" t="s">
        <v>121</v>
      </c>
      <c r="O193" s="25">
        <v>1</v>
      </c>
      <c r="P193" s="62" t="str">
        <f t="shared" si="75"/>
        <v>-</v>
      </c>
      <c r="Q193" s="62" t="str">
        <f t="shared" si="76"/>
        <v>-</v>
      </c>
      <c r="R193" s="62">
        <f t="shared" si="77"/>
        <v>2</v>
      </c>
      <c r="S193" s="62">
        <f t="shared" si="78"/>
        <v>1</v>
      </c>
      <c r="T193" s="62" t="str">
        <f t="shared" si="79"/>
        <v>-</v>
      </c>
      <c r="V193" s="32">
        <f t="shared" si="80"/>
        <v>6</v>
      </c>
      <c r="Z193" s="25">
        <v>1</v>
      </c>
      <c r="AA193" s="54">
        <f t="shared" si="81"/>
        <v>0</v>
      </c>
      <c r="AB193" s="54">
        <f t="shared" si="82"/>
        <v>0</v>
      </c>
      <c r="AC193" s="54">
        <f t="shared" si="83"/>
        <v>0</v>
      </c>
      <c r="AD193" s="54">
        <f t="shared" si="84"/>
        <v>0</v>
      </c>
      <c r="AE193" s="54">
        <f t="shared" si="85"/>
        <v>0</v>
      </c>
      <c r="AG193" s="32">
        <f t="shared" si="86"/>
        <v>5</v>
      </c>
      <c r="AK193" s="25">
        <v>1</v>
      </c>
      <c r="AL193" s="54">
        <f t="shared" si="87"/>
        <v>0</v>
      </c>
      <c r="AM193" s="54">
        <f t="shared" si="88"/>
        <v>0</v>
      </c>
      <c r="AN193" s="54">
        <f t="shared" si="89"/>
        <v>0</v>
      </c>
      <c r="AO193" s="54">
        <f t="shared" si="90"/>
        <v>0</v>
      </c>
      <c r="AP193" s="54">
        <f t="shared" si="91"/>
        <v>0</v>
      </c>
      <c r="AR193" s="32">
        <f t="shared" si="92"/>
        <v>4</v>
      </c>
      <c r="AV193" s="25">
        <v>1</v>
      </c>
      <c r="AW193" s="54">
        <f t="shared" si="93"/>
        <v>0</v>
      </c>
      <c r="AX193" s="54">
        <f t="shared" si="94"/>
        <v>0</v>
      </c>
      <c r="AY193" s="54">
        <f t="shared" si="95"/>
        <v>0</v>
      </c>
      <c r="AZ193" s="54">
        <f t="shared" si="96"/>
        <v>0</v>
      </c>
      <c r="BA193" s="54">
        <f t="shared" si="97"/>
        <v>0</v>
      </c>
      <c r="BC193" s="32">
        <f t="shared" si="98"/>
        <v>3</v>
      </c>
      <c r="BG193" s="25">
        <v>1</v>
      </c>
      <c r="BH193" s="54">
        <f t="shared" si="99"/>
        <v>0</v>
      </c>
      <c r="BI193" s="54">
        <f t="shared" si="100"/>
        <v>0</v>
      </c>
      <c r="BJ193" s="54">
        <f t="shared" si="101"/>
        <v>0</v>
      </c>
      <c r="BK193" s="54">
        <f t="shared" si="102"/>
        <v>0</v>
      </c>
      <c r="BL193" s="54">
        <f t="shared" si="103"/>
        <v>0</v>
      </c>
      <c r="BN193" s="25">
        <f t="shared" si="104"/>
        <v>1</v>
      </c>
      <c r="BS193" s="39"/>
      <c r="BT193" s="39"/>
      <c r="BU193" s="39"/>
      <c r="BV193" s="39"/>
      <c r="BW193" s="39"/>
    </row>
    <row r="194" spans="3:75" x14ac:dyDescent="0.25">
      <c r="C194" s="62" t="str">
        <f t="shared" si="70"/>
        <v>-</v>
      </c>
      <c r="D194" s="62" t="str">
        <f t="shared" si="71"/>
        <v>-</v>
      </c>
      <c r="E194" s="62" t="str">
        <f t="shared" si="72"/>
        <v>-</v>
      </c>
      <c r="F194" s="62" t="str">
        <f t="shared" si="73"/>
        <v>-</v>
      </c>
      <c r="G194" s="62" t="str">
        <f t="shared" si="74"/>
        <v>-</v>
      </c>
      <c r="J194" s="17" t="s">
        <v>118</v>
      </c>
      <c r="K194" s="32" t="s">
        <v>58</v>
      </c>
      <c r="M194" s="32" t="s">
        <v>116</v>
      </c>
      <c r="N194" s="32"/>
      <c r="O194" s="25">
        <v>2</v>
      </c>
      <c r="P194" s="62">
        <f t="shared" si="75"/>
        <v>2</v>
      </c>
      <c r="Q194" s="62">
        <f t="shared" si="76"/>
        <v>2</v>
      </c>
      <c r="R194" s="62" t="str">
        <f t="shared" si="77"/>
        <v>-</v>
      </c>
      <c r="S194" s="62" t="str">
        <f t="shared" si="78"/>
        <v>-</v>
      </c>
      <c r="T194" s="62" t="str">
        <f t="shared" si="79"/>
        <v>-</v>
      </c>
      <c r="V194" s="32">
        <f t="shared" si="80"/>
        <v>6</v>
      </c>
      <c r="Z194" s="25">
        <v>1</v>
      </c>
      <c r="AA194" s="54">
        <f t="shared" si="81"/>
        <v>0</v>
      </c>
      <c r="AB194" s="54">
        <f t="shared" si="82"/>
        <v>0</v>
      </c>
      <c r="AC194" s="54">
        <f t="shared" si="83"/>
        <v>0</v>
      </c>
      <c r="AD194" s="54">
        <f t="shared" si="84"/>
        <v>0</v>
      </c>
      <c r="AE194" s="54">
        <f t="shared" si="85"/>
        <v>0</v>
      </c>
      <c r="AG194" s="32">
        <f t="shared" si="86"/>
        <v>5</v>
      </c>
      <c r="AK194" s="25">
        <v>1</v>
      </c>
      <c r="AL194" s="54">
        <f t="shared" si="87"/>
        <v>0</v>
      </c>
      <c r="AM194" s="54">
        <f t="shared" si="88"/>
        <v>0</v>
      </c>
      <c r="AN194" s="54">
        <f t="shared" si="89"/>
        <v>0</v>
      </c>
      <c r="AO194" s="54">
        <f t="shared" si="90"/>
        <v>0</v>
      </c>
      <c r="AP194" s="54">
        <f t="shared" si="91"/>
        <v>0</v>
      </c>
      <c r="AR194" s="32">
        <f t="shared" si="92"/>
        <v>4</v>
      </c>
      <c r="AV194" s="25">
        <v>1</v>
      </c>
      <c r="AW194" s="54">
        <f t="shared" si="93"/>
        <v>0</v>
      </c>
      <c r="AX194" s="54">
        <f t="shared" si="94"/>
        <v>0</v>
      </c>
      <c r="AY194" s="54">
        <f t="shared" si="95"/>
        <v>0</v>
      </c>
      <c r="AZ194" s="54">
        <f t="shared" si="96"/>
        <v>0</v>
      </c>
      <c r="BA194" s="54">
        <f t="shared" si="97"/>
        <v>0</v>
      </c>
      <c r="BC194" s="32">
        <f t="shared" si="98"/>
        <v>3</v>
      </c>
      <c r="BG194" s="25">
        <v>1</v>
      </c>
      <c r="BH194" s="54">
        <f t="shared" si="99"/>
        <v>0</v>
      </c>
      <c r="BI194" s="54">
        <f t="shared" si="100"/>
        <v>0</v>
      </c>
      <c r="BJ194" s="54">
        <f t="shared" si="101"/>
        <v>0</v>
      </c>
      <c r="BK194" s="54">
        <f t="shared" si="102"/>
        <v>0</v>
      </c>
      <c r="BL194" s="54">
        <f t="shared" si="103"/>
        <v>0</v>
      </c>
      <c r="BN194" s="25">
        <f t="shared" si="104"/>
        <v>1</v>
      </c>
      <c r="BS194" s="39"/>
      <c r="BT194" s="39"/>
      <c r="BU194" s="39"/>
      <c r="BV194" s="39"/>
      <c r="BW194" s="39"/>
    </row>
    <row r="195" spans="3:75" x14ac:dyDescent="0.25">
      <c r="C195" s="62" t="str">
        <f t="shared" ref="C195:C258" si="105">IF($B195&lt;&gt;"",SUMIFS(P:P,$J:$J,$B195),"-")</f>
        <v>-</v>
      </c>
      <c r="D195" s="62" t="str">
        <f t="shared" ref="D195:D258" si="106">IF($B195&lt;&gt;"",SUMIFS(Q:Q,$J:$J,$B195),"-")</f>
        <v>-</v>
      </c>
      <c r="E195" s="62" t="str">
        <f t="shared" ref="E195:E258" si="107">IF($B195&lt;&gt;"",SUMIFS(R:R,$J:$J,$B195),"-")</f>
        <v>-</v>
      </c>
      <c r="F195" s="62" t="str">
        <f t="shared" ref="F195:F258" si="108">IF($B195&lt;&gt;"",SUMIFS(S:S,$J:$J,$B195),"-")</f>
        <v>-</v>
      </c>
      <c r="G195" s="62" t="str">
        <f t="shared" ref="G195:G258" si="109">IF($B195&lt;&gt;"",SUMIFS(T:T,$J:$J,$B195),"-")</f>
        <v>-</v>
      </c>
      <c r="J195" s="17" t="s">
        <v>118</v>
      </c>
      <c r="K195" s="32" t="s">
        <v>66</v>
      </c>
      <c r="L195" s="32" t="s">
        <v>87</v>
      </c>
      <c r="O195" s="25">
        <v>1</v>
      </c>
      <c r="P195" s="62" t="str">
        <f t="shared" ref="P195:P258" si="110">IF(SUMIFS(AA:AA,$W:$W,$K195)&gt;0, SUMIFS(AA:AA,$W:$W,$K195)*$O195,"-")</f>
        <v>-</v>
      </c>
      <c r="Q195" s="62" t="str">
        <f t="shared" ref="Q195:Q258" si="111">IF(SUMIFS(AB:AB,$W:$W,$K195)&gt;0, SUMIFS(AB:AB,$W:$W,$K195)*$O195,"-")</f>
        <v>-</v>
      </c>
      <c r="R195" s="62" t="str">
        <f t="shared" ref="R195:R258" si="112">IF(SUMIFS(AC:AC,$W:$W,$K195)&gt;0, SUMIFS(AC:AC,$W:$W,$K195)*$O195,"-")</f>
        <v>-</v>
      </c>
      <c r="S195" s="62" t="str">
        <f t="shared" ref="S195:S258" si="113">IF(SUMIFS(AD:AD,$W:$W,$K195)&gt;0, SUMIFS(AD:AD,$W:$W,$K195)*$O195,"-")</f>
        <v>-</v>
      </c>
      <c r="T195" s="62">
        <f t="shared" ref="T195:T258" si="114">IF(SUMIFS(AE:AE,$W:$W,$K195)&gt;0, SUMIFS(AE:AE,$W:$W,$K195)*$O195,"-")</f>
        <v>4</v>
      </c>
      <c r="V195" s="32">
        <f t="shared" ref="V195:V258" si="115">IF(ISNA(VLOOKUP(W195,AH:AH,1,FALSE)),V$2+1,V$2)</f>
        <v>6</v>
      </c>
      <c r="Z195" s="25">
        <v>1</v>
      </c>
      <c r="AA195" s="54">
        <f t="shared" ref="AA195:AA258" si="116">SUMIFS(AL:AL,AH:AH,W195)*Z195</f>
        <v>0</v>
      </c>
      <c r="AB195" s="54">
        <f t="shared" ref="AB195:AB258" si="117">SUMIFS(AM:AM,AH:AH,W195)*Z195</f>
        <v>0</v>
      </c>
      <c r="AC195" s="54">
        <f t="shared" ref="AC195:AC258" si="118">SUMIFS(AN:AN,AH:AH,W195)*Z195</f>
        <v>0</v>
      </c>
      <c r="AD195" s="54">
        <f t="shared" ref="AD195:AD258" si="119">SUMIFS(AO:AO,AH:AH,W195)*Z195</f>
        <v>0</v>
      </c>
      <c r="AE195" s="54">
        <f t="shared" ref="AE195:AE258" si="120">SUMIFS(AP:AP,AH:AH,W195)*Z195</f>
        <v>0</v>
      </c>
      <c r="AG195" s="32">
        <f t="shared" ref="AG195:AG258" si="121">IF(ISNA(VLOOKUP(AH195,AS:AS,1,FALSE)),AG$2+1,AG$2)</f>
        <v>5</v>
      </c>
      <c r="AK195" s="25">
        <v>1</v>
      </c>
      <c r="AL195" s="54">
        <f t="shared" ref="AL195:AL258" si="122">SUMIFS(AW:AW,$AS:$AS,$AI195)*$AK195</f>
        <v>0</v>
      </c>
      <c r="AM195" s="54">
        <f t="shared" ref="AM195:AM258" si="123">SUMIFS(AX:AX,$AS:$AS,$AI195)*$AK195</f>
        <v>0</v>
      </c>
      <c r="AN195" s="54">
        <f t="shared" ref="AN195:AN258" si="124">SUMIFS(AY:AY,$AS:$AS,$AI195)*$AK195</f>
        <v>0</v>
      </c>
      <c r="AO195" s="54">
        <f t="shared" ref="AO195:AO258" si="125">SUMIFS(AZ:AZ,$AS:$AS,$AI195)*$AK195</f>
        <v>0</v>
      </c>
      <c r="AP195" s="54">
        <f t="shared" ref="AP195:AP258" si="126">SUMIFS(BA:BA,$AS:$AS,$AI195)*$AK195</f>
        <v>0</v>
      </c>
      <c r="AR195" s="32">
        <f t="shared" ref="AR195:AR258" si="127">IF(ISNA(VLOOKUP(AS195,BD:BD,1,FALSE)),AR$2+1,AR$2)</f>
        <v>4</v>
      </c>
      <c r="AV195" s="25">
        <v>1</v>
      </c>
      <c r="AW195" s="54">
        <f t="shared" ref="AW195:AW258" si="128">SUMIFS(BH:BH,BD:BD,AT195)*AV195</f>
        <v>0</v>
      </c>
      <c r="AX195" s="54">
        <f t="shared" ref="AX195:AX258" si="129">SUMIFS(BI:BI,BD:BD,AT195)*AV195</f>
        <v>0</v>
      </c>
      <c r="AY195" s="54">
        <f t="shared" ref="AY195:AY258" si="130">SUMIFS(BJ:BJ,BD:BD,AT195)*AV195</f>
        <v>0</v>
      </c>
      <c r="AZ195" s="54">
        <f t="shared" ref="AZ195:AZ258" si="131">SUMIFS(BK:BK,BD:BD,AT195)*AV195</f>
        <v>0</v>
      </c>
      <c r="BA195" s="54">
        <f t="shared" ref="BA195:BA258" si="132">SUMIFS(BL:BL,BD:BD,AT195)*AV195</f>
        <v>0</v>
      </c>
      <c r="BC195" s="32">
        <f t="shared" ref="BC195:BC258" si="133">IF(ISNA(VLOOKUP(BD195,BO:BO,1,FALSE)),BC$2+1,BC$2)</f>
        <v>3</v>
      </c>
      <c r="BG195" s="25">
        <v>1</v>
      </c>
      <c r="BH195" s="54">
        <f t="shared" ref="BH195:BH258" si="134">SUMIFS(BS:BS,BO:BO,BE195)*BG195</f>
        <v>0</v>
      </c>
      <c r="BI195" s="54">
        <f t="shared" ref="BI195:BI258" si="135">SUMIFS(BT:BT,BO:BO,BE195)*BG195</f>
        <v>0</v>
      </c>
      <c r="BJ195" s="54">
        <f t="shared" ref="BJ195:BJ258" si="136">SUMIFS(BU:BU,BO:BO,BE195)*BG195</f>
        <v>0</v>
      </c>
      <c r="BK195" s="54">
        <f t="shared" ref="BK195:BK258" si="137">SUMIFS(BV:BV,BO:BO,BE195)*BG195</f>
        <v>0</v>
      </c>
      <c r="BL195" s="54">
        <f t="shared" ref="BL195:BL258" si="138">SUMIFS(BW:BW,BO:BO,BE195)*BG195</f>
        <v>0</v>
      </c>
      <c r="BN195" s="25">
        <f t="shared" si="104"/>
        <v>1</v>
      </c>
      <c r="BS195" s="39"/>
      <c r="BT195" s="39"/>
      <c r="BU195" s="39"/>
      <c r="BV195" s="39"/>
      <c r="BW195" s="39"/>
    </row>
    <row r="196" spans="3:75" x14ac:dyDescent="0.25">
      <c r="C196" s="62" t="str">
        <f t="shared" si="105"/>
        <v>-</v>
      </c>
      <c r="D196" s="62" t="str">
        <f t="shared" si="106"/>
        <v>-</v>
      </c>
      <c r="E196" s="62" t="str">
        <f t="shared" si="107"/>
        <v>-</v>
      </c>
      <c r="F196" s="62" t="str">
        <f t="shared" si="108"/>
        <v>-</v>
      </c>
      <c r="G196" s="62" t="str">
        <f t="shared" si="109"/>
        <v>-</v>
      </c>
      <c r="J196" s="17" t="s">
        <v>118</v>
      </c>
      <c r="K196" s="32" t="s">
        <v>66</v>
      </c>
      <c r="L196" s="32" t="s">
        <v>45</v>
      </c>
      <c r="M196" s="32" t="s">
        <v>117</v>
      </c>
      <c r="N196" s="32"/>
      <c r="O196" s="25">
        <v>3</v>
      </c>
      <c r="P196" s="62" t="str">
        <f t="shared" si="110"/>
        <v>-</v>
      </c>
      <c r="Q196" s="62" t="str">
        <f t="shared" si="111"/>
        <v>-</v>
      </c>
      <c r="R196" s="62" t="str">
        <f t="shared" si="112"/>
        <v>-</v>
      </c>
      <c r="S196" s="62" t="str">
        <f t="shared" si="113"/>
        <v>-</v>
      </c>
      <c r="T196" s="62">
        <f t="shared" si="114"/>
        <v>12</v>
      </c>
      <c r="V196" s="32">
        <f t="shared" si="115"/>
        <v>6</v>
      </c>
      <c r="Z196" s="25">
        <v>1</v>
      </c>
      <c r="AA196" s="54">
        <f t="shared" si="116"/>
        <v>0</v>
      </c>
      <c r="AB196" s="54">
        <f t="shared" si="117"/>
        <v>0</v>
      </c>
      <c r="AC196" s="54">
        <f t="shared" si="118"/>
        <v>0</v>
      </c>
      <c r="AD196" s="54">
        <f t="shared" si="119"/>
        <v>0</v>
      </c>
      <c r="AE196" s="54">
        <f t="shared" si="120"/>
        <v>0</v>
      </c>
      <c r="AG196" s="32">
        <f t="shared" si="121"/>
        <v>5</v>
      </c>
      <c r="AK196" s="25">
        <v>1</v>
      </c>
      <c r="AL196" s="54">
        <f t="shared" si="122"/>
        <v>0</v>
      </c>
      <c r="AM196" s="54">
        <f t="shared" si="123"/>
        <v>0</v>
      </c>
      <c r="AN196" s="54">
        <f t="shared" si="124"/>
        <v>0</v>
      </c>
      <c r="AO196" s="54">
        <f t="shared" si="125"/>
        <v>0</v>
      </c>
      <c r="AP196" s="54">
        <f t="shared" si="126"/>
        <v>0</v>
      </c>
      <c r="AR196" s="32">
        <f t="shared" si="127"/>
        <v>4</v>
      </c>
      <c r="AV196" s="25">
        <v>1</v>
      </c>
      <c r="AW196" s="54">
        <f t="shared" si="128"/>
        <v>0</v>
      </c>
      <c r="AX196" s="54">
        <f t="shared" si="129"/>
        <v>0</v>
      </c>
      <c r="AY196" s="54">
        <f t="shared" si="130"/>
        <v>0</v>
      </c>
      <c r="AZ196" s="54">
        <f t="shared" si="131"/>
        <v>0</v>
      </c>
      <c r="BA196" s="54">
        <f t="shared" si="132"/>
        <v>0</v>
      </c>
      <c r="BC196" s="32">
        <f t="shared" si="133"/>
        <v>3</v>
      </c>
      <c r="BG196" s="25">
        <v>1</v>
      </c>
      <c r="BH196" s="54">
        <f t="shared" si="134"/>
        <v>0</v>
      </c>
      <c r="BI196" s="54">
        <f t="shared" si="135"/>
        <v>0</v>
      </c>
      <c r="BJ196" s="54">
        <f t="shared" si="136"/>
        <v>0</v>
      </c>
      <c r="BK196" s="54">
        <f t="shared" si="137"/>
        <v>0</v>
      </c>
      <c r="BL196" s="54">
        <f t="shared" si="138"/>
        <v>0</v>
      </c>
      <c r="BN196" s="25">
        <f t="shared" ref="BN196:BN259" si="139">BN$2</f>
        <v>1</v>
      </c>
      <c r="BS196" s="39"/>
      <c r="BT196" s="39"/>
      <c r="BU196" s="39"/>
      <c r="BV196" s="39"/>
      <c r="BW196" s="39"/>
    </row>
    <row r="197" spans="3:75" x14ac:dyDescent="0.25">
      <c r="C197" s="62" t="str">
        <f t="shared" si="105"/>
        <v>-</v>
      </c>
      <c r="D197" s="62" t="str">
        <f t="shared" si="106"/>
        <v>-</v>
      </c>
      <c r="E197" s="62" t="str">
        <f t="shared" si="107"/>
        <v>-</v>
      </c>
      <c r="F197" s="62" t="str">
        <f t="shared" si="108"/>
        <v>-</v>
      </c>
      <c r="G197" s="62" t="str">
        <f t="shared" si="109"/>
        <v>-</v>
      </c>
      <c r="J197" s="17" t="s">
        <v>118</v>
      </c>
      <c r="K197" s="32" t="s">
        <v>84</v>
      </c>
      <c r="O197" s="25">
        <v>25</v>
      </c>
      <c r="P197" s="62" t="str">
        <f t="shared" si="110"/>
        <v>-</v>
      </c>
      <c r="Q197" s="62" t="str">
        <f t="shared" si="111"/>
        <v>-</v>
      </c>
      <c r="R197" s="62">
        <f t="shared" si="112"/>
        <v>50</v>
      </c>
      <c r="S197" s="62">
        <f t="shared" si="113"/>
        <v>50</v>
      </c>
      <c r="T197" s="62" t="str">
        <f t="shared" si="114"/>
        <v>-</v>
      </c>
      <c r="V197" s="32">
        <f t="shared" si="115"/>
        <v>6</v>
      </c>
      <c r="Z197" s="25">
        <v>1</v>
      </c>
      <c r="AA197" s="54">
        <f t="shared" si="116"/>
        <v>0</v>
      </c>
      <c r="AB197" s="54">
        <f t="shared" si="117"/>
        <v>0</v>
      </c>
      <c r="AC197" s="54">
        <f t="shared" si="118"/>
        <v>0</v>
      </c>
      <c r="AD197" s="54">
        <f t="shared" si="119"/>
        <v>0</v>
      </c>
      <c r="AE197" s="54">
        <f t="shared" si="120"/>
        <v>0</v>
      </c>
      <c r="AG197" s="32">
        <f t="shared" si="121"/>
        <v>5</v>
      </c>
      <c r="AK197" s="25">
        <v>1</v>
      </c>
      <c r="AL197" s="54">
        <f t="shared" si="122"/>
        <v>0</v>
      </c>
      <c r="AM197" s="54">
        <f t="shared" si="123"/>
        <v>0</v>
      </c>
      <c r="AN197" s="54">
        <f t="shared" si="124"/>
        <v>0</v>
      </c>
      <c r="AO197" s="54">
        <f t="shared" si="125"/>
        <v>0</v>
      </c>
      <c r="AP197" s="54">
        <f t="shared" si="126"/>
        <v>0</v>
      </c>
      <c r="AR197" s="32">
        <f t="shared" si="127"/>
        <v>4</v>
      </c>
      <c r="AV197" s="25">
        <v>1</v>
      </c>
      <c r="AW197" s="54">
        <f t="shared" si="128"/>
        <v>0</v>
      </c>
      <c r="AX197" s="54">
        <f t="shared" si="129"/>
        <v>0</v>
      </c>
      <c r="AY197" s="54">
        <f t="shared" si="130"/>
        <v>0</v>
      </c>
      <c r="AZ197" s="54">
        <f t="shared" si="131"/>
        <v>0</v>
      </c>
      <c r="BA197" s="54">
        <f t="shared" si="132"/>
        <v>0</v>
      </c>
      <c r="BC197" s="32">
        <f t="shared" si="133"/>
        <v>3</v>
      </c>
      <c r="BG197" s="25">
        <v>1</v>
      </c>
      <c r="BH197" s="54">
        <f t="shared" si="134"/>
        <v>0</v>
      </c>
      <c r="BI197" s="54">
        <f t="shared" si="135"/>
        <v>0</v>
      </c>
      <c r="BJ197" s="54">
        <f t="shared" si="136"/>
        <v>0</v>
      </c>
      <c r="BK197" s="54">
        <f t="shared" si="137"/>
        <v>0</v>
      </c>
      <c r="BL197" s="54">
        <f t="shared" si="138"/>
        <v>0</v>
      </c>
      <c r="BN197" s="25">
        <f t="shared" si="139"/>
        <v>1</v>
      </c>
      <c r="BS197" s="39"/>
      <c r="BT197" s="39"/>
      <c r="BU197" s="39"/>
      <c r="BV197" s="39"/>
      <c r="BW197" s="39"/>
    </row>
    <row r="198" spans="3:75" x14ac:dyDescent="0.25">
      <c r="C198" s="62" t="str">
        <f t="shared" si="105"/>
        <v>-</v>
      </c>
      <c r="D198" s="62" t="str">
        <f t="shared" si="106"/>
        <v>-</v>
      </c>
      <c r="E198" s="62" t="str">
        <f t="shared" si="107"/>
        <v>-</v>
      </c>
      <c r="F198" s="62" t="str">
        <f t="shared" si="108"/>
        <v>-</v>
      </c>
      <c r="G198" s="62" t="str">
        <f t="shared" si="109"/>
        <v>-</v>
      </c>
      <c r="J198" s="17" t="s">
        <v>134</v>
      </c>
      <c r="K198" s="32" t="s">
        <v>58</v>
      </c>
      <c r="L198" s="32" t="s">
        <v>44</v>
      </c>
      <c r="M198" s="40" t="s">
        <v>177</v>
      </c>
      <c r="O198" s="25">
        <v>2</v>
      </c>
      <c r="P198" s="62">
        <f t="shared" si="110"/>
        <v>2</v>
      </c>
      <c r="Q198" s="62">
        <f t="shared" si="111"/>
        <v>2</v>
      </c>
      <c r="R198" s="62" t="str">
        <f t="shared" si="112"/>
        <v>-</v>
      </c>
      <c r="S198" s="62" t="str">
        <f t="shared" si="113"/>
        <v>-</v>
      </c>
      <c r="T198" s="62" t="str">
        <f t="shared" si="114"/>
        <v>-</v>
      </c>
      <c r="V198" s="32">
        <f t="shared" si="115"/>
        <v>6</v>
      </c>
      <c r="Z198" s="25">
        <v>1</v>
      </c>
      <c r="AA198" s="54">
        <f t="shared" si="116"/>
        <v>0</v>
      </c>
      <c r="AB198" s="54">
        <f t="shared" si="117"/>
        <v>0</v>
      </c>
      <c r="AC198" s="54">
        <f t="shared" si="118"/>
        <v>0</v>
      </c>
      <c r="AD198" s="54">
        <f t="shared" si="119"/>
        <v>0</v>
      </c>
      <c r="AE198" s="54">
        <f t="shared" si="120"/>
        <v>0</v>
      </c>
      <c r="AG198" s="32">
        <f t="shared" si="121"/>
        <v>5</v>
      </c>
      <c r="AK198" s="25">
        <v>1</v>
      </c>
      <c r="AL198" s="54">
        <f t="shared" si="122"/>
        <v>0</v>
      </c>
      <c r="AM198" s="54">
        <f t="shared" si="123"/>
        <v>0</v>
      </c>
      <c r="AN198" s="54">
        <f t="shared" si="124"/>
        <v>0</v>
      </c>
      <c r="AO198" s="54">
        <f t="shared" si="125"/>
        <v>0</v>
      </c>
      <c r="AP198" s="54">
        <f t="shared" si="126"/>
        <v>0</v>
      </c>
      <c r="AR198" s="32">
        <f t="shared" si="127"/>
        <v>4</v>
      </c>
      <c r="AV198" s="25">
        <v>1</v>
      </c>
      <c r="AW198" s="54">
        <f t="shared" si="128"/>
        <v>0</v>
      </c>
      <c r="AX198" s="54">
        <f t="shared" si="129"/>
        <v>0</v>
      </c>
      <c r="AY198" s="54">
        <f t="shared" si="130"/>
        <v>0</v>
      </c>
      <c r="AZ198" s="54">
        <f t="shared" si="131"/>
        <v>0</v>
      </c>
      <c r="BA198" s="54">
        <f t="shared" si="132"/>
        <v>0</v>
      </c>
      <c r="BC198" s="32">
        <f t="shared" si="133"/>
        <v>3</v>
      </c>
      <c r="BG198" s="25">
        <v>1</v>
      </c>
      <c r="BH198" s="54">
        <f t="shared" si="134"/>
        <v>0</v>
      </c>
      <c r="BI198" s="54">
        <f t="shared" si="135"/>
        <v>0</v>
      </c>
      <c r="BJ198" s="54">
        <f t="shared" si="136"/>
        <v>0</v>
      </c>
      <c r="BK198" s="54">
        <f t="shared" si="137"/>
        <v>0</v>
      </c>
      <c r="BL198" s="54">
        <f t="shared" si="138"/>
        <v>0</v>
      </c>
      <c r="BN198" s="25">
        <f t="shared" si="139"/>
        <v>1</v>
      </c>
      <c r="BS198" s="39"/>
      <c r="BT198" s="39"/>
      <c r="BU198" s="39"/>
      <c r="BV198" s="39"/>
      <c r="BW198" s="39"/>
    </row>
    <row r="199" spans="3:75" x14ac:dyDescent="0.25">
      <c r="C199" s="62" t="str">
        <f t="shared" si="105"/>
        <v>-</v>
      </c>
      <c r="D199" s="62" t="str">
        <f t="shared" si="106"/>
        <v>-</v>
      </c>
      <c r="E199" s="62" t="str">
        <f t="shared" si="107"/>
        <v>-</v>
      </c>
      <c r="F199" s="62" t="str">
        <f t="shared" si="108"/>
        <v>-</v>
      </c>
      <c r="G199" s="62" t="str">
        <f t="shared" si="109"/>
        <v>-</v>
      </c>
      <c r="J199" s="17" t="s">
        <v>134</v>
      </c>
      <c r="K199" s="32" t="s">
        <v>65</v>
      </c>
      <c r="L199" s="32" t="s">
        <v>44</v>
      </c>
      <c r="O199" s="25">
        <v>1</v>
      </c>
      <c r="P199" s="62">
        <f t="shared" si="110"/>
        <v>1</v>
      </c>
      <c r="Q199" s="62" t="str">
        <f t="shared" si="111"/>
        <v>-</v>
      </c>
      <c r="R199" s="62" t="str">
        <f t="shared" si="112"/>
        <v>-</v>
      </c>
      <c r="S199" s="62" t="str">
        <f t="shared" si="113"/>
        <v>-</v>
      </c>
      <c r="T199" s="62" t="str">
        <f t="shared" si="114"/>
        <v>-</v>
      </c>
      <c r="V199" s="32">
        <f t="shared" si="115"/>
        <v>6</v>
      </c>
      <c r="Z199" s="25">
        <v>1</v>
      </c>
      <c r="AA199" s="54">
        <f t="shared" si="116"/>
        <v>0</v>
      </c>
      <c r="AB199" s="54">
        <f t="shared" si="117"/>
        <v>0</v>
      </c>
      <c r="AC199" s="54">
        <f t="shared" si="118"/>
        <v>0</v>
      </c>
      <c r="AD199" s="54">
        <f t="shared" si="119"/>
        <v>0</v>
      </c>
      <c r="AE199" s="54">
        <f t="shared" si="120"/>
        <v>0</v>
      </c>
      <c r="AG199" s="32">
        <f t="shared" si="121"/>
        <v>5</v>
      </c>
      <c r="AK199" s="25">
        <v>1</v>
      </c>
      <c r="AL199" s="54">
        <f t="shared" si="122"/>
        <v>0</v>
      </c>
      <c r="AM199" s="54">
        <f t="shared" si="123"/>
        <v>0</v>
      </c>
      <c r="AN199" s="54">
        <f t="shared" si="124"/>
        <v>0</v>
      </c>
      <c r="AO199" s="54">
        <f t="shared" si="125"/>
        <v>0</v>
      </c>
      <c r="AP199" s="54">
        <f t="shared" si="126"/>
        <v>0</v>
      </c>
      <c r="AR199" s="32">
        <f t="shared" si="127"/>
        <v>4</v>
      </c>
      <c r="AV199" s="25">
        <v>1</v>
      </c>
      <c r="AW199" s="54">
        <f t="shared" si="128"/>
        <v>0</v>
      </c>
      <c r="AX199" s="54">
        <f t="shared" si="129"/>
        <v>0</v>
      </c>
      <c r="AY199" s="54">
        <f t="shared" si="130"/>
        <v>0</v>
      </c>
      <c r="AZ199" s="54">
        <f t="shared" si="131"/>
        <v>0</v>
      </c>
      <c r="BA199" s="54">
        <f t="shared" si="132"/>
        <v>0</v>
      </c>
      <c r="BC199" s="32">
        <f t="shared" si="133"/>
        <v>3</v>
      </c>
      <c r="BG199" s="25">
        <v>1</v>
      </c>
      <c r="BH199" s="54">
        <f t="shared" si="134"/>
        <v>0</v>
      </c>
      <c r="BI199" s="54">
        <f t="shared" si="135"/>
        <v>0</v>
      </c>
      <c r="BJ199" s="54">
        <f t="shared" si="136"/>
        <v>0</v>
      </c>
      <c r="BK199" s="54">
        <f t="shared" si="137"/>
        <v>0</v>
      </c>
      <c r="BL199" s="54">
        <f t="shared" si="138"/>
        <v>0</v>
      </c>
      <c r="BN199" s="25">
        <f t="shared" si="139"/>
        <v>1</v>
      </c>
      <c r="BS199" s="39"/>
      <c r="BT199" s="39"/>
      <c r="BU199" s="39"/>
      <c r="BV199" s="39"/>
      <c r="BW199" s="39"/>
    </row>
    <row r="200" spans="3:75" x14ac:dyDescent="0.25">
      <c r="C200" s="62" t="str">
        <f t="shared" si="105"/>
        <v>-</v>
      </c>
      <c r="D200" s="62" t="str">
        <f t="shared" si="106"/>
        <v>-</v>
      </c>
      <c r="E200" s="62" t="str">
        <f t="shared" si="107"/>
        <v>-</v>
      </c>
      <c r="F200" s="62" t="str">
        <f t="shared" si="108"/>
        <v>-</v>
      </c>
      <c r="G200" s="62" t="str">
        <f t="shared" si="109"/>
        <v>-</v>
      </c>
      <c r="J200" s="17" t="s">
        <v>134</v>
      </c>
      <c r="K200" s="32" t="s">
        <v>83</v>
      </c>
      <c r="M200" s="40" t="s">
        <v>176</v>
      </c>
      <c r="O200" s="25">
        <v>4</v>
      </c>
      <c r="P200" s="62" t="str">
        <f t="shared" si="110"/>
        <v>-</v>
      </c>
      <c r="Q200" s="62" t="str">
        <f t="shared" si="111"/>
        <v>-</v>
      </c>
      <c r="R200" s="62">
        <f t="shared" si="112"/>
        <v>8</v>
      </c>
      <c r="S200" s="62">
        <f t="shared" si="113"/>
        <v>4</v>
      </c>
      <c r="T200" s="62" t="str">
        <f t="shared" si="114"/>
        <v>-</v>
      </c>
      <c r="V200" s="32">
        <f t="shared" si="115"/>
        <v>6</v>
      </c>
      <c r="Z200" s="25">
        <v>1</v>
      </c>
      <c r="AA200" s="54">
        <f t="shared" si="116"/>
        <v>0</v>
      </c>
      <c r="AB200" s="54">
        <f t="shared" si="117"/>
        <v>0</v>
      </c>
      <c r="AC200" s="54">
        <f t="shared" si="118"/>
        <v>0</v>
      </c>
      <c r="AD200" s="54">
        <f t="shared" si="119"/>
        <v>0</v>
      </c>
      <c r="AE200" s="54">
        <f t="shared" si="120"/>
        <v>0</v>
      </c>
      <c r="AG200" s="32">
        <f t="shared" si="121"/>
        <v>5</v>
      </c>
      <c r="AK200" s="25">
        <v>1</v>
      </c>
      <c r="AL200" s="54">
        <f t="shared" si="122"/>
        <v>0</v>
      </c>
      <c r="AM200" s="54">
        <f t="shared" si="123"/>
        <v>0</v>
      </c>
      <c r="AN200" s="54">
        <f t="shared" si="124"/>
        <v>0</v>
      </c>
      <c r="AO200" s="54">
        <f t="shared" si="125"/>
        <v>0</v>
      </c>
      <c r="AP200" s="54">
        <f t="shared" si="126"/>
        <v>0</v>
      </c>
      <c r="AR200" s="32">
        <f t="shared" si="127"/>
        <v>4</v>
      </c>
      <c r="AV200" s="25">
        <v>1</v>
      </c>
      <c r="AW200" s="54">
        <f t="shared" si="128"/>
        <v>0</v>
      </c>
      <c r="AX200" s="54">
        <f t="shared" si="129"/>
        <v>0</v>
      </c>
      <c r="AY200" s="54">
        <f t="shared" si="130"/>
        <v>0</v>
      </c>
      <c r="AZ200" s="54">
        <f t="shared" si="131"/>
        <v>0</v>
      </c>
      <c r="BA200" s="54">
        <f t="shared" si="132"/>
        <v>0</v>
      </c>
      <c r="BC200" s="32">
        <f t="shared" si="133"/>
        <v>3</v>
      </c>
      <c r="BG200" s="25">
        <v>1</v>
      </c>
      <c r="BH200" s="54">
        <f t="shared" si="134"/>
        <v>0</v>
      </c>
      <c r="BI200" s="54">
        <f t="shared" si="135"/>
        <v>0</v>
      </c>
      <c r="BJ200" s="54">
        <f t="shared" si="136"/>
        <v>0</v>
      </c>
      <c r="BK200" s="54">
        <f t="shared" si="137"/>
        <v>0</v>
      </c>
      <c r="BL200" s="54">
        <f t="shared" si="138"/>
        <v>0</v>
      </c>
      <c r="BN200" s="25">
        <f t="shared" si="139"/>
        <v>1</v>
      </c>
      <c r="BS200" s="39"/>
      <c r="BT200" s="39"/>
      <c r="BU200" s="39"/>
      <c r="BV200" s="39"/>
      <c r="BW200" s="39"/>
    </row>
    <row r="201" spans="3:75" x14ac:dyDescent="0.25">
      <c r="C201" s="62" t="str">
        <f t="shared" si="105"/>
        <v>-</v>
      </c>
      <c r="D201" s="62" t="str">
        <f t="shared" si="106"/>
        <v>-</v>
      </c>
      <c r="E201" s="62" t="str">
        <f t="shared" si="107"/>
        <v>-</v>
      </c>
      <c r="F201" s="62" t="str">
        <f t="shared" si="108"/>
        <v>-</v>
      </c>
      <c r="G201" s="62" t="str">
        <f t="shared" si="109"/>
        <v>-</v>
      </c>
      <c r="J201" s="17" t="s">
        <v>178</v>
      </c>
      <c r="K201" s="32" t="s">
        <v>58</v>
      </c>
      <c r="L201" s="32" t="s">
        <v>45</v>
      </c>
      <c r="O201" s="25">
        <v>1</v>
      </c>
      <c r="P201" s="62">
        <f t="shared" si="110"/>
        <v>1</v>
      </c>
      <c r="Q201" s="62">
        <f t="shared" si="111"/>
        <v>1</v>
      </c>
      <c r="R201" s="62" t="str">
        <f t="shared" si="112"/>
        <v>-</v>
      </c>
      <c r="S201" s="62" t="str">
        <f t="shared" si="113"/>
        <v>-</v>
      </c>
      <c r="T201" s="62" t="str">
        <f t="shared" si="114"/>
        <v>-</v>
      </c>
      <c r="V201" s="32">
        <f t="shared" si="115"/>
        <v>6</v>
      </c>
      <c r="Z201" s="25">
        <v>1</v>
      </c>
      <c r="AA201" s="54">
        <f t="shared" si="116"/>
        <v>0</v>
      </c>
      <c r="AB201" s="54">
        <f t="shared" si="117"/>
        <v>0</v>
      </c>
      <c r="AC201" s="54">
        <f t="shared" si="118"/>
        <v>0</v>
      </c>
      <c r="AD201" s="54">
        <f t="shared" si="119"/>
        <v>0</v>
      </c>
      <c r="AE201" s="54">
        <f t="shared" si="120"/>
        <v>0</v>
      </c>
      <c r="AG201" s="32">
        <f t="shared" si="121"/>
        <v>5</v>
      </c>
      <c r="AK201" s="25">
        <v>1</v>
      </c>
      <c r="AL201" s="54">
        <f t="shared" si="122"/>
        <v>0</v>
      </c>
      <c r="AM201" s="54">
        <f t="shared" si="123"/>
        <v>0</v>
      </c>
      <c r="AN201" s="54">
        <f t="shared" si="124"/>
        <v>0</v>
      </c>
      <c r="AO201" s="54">
        <f t="shared" si="125"/>
        <v>0</v>
      </c>
      <c r="AP201" s="54">
        <f t="shared" si="126"/>
        <v>0</v>
      </c>
      <c r="AR201" s="32">
        <f t="shared" si="127"/>
        <v>4</v>
      </c>
      <c r="AV201" s="25">
        <v>1</v>
      </c>
      <c r="AW201" s="54">
        <f t="shared" si="128"/>
        <v>0</v>
      </c>
      <c r="AX201" s="54">
        <f t="shared" si="129"/>
        <v>0</v>
      </c>
      <c r="AY201" s="54">
        <f t="shared" si="130"/>
        <v>0</v>
      </c>
      <c r="AZ201" s="54">
        <f t="shared" si="131"/>
        <v>0</v>
      </c>
      <c r="BA201" s="54">
        <f t="shared" si="132"/>
        <v>0</v>
      </c>
      <c r="BC201" s="32">
        <f t="shared" si="133"/>
        <v>3</v>
      </c>
      <c r="BG201" s="25">
        <v>1</v>
      </c>
      <c r="BH201" s="54">
        <f t="shared" si="134"/>
        <v>0</v>
      </c>
      <c r="BI201" s="54">
        <f t="shared" si="135"/>
        <v>0</v>
      </c>
      <c r="BJ201" s="54">
        <f t="shared" si="136"/>
        <v>0</v>
      </c>
      <c r="BK201" s="54">
        <f t="shared" si="137"/>
        <v>0</v>
      </c>
      <c r="BL201" s="54">
        <f t="shared" si="138"/>
        <v>0</v>
      </c>
      <c r="BN201" s="25">
        <f t="shared" si="139"/>
        <v>1</v>
      </c>
      <c r="BS201" s="39"/>
      <c r="BT201" s="39"/>
      <c r="BU201" s="39"/>
      <c r="BV201" s="39"/>
      <c r="BW201" s="39"/>
    </row>
    <row r="202" spans="3:75" x14ac:dyDescent="0.25">
      <c r="C202" s="62" t="str">
        <f t="shared" si="105"/>
        <v>-</v>
      </c>
      <c r="D202" s="62" t="str">
        <f t="shared" si="106"/>
        <v>-</v>
      </c>
      <c r="E202" s="62" t="str">
        <f t="shared" si="107"/>
        <v>-</v>
      </c>
      <c r="F202" s="62" t="str">
        <f t="shared" si="108"/>
        <v>-</v>
      </c>
      <c r="G202" s="62" t="str">
        <f t="shared" si="109"/>
        <v>-</v>
      </c>
      <c r="J202" s="17" t="s">
        <v>182</v>
      </c>
      <c r="O202" s="25">
        <v>1</v>
      </c>
      <c r="P202" s="62" t="str">
        <f t="shared" si="110"/>
        <v>-</v>
      </c>
      <c r="Q202" s="62" t="str">
        <f t="shared" si="111"/>
        <v>-</v>
      </c>
      <c r="R202" s="62" t="str">
        <f t="shared" si="112"/>
        <v>-</v>
      </c>
      <c r="S202" s="62" t="str">
        <f t="shared" si="113"/>
        <v>-</v>
      </c>
      <c r="T202" s="62" t="str">
        <f t="shared" si="114"/>
        <v>-</v>
      </c>
      <c r="V202" s="32">
        <f t="shared" si="115"/>
        <v>6</v>
      </c>
      <c r="Z202" s="25">
        <v>1</v>
      </c>
      <c r="AA202" s="54">
        <f t="shared" si="116"/>
        <v>0</v>
      </c>
      <c r="AB202" s="54">
        <f t="shared" si="117"/>
        <v>0</v>
      </c>
      <c r="AC202" s="54">
        <f t="shared" si="118"/>
        <v>0</v>
      </c>
      <c r="AD202" s="54">
        <f t="shared" si="119"/>
        <v>0</v>
      </c>
      <c r="AE202" s="54">
        <f t="shared" si="120"/>
        <v>0</v>
      </c>
      <c r="AG202" s="32">
        <f t="shared" si="121"/>
        <v>5</v>
      </c>
      <c r="AK202" s="25">
        <v>1</v>
      </c>
      <c r="AL202" s="54">
        <f t="shared" si="122"/>
        <v>0</v>
      </c>
      <c r="AM202" s="54">
        <f t="shared" si="123"/>
        <v>0</v>
      </c>
      <c r="AN202" s="54">
        <f t="shared" si="124"/>
        <v>0</v>
      </c>
      <c r="AO202" s="54">
        <f t="shared" si="125"/>
        <v>0</v>
      </c>
      <c r="AP202" s="54">
        <f t="shared" si="126"/>
        <v>0</v>
      </c>
      <c r="AR202" s="32">
        <f t="shared" si="127"/>
        <v>4</v>
      </c>
      <c r="AV202" s="25">
        <v>1</v>
      </c>
      <c r="AW202" s="54">
        <f t="shared" si="128"/>
        <v>0</v>
      </c>
      <c r="AX202" s="54">
        <f t="shared" si="129"/>
        <v>0</v>
      </c>
      <c r="AY202" s="54">
        <f t="shared" si="130"/>
        <v>0</v>
      </c>
      <c r="AZ202" s="54">
        <f t="shared" si="131"/>
        <v>0</v>
      </c>
      <c r="BA202" s="54">
        <f t="shared" si="132"/>
        <v>0</v>
      </c>
      <c r="BC202" s="32">
        <f t="shared" si="133"/>
        <v>3</v>
      </c>
      <c r="BG202" s="25">
        <v>1</v>
      </c>
      <c r="BH202" s="54">
        <f t="shared" si="134"/>
        <v>0</v>
      </c>
      <c r="BI202" s="54">
        <f t="shared" si="135"/>
        <v>0</v>
      </c>
      <c r="BJ202" s="54">
        <f t="shared" si="136"/>
        <v>0</v>
      </c>
      <c r="BK202" s="54">
        <f t="shared" si="137"/>
        <v>0</v>
      </c>
      <c r="BL202" s="54">
        <f t="shared" si="138"/>
        <v>0</v>
      </c>
      <c r="BN202" s="25">
        <f t="shared" si="139"/>
        <v>1</v>
      </c>
      <c r="BS202" s="39"/>
      <c r="BT202" s="39"/>
      <c r="BU202" s="39"/>
      <c r="BV202" s="39"/>
      <c r="BW202" s="39"/>
    </row>
    <row r="203" spans="3:75" x14ac:dyDescent="0.25">
      <c r="C203" s="62" t="str">
        <f t="shared" si="105"/>
        <v>-</v>
      </c>
      <c r="D203" s="62" t="str">
        <f t="shared" si="106"/>
        <v>-</v>
      </c>
      <c r="E203" s="62" t="str">
        <f t="shared" si="107"/>
        <v>-</v>
      </c>
      <c r="F203" s="62" t="str">
        <f t="shared" si="108"/>
        <v>-</v>
      </c>
      <c r="G203" s="62" t="str">
        <f t="shared" si="109"/>
        <v>-</v>
      </c>
      <c r="P203" s="62" t="str">
        <f t="shared" si="110"/>
        <v>-</v>
      </c>
      <c r="Q203" s="62" t="str">
        <f t="shared" si="111"/>
        <v>-</v>
      </c>
      <c r="R203" s="62" t="str">
        <f t="shared" si="112"/>
        <v>-</v>
      </c>
      <c r="S203" s="62" t="str">
        <f t="shared" si="113"/>
        <v>-</v>
      </c>
      <c r="T203" s="62" t="str">
        <f t="shared" si="114"/>
        <v>-</v>
      </c>
      <c r="V203" s="32">
        <f t="shared" si="115"/>
        <v>6</v>
      </c>
      <c r="Z203" s="25">
        <v>1</v>
      </c>
      <c r="AA203" s="54">
        <f t="shared" si="116"/>
        <v>0</v>
      </c>
      <c r="AB203" s="54">
        <f t="shared" si="117"/>
        <v>0</v>
      </c>
      <c r="AC203" s="54">
        <f t="shared" si="118"/>
        <v>0</v>
      </c>
      <c r="AD203" s="54">
        <f t="shared" si="119"/>
        <v>0</v>
      </c>
      <c r="AE203" s="54">
        <f t="shared" si="120"/>
        <v>0</v>
      </c>
      <c r="AG203" s="32">
        <f t="shared" si="121"/>
        <v>5</v>
      </c>
      <c r="AK203" s="25">
        <v>1</v>
      </c>
      <c r="AL203" s="54">
        <f t="shared" si="122"/>
        <v>0</v>
      </c>
      <c r="AM203" s="54">
        <f t="shared" si="123"/>
        <v>0</v>
      </c>
      <c r="AN203" s="54">
        <f t="shared" si="124"/>
        <v>0</v>
      </c>
      <c r="AO203" s="54">
        <f t="shared" si="125"/>
        <v>0</v>
      </c>
      <c r="AP203" s="54">
        <f t="shared" si="126"/>
        <v>0</v>
      </c>
      <c r="AR203" s="32">
        <f t="shared" si="127"/>
        <v>4</v>
      </c>
      <c r="AV203" s="25">
        <v>1</v>
      </c>
      <c r="AW203" s="54">
        <f t="shared" si="128"/>
        <v>0</v>
      </c>
      <c r="AX203" s="54">
        <f t="shared" si="129"/>
        <v>0</v>
      </c>
      <c r="AY203" s="54">
        <f t="shared" si="130"/>
        <v>0</v>
      </c>
      <c r="AZ203" s="54">
        <f t="shared" si="131"/>
        <v>0</v>
      </c>
      <c r="BA203" s="54">
        <f t="shared" si="132"/>
        <v>0</v>
      </c>
      <c r="BC203" s="32">
        <f t="shared" si="133"/>
        <v>3</v>
      </c>
      <c r="BG203" s="25">
        <v>1</v>
      </c>
      <c r="BH203" s="54">
        <f t="shared" si="134"/>
        <v>0</v>
      </c>
      <c r="BI203" s="54">
        <f t="shared" si="135"/>
        <v>0</v>
      </c>
      <c r="BJ203" s="54">
        <f t="shared" si="136"/>
        <v>0</v>
      </c>
      <c r="BK203" s="54">
        <f t="shared" si="137"/>
        <v>0</v>
      </c>
      <c r="BL203" s="54">
        <f t="shared" si="138"/>
        <v>0</v>
      </c>
      <c r="BN203" s="25">
        <f t="shared" si="139"/>
        <v>1</v>
      </c>
      <c r="BS203" s="39"/>
      <c r="BT203" s="39"/>
      <c r="BU203" s="39"/>
      <c r="BV203" s="39"/>
      <c r="BW203" s="39"/>
    </row>
    <row r="204" spans="3:75" x14ac:dyDescent="0.25">
      <c r="C204" s="62" t="str">
        <f t="shared" si="105"/>
        <v>-</v>
      </c>
      <c r="D204" s="62" t="str">
        <f t="shared" si="106"/>
        <v>-</v>
      </c>
      <c r="E204" s="62" t="str">
        <f t="shared" si="107"/>
        <v>-</v>
      </c>
      <c r="F204" s="62" t="str">
        <f t="shared" si="108"/>
        <v>-</v>
      </c>
      <c r="G204" s="62" t="str">
        <f t="shared" si="109"/>
        <v>-</v>
      </c>
      <c r="P204" s="62" t="str">
        <f t="shared" si="110"/>
        <v>-</v>
      </c>
      <c r="Q204" s="62" t="str">
        <f t="shared" si="111"/>
        <v>-</v>
      </c>
      <c r="R204" s="62" t="str">
        <f t="shared" si="112"/>
        <v>-</v>
      </c>
      <c r="S204" s="62" t="str">
        <f t="shared" si="113"/>
        <v>-</v>
      </c>
      <c r="T204" s="62" t="str">
        <f t="shared" si="114"/>
        <v>-</v>
      </c>
      <c r="V204" s="32">
        <f t="shared" si="115"/>
        <v>6</v>
      </c>
      <c r="Z204" s="25">
        <v>1</v>
      </c>
      <c r="AA204" s="54">
        <f t="shared" si="116"/>
        <v>0</v>
      </c>
      <c r="AB204" s="54">
        <f t="shared" si="117"/>
        <v>0</v>
      </c>
      <c r="AC204" s="54">
        <f t="shared" si="118"/>
        <v>0</v>
      </c>
      <c r="AD204" s="54">
        <f t="shared" si="119"/>
        <v>0</v>
      </c>
      <c r="AE204" s="54">
        <f t="shared" si="120"/>
        <v>0</v>
      </c>
      <c r="AG204" s="32">
        <f t="shared" si="121"/>
        <v>5</v>
      </c>
      <c r="AK204" s="25">
        <v>1</v>
      </c>
      <c r="AL204" s="54">
        <f t="shared" si="122"/>
        <v>0</v>
      </c>
      <c r="AM204" s="54">
        <f t="shared" si="123"/>
        <v>0</v>
      </c>
      <c r="AN204" s="54">
        <f t="shared" si="124"/>
        <v>0</v>
      </c>
      <c r="AO204" s="54">
        <f t="shared" si="125"/>
        <v>0</v>
      </c>
      <c r="AP204" s="54">
        <f t="shared" si="126"/>
        <v>0</v>
      </c>
      <c r="AR204" s="32">
        <f t="shared" si="127"/>
        <v>4</v>
      </c>
      <c r="AV204" s="25">
        <v>1</v>
      </c>
      <c r="AW204" s="54">
        <f t="shared" si="128"/>
        <v>0</v>
      </c>
      <c r="AX204" s="54">
        <f t="shared" si="129"/>
        <v>0</v>
      </c>
      <c r="AY204" s="54">
        <f t="shared" si="130"/>
        <v>0</v>
      </c>
      <c r="AZ204" s="54">
        <f t="shared" si="131"/>
        <v>0</v>
      </c>
      <c r="BA204" s="54">
        <f t="shared" si="132"/>
        <v>0</v>
      </c>
      <c r="BC204" s="32">
        <f t="shared" si="133"/>
        <v>3</v>
      </c>
      <c r="BG204" s="25">
        <v>1</v>
      </c>
      <c r="BH204" s="54">
        <f t="shared" si="134"/>
        <v>0</v>
      </c>
      <c r="BI204" s="54">
        <f t="shared" si="135"/>
        <v>0</v>
      </c>
      <c r="BJ204" s="54">
        <f t="shared" si="136"/>
        <v>0</v>
      </c>
      <c r="BK204" s="54">
        <f t="shared" si="137"/>
        <v>0</v>
      </c>
      <c r="BL204" s="54">
        <f t="shared" si="138"/>
        <v>0</v>
      </c>
      <c r="BN204" s="25">
        <f t="shared" si="139"/>
        <v>1</v>
      </c>
      <c r="BS204" s="39"/>
      <c r="BT204" s="39"/>
      <c r="BU204" s="39"/>
      <c r="BV204" s="39"/>
      <c r="BW204" s="39"/>
    </row>
    <row r="205" spans="3:75" x14ac:dyDescent="0.25">
      <c r="C205" s="62" t="str">
        <f t="shared" si="105"/>
        <v>-</v>
      </c>
      <c r="D205" s="62" t="str">
        <f t="shared" si="106"/>
        <v>-</v>
      </c>
      <c r="E205" s="62" t="str">
        <f t="shared" si="107"/>
        <v>-</v>
      </c>
      <c r="F205" s="62" t="str">
        <f t="shared" si="108"/>
        <v>-</v>
      </c>
      <c r="G205" s="62" t="str">
        <f t="shared" si="109"/>
        <v>-</v>
      </c>
      <c r="P205" s="62" t="str">
        <f t="shared" si="110"/>
        <v>-</v>
      </c>
      <c r="Q205" s="62" t="str">
        <f t="shared" si="111"/>
        <v>-</v>
      </c>
      <c r="R205" s="62" t="str">
        <f t="shared" si="112"/>
        <v>-</v>
      </c>
      <c r="S205" s="62" t="str">
        <f t="shared" si="113"/>
        <v>-</v>
      </c>
      <c r="T205" s="62" t="str">
        <f t="shared" si="114"/>
        <v>-</v>
      </c>
      <c r="V205" s="32">
        <f t="shared" si="115"/>
        <v>6</v>
      </c>
      <c r="Z205" s="25">
        <v>1</v>
      </c>
      <c r="AA205" s="54">
        <f t="shared" si="116"/>
        <v>0</v>
      </c>
      <c r="AB205" s="54">
        <f t="shared" si="117"/>
        <v>0</v>
      </c>
      <c r="AC205" s="54">
        <f t="shared" si="118"/>
        <v>0</v>
      </c>
      <c r="AD205" s="54">
        <f t="shared" si="119"/>
        <v>0</v>
      </c>
      <c r="AE205" s="54">
        <f t="shared" si="120"/>
        <v>0</v>
      </c>
      <c r="AG205" s="32">
        <f t="shared" si="121"/>
        <v>5</v>
      </c>
      <c r="AK205" s="25">
        <v>1</v>
      </c>
      <c r="AL205" s="54">
        <f t="shared" si="122"/>
        <v>0</v>
      </c>
      <c r="AM205" s="54">
        <f t="shared" si="123"/>
        <v>0</v>
      </c>
      <c r="AN205" s="54">
        <f t="shared" si="124"/>
        <v>0</v>
      </c>
      <c r="AO205" s="54">
        <f t="shared" si="125"/>
        <v>0</v>
      </c>
      <c r="AP205" s="54">
        <f t="shared" si="126"/>
        <v>0</v>
      </c>
      <c r="AR205" s="32">
        <f t="shared" si="127"/>
        <v>4</v>
      </c>
      <c r="AV205" s="25">
        <v>1</v>
      </c>
      <c r="AW205" s="54">
        <f t="shared" si="128"/>
        <v>0</v>
      </c>
      <c r="AX205" s="54">
        <f t="shared" si="129"/>
        <v>0</v>
      </c>
      <c r="AY205" s="54">
        <f t="shared" si="130"/>
        <v>0</v>
      </c>
      <c r="AZ205" s="54">
        <f t="shared" si="131"/>
        <v>0</v>
      </c>
      <c r="BA205" s="54">
        <f t="shared" si="132"/>
        <v>0</v>
      </c>
      <c r="BC205" s="32">
        <f t="shared" si="133"/>
        <v>3</v>
      </c>
      <c r="BG205" s="25">
        <v>1</v>
      </c>
      <c r="BH205" s="54">
        <f t="shared" si="134"/>
        <v>0</v>
      </c>
      <c r="BI205" s="54">
        <f t="shared" si="135"/>
        <v>0</v>
      </c>
      <c r="BJ205" s="54">
        <f t="shared" si="136"/>
        <v>0</v>
      </c>
      <c r="BK205" s="54">
        <f t="shared" si="137"/>
        <v>0</v>
      </c>
      <c r="BL205" s="54">
        <f t="shared" si="138"/>
        <v>0</v>
      </c>
      <c r="BN205" s="25">
        <f t="shared" si="139"/>
        <v>1</v>
      </c>
      <c r="BS205" s="39"/>
      <c r="BT205" s="39"/>
      <c r="BU205" s="39"/>
      <c r="BV205" s="39"/>
      <c r="BW205" s="39"/>
    </row>
    <row r="206" spans="3:75" x14ac:dyDescent="0.25">
      <c r="C206" s="62" t="str">
        <f t="shared" si="105"/>
        <v>-</v>
      </c>
      <c r="D206" s="62" t="str">
        <f t="shared" si="106"/>
        <v>-</v>
      </c>
      <c r="E206" s="62" t="str">
        <f t="shared" si="107"/>
        <v>-</v>
      </c>
      <c r="F206" s="62" t="str">
        <f t="shared" si="108"/>
        <v>-</v>
      </c>
      <c r="G206" s="62" t="str">
        <f t="shared" si="109"/>
        <v>-</v>
      </c>
      <c r="P206" s="62" t="str">
        <f t="shared" si="110"/>
        <v>-</v>
      </c>
      <c r="Q206" s="62" t="str">
        <f t="shared" si="111"/>
        <v>-</v>
      </c>
      <c r="R206" s="62" t="str">
        <f t="shared" si="112"/>
        <v>-</v>
      </c>
      <c r="S206" s="62" t="str">
        <f t="shared" si="113"/>
        <v>-</v>
      </c>
      <c r="T206" s="62" t="str">
        <f t="shared" si="114"/>
        <v>-</v>
      </c>
      <c r="V206" s="32">
        <f t="shared" si="115"/>
        <v>6</v>
      </c>
      <c r="Z206" s="25">
        <v>1</v>
      </c>
      <c r="AA206" s="54">
        <f t="shared" si="116"/>
        <v>0</v>
      </c>
      <c r="AB206" s="54">
        <f t="shared" si="117"/>
        <v>0</v>
      </c>
      <c r="AC206" s="54">
        <f t="shared" si="118"/>
        <v>0</v>
      </c>
      <c r="AD206" s="54">
        <f t="shared" si="119"/>
        <v>0</v>
      </c>
      <c r="AE206" s="54">
        <f t="shared" si="120"/>
        <v>0</v>
      </c>
      <c r="AG206" s="32">
        <f t="shared" si="121"/>
        <v>5</v>
      </c>
      <c r="AK206" s="25">
        <v>1</v>
      </c>
      <c r="AL206" s="54">
        <f t="shared" si="122"/>
        <v>0</v>
      </c>
      <c r="AM206" s="54">
        <f t="shared" si="123"/>
        <v>0</v>
      </c>
      <c r="AN206" s="54">
        <f t="shared" si="124"/>
        <v>0</v>
      </c>
      <c r="AO206" s="54">
        <f t="shared" si="125"/>
        <v>0</v>
      </c>
      <c r="AP206" s="54">
        <f t="shared" si="126"/>
        <v>0</v>
      </c>
      <c r="AR206" s="32">
        <f t="shared" si="127"/>
        <v>4</v>
      </c>
      <c r="AV206" s="25">
        <v>1</v>
      </c>
      <c r="AW206" s="54">
        <f t="shared" si="128"/>
        <v>0</v>
      </c>
      <c r="AX206" s="54">
        <f t="shared" si="129"/>
        <v>0</v>
      </c>
      <c r="AY206" s="54">
        <f t="shared" si="130"/>
        <v>0</v>
      </c>
      <c r="AZ206" s="54">
        <f t="shared" si="131"/>
        <v>0</v>
      </c>
      <c r="BA206" s="54">
        <f t="shared" si="132"/>
        <v>0</v>
      </c>
      <c r="BC206" s="32">
        <f t="shared" si="133"/>
        <v>3</v>
      </c>
      <c r="BG206" s="25">
        <v>1</v>
      </c>
      <c r="BH206" s="54">
        <f t="shared" si="134"/>
        <v>0</v>
      </c>
      <c r="BI206" s="54">
        <f t="shared" si="135"/>
        <v>0</v>
      </c>
      <c r="BJ206" s="54">
        <f t="shared" si="136"/>
        <v>0</v>
      </c>
      <c r="BK206" s="54">
        <f t="shared" si="137"/>
        <v>0</v>
      </c>
      <c r="BL206" s="54">
        <f t="shared" si="138"/>
        <v>0</v>
      </c>
      <c r="BN206" s="25">
        <f t="shared" si="139"/>
        <v>1</v>
      </c>
      <c r="BS206" s="39"/>
      <c r="BT206" s="39"/>
      <c r="BU206" s="39"/>
      <c r="BV206" s="39"/>
      <c r="BW206" s="39"/>
    </row>
    <row r="207" spans="3:75" x14ac:dyDescent="0.25">
      <c r="C207" s="62" t="str">
        <f t="shared" si="105"/>
        <v>-</v>
      </c>
      <c r="D207" s="62" t="str">
        <f t="shared" si="106"/>
        <v>-</v>
      </c>
      <c r="E207" s="62" t="str">
        <f t="shared" si="107"/>
        <v>-</v>
      </c>
      <c r="F207" s="62" t="str">
        <f t="shared" si="108"/>
        <v>-</v>
      </c>
      <c r="G207" s="62" t="str">
        <f t="shared" si="109"/>
        <v>-</v>
      </c>
      <c r="P207" s="62" t="str">
        <f t="shared" si="110"/>
        <v>-</v>
      </c>
      <c r="Q207" s="62" t="str">
        <f t="shared" si="111"/>
        <v>-</v>
      </c>
      <c r="R207" s="62" t="str">
        <f t="shared" si="112"/>
        <v>-</v>
      </c>
      <c r="S207" s="62" t="str">
        <f t="shared" si="113"/>
        <v>-</v>
      </c>
      <c r="T207" s="62" t="str">
        <f t="shared" si="114"/>
        <v>-</v>
      </c>
      <c r="V207" s="32">
        <f t="shared" si="115"/>
        <v>6</v>
      </c>
      <c r="Z207" s="25">
        <v>1</v>
      </c>
      <c r="AA207" s="54">
        <f t="shared" si="116"/>
        <v>0</v>
      </c>
      <c r="AB207" s="54">
        <f t="shared" si="117"/>
        <v>0</v>
      </c>
      <c r="AC207" s="54">
        <f t="shared" si="118"/>
        <v>0</v>
      </c>
      <c r="AD207" s="54">
        <f t="shared" si="119"/>
        <v>0</v>
      </c>
      <c r="AE207" s="54">
        <f t="shared" si="120"/>
        <v>0</v>
      </c>
      <c r="AG207" s="32">
        <f t="shared" si="121"/>
        <v>5</v>
      </c>
      <c r="AK207" s="25">
        <v>1</v>
      </c>
      <c r="AL207" s="54">
        <f t="shared" si="122"/>
        <v>0</v>
      </c>
      <c r="AM207" s="54">
        <f t="shared" si="123"/>
        <v>0</v>
      </c>
      <c r="AN207" s="54">
        <f t="shared" si="124"/>
        <v>0</v>
      </c>
      <c r="AO207" s="54">
        <f t="shared" si="125"/>
        <v>0</v>
      </c>
      <c r="AP207" s="54">
        <f t="shared" si="126"/>
        <v>0</v>
      </c>
      <c r="AR207" s="32">
        <f t="shared" si="127"/>
        <v>4</v>
      </c>
      <c r="AV207" s="25">
        <v>1</v>
      </c>
      <c r="AW207" s="54">
        <f t="shared" si="128"/>
        <v>0</v>
      </c>
      <c r="AX207" s="54">
        <f t="shared" si="129"/>
        <v>0</v>
      </c>
      <c r="AY207" s="54">
        <f t="shared" si="130"/>
        <v>0</v>
      </c>
      <c r="AZ207" s="54">
        <f t="shared" si="131"/>
        <v>0</v>
      </c>
      <c r="BA207" s="54">
        <f t="shared" si="132"/>
        <v>0</v>
      </c>
      <c r="BC207" s="32">
        <f t="shared" si="133"/>
        <v>3</v>
      </c>
      <c r="BG207" s="25">
        <v>1</v>
      </c>
      <c r="BH207" s="54">
        <f t="shared" si="134"/>
        <v>0</v>
      </c>
      <c r="BI207" s="54">
        <f t="shared" si="135"/>
        <v>0</v>
      </c>
      <c r="BJ207" s="54">
        <f t="shared" si="136"/>
        <v>0</v>
      </c>
      <c r="BK207" s="54">
        <f t="shared" si="137"/>
        <v>0</v>
      </c>
      <c r="BL207" s="54">
        <f t="shared" si="138"/>
        <v>0</v>
      </c>
      <c r="BN207" s="25">
        <f t="shared" si="139"/>
        <v>1</v>
      </c>
      <c r="BS207" s="39"/>
      <c r="BT207" s="39"/>
      <c r="BU207" s="39"/>
      <c r="BV207" s="39"/>
      <c r="BW207" s="39"/>
    </row>
    <row r="208" spans="3:75" x14ac:dyDescent="0.25">
      <c r="C208" s="62" t="str">
        <f t="shared" si="105"/>
        <v>-</v>
      </c>
      <c r="D208" s="62" t="str">
        <f t="shared" si="106"/>
        <v>-</v>
      </c>
      <c r="E208" s="62" t="str">
        <f t="shared" si="107"/>
        <v>-</v>
      </c>
      <c r="F208" s="62" t="str">
        <f t="shared" si="108"/>
        <v>-</v>
      </c>
      <c r="G208" s="62" t="str">
        <f t="shared" si="109"/>
        <v>-</v>
      </c>
      <c r="P208" s="62" t="str">
        <f t="shared" si="110"/>
        <v>-</v>
      </c>
      <c r="Q208" s="62" t="str">
        <f t="shared" si="111"/>
        <v>-</v>
      </c>
      <c r="R208" s="62" t="str">
        <f t="shared" si="112"/>
        <v>-</v>
      </c>
      <c r="S208" s="62" t="str">
        <f t="shared" si="113"/>
        <v>-</v>
      </c>
      <c r="T208" s="62" t="str">
        <f t="shared" si="114"/>
        <v>-</v>
      </c>
      <c r="V208" s="32">
        <f t="shared" si="115"/>
        <v>6</v>
      </c>
      <c r="Z208" s="25">
        <v>1</v>
      </c>
      <c r="AA208" s="54">
        <f t="shared" si="116"/>
        <v>0</v>
      </c>
      <c r="AB208" s="54">
        <f t="shared" si="117"/>
        <v>0</v>
      </c>
      <c r="AC208" s="54">
        <f t="shared" si="118"/>
        <v>0</v>
      </c>
      <c r="AD208" s="54">
        <f t="shared" si="119"/>
        <v>0</v>
      </c>
      <c r="AE208" s="54">
        <f t="shared" si="120"/>
        <v>0</v>
      </c>
      <c r="AG208" s="32">
        <f t="shared" si="121"/>
        <v>5</v>
      </c>
      <c r="AK208" s="25">
        <v>1</v>
      </c>
      <c r="AL208" s="54">
        <f t="shared" si="122"/>
        <v>0</v>
      </c>
      <c r="AM208" s="54">
        <f t="shared" si="123"/>
        <v>0</v>
      </c>
      <c r="AN208" s="54">
        <f t="shared" si="124"/>
        <v>0</v>
      </c>
      <c r="AO208" s="54">
        <f t="shared" si="125"/>
        <v>0</v>
      </c>
      <c r="AP208" s="54">
        <f t="shared" si="126"/>
        <v>0</v>
      </c>
      <c r="AR208" s="32">
        <f t="shared" si="127"/>
        <v>4</v>
      </c>
      <c r="AV208" s="25">
        <v>1</v>
      </c>
      <c r="AW208" s="54">
        <f t="shared" si="128"/>
        <v>0</v>
      </c>
      <c r="AX208" s="54">
        <f t="shared" si="129"/>
        <v>0</v>
      </c>
      <c r="AY208" s="54">
        <f t="shared" si="130"/>
        <v>0</v>
      </c>
      <c r="AZ208" s="54">
        <f t="shared" si="131"/>
        <v>0</v>
      </c>
      <c r="BA208" s="54">
        <f t="shared" si="132"/>
        <v>0</v>
      </c>
      <c r="BC208" s="32">
        <f t="shared" si="133"/>
        <v>3</v>
      </c>
      <c r="BG208" s="25">
        <v>1</v>
      </c>
      <c r="BH208" s="54">
        <f t="shared" si="134"/>
        <v>0</v>
      </c>
      <c r="BI208" s="54">
        <f t="shared" si="135"/>
        <v>0</v>
      </c>
      <c r="BJ208" s="54">
        <f t="shared" si="136"/>
        <v>0</v>
      </c>
      <c r="BK208" s="54">
        <f t="shared" si="137"/>
        <v>0</v>
      </c>
      <c r="BL208" s="54">
        <f t="shared" si="138"/>
        <v>0</v>
      </c>
      <c r="BN208" s="25">
        <f t="shared" si="139"/>
        <v>1</v>
      </c>
      <c r="BS208" s="39"/>
      <c r="BT208" s="39"/>
      <c r="BU208" s="39"/>
      <c r="BV208" s="39"/>
      <c r="BW208" s="39"/>
    </row>
    <row r="209" spans="3:75" x14ac:dyDescent="0.25">
      <c r="C209" s="62" t="str">
        <f t="shared" si="105"/>
        <v>-</v>
      </c>
      <c r="D209" s="62" t="str">
        <f t="shared" si="106"/>
        <v>-</v>
      </c>
      <c r="E209" s="62" t="str">
        <f t="shared" si="107"/>
        <v>-</v>
      </c>
      <c r="F209" s="62" t="str">
        <f t="shared" si="108"/>
        <v>-</v>
      </c>
      <c r="G209" s="62" t="str">
        <f t="shared" si="109"/>
        <v>-</v>
      </c>
      <c r="P209" s="62" t="str">
        <f t="shared" si="110"/>
        <v>-</v>
      </c>
      <c r="Q209" s="62" t="str">
        <f t="shared" si="111"/>
        <v>-</v>
      </c>
      <c r="R209" s="62" t="str">
        <f t="shared" si="112"/>
        <v>-</v>
      </c>
      <c r="S209" s="62" t="str">
        <f t="shared" si="113"/>
        <v>-</v>
      </c>
      <c r="T209" s="62" t="str">
        <f t="shared" si="114"/>
        <v>-</v>
      </c>
      <c r="V209" s="32">
        <f t="shared" si="115"/>
        <v>6</v>
      </c>
      <c r="Z209" s="25">
        <v>1</v>
      </c>
      <c r="AA209" s="54">
        <f t="shared" si="116"/>
        <v>0</v>
      </c>
      <c r="AB209" s="54">
        <f t="shared" si="117"/>
        <v>0</v>
      </c>
      <c r="AC209" s="54">
        <f t="shared" si="118"/>
        <v>0</v>
      </c>
      <c r="AD209" s="54">
        <f t="shared" si="119"/>
        <v>0</v>
      </c>
      <c r="AE209" s="54">
        <f t="shared" si="120"/>
        <v>0</v>
      </c>
      <c r="AG209" s="32">
        <f t="shared" si="121"/>
        <v>5</v>
      </c>
      <c r="AK209" s="25">
        <v>1</v>
      </c>
      <c r="AL209" s="54">
        <f t="shared" si="122"/>
        <v>0</v>
      </c>
      <c r="AM209" s="54">
        <f t="shared" si="123"/>
        <v>0</v>
      </c>
      <c r="AN209" s="54">
        <f t="shared" si="124"/>
        <v>0</v>
      </c>
      <c r="AO209" s="54">
        <f t="shared" si="125"/>
        <v>0</v>
      </c>
      <c r="AP209" s="54">
        <f t="shared" si="126"/>
        <v>0</v>
      </c>
      <c r="AR209" s="32">
        <f t="shared" si="127"/>
        <v>4</v>
      </c>
      <c r="AV209" s="25">
        <v>1</v>
      </c>
      <c r="AW209" s="54">
        <f t="shared" si="128"/>
        <v>0</v>
      </c>
      <c r="AX209" s="54">
        <f t="shared" si="129"/>
        <v>0</v>
      </c>
      <c r="AY209" s="54">
        <f t="shared" si="130"/>
        <v>0</v>
      </c>
      <c r="AZ209" s="54">
        <f t="shared" si="131"/>
        <v>0</v>
      </c>
      <c r="BA209" s="54">
        <f t="shared" si="132"/>
        <v>0</v>
      </c>
      <c r="BC209" s="32">
        <f t="shared" si="133"/>
        <v>3</v>
      </c>
      <c r="BG209" s="25">
        <v>1</v>
      </c>
      <c r="BH209" s="54">
        <f t="shared" si="134"/>
        <v>0</v>
      </c>
      <c r="BI209" s="54">
        <f t="shared" si="135"/>
        <v>0</v>
      </c>
      <c r="BJ209" s="54">
        <f t="shared" si="136"/>
        <v>0</v>
      </c>
      <c r="BK209" s="54">
        <f t="shared" si="137"/>
        <v>0</v>
      </c>
      <c r="BL209" s="54">
        <f t="shared" si="138"/>
        <v>0</v>
      </c>
      <c r="BN209" s="25">
        <f t="shared" si="139"/>
        <v>1</v>
      </c>
      <c r="BS209" s="39"/>
      <c r="BT209" s="39"/>
      <c r="BU209" s="39"/>
      <c r="BV209" s="39"/>
      <c r="BW209" s="39"/>
    </row>
    <row r="210" spans="3:75" x14ac:dyDescent="0.25">
      <c r="C210" s="62" t="str">
        <f t="shared" si="105"/>
        <v>-</v>
      </c>
      <c r="D210" s="62" t="str">
        <f t="shared" si="106"/>
        <v>-</v>
      </c>
      <c r="E210" s="62" t="str">
        <f t="shared" si="107"/>
        <v>-</v>
      </c>
      <c r="F210" s="62" t="str">
        <f t="shared" si="108"/>
        <v>-</v>
      </c>
      <c r="G210" s="62" t="str">
        <f t="shared" si="109"/>
        <v>-</v>
      </c>
      <c r="P210" s="62" t="str">
        <f t="shared" si="110"/>
        <v>-</v>
      </c>
      <c r="Q210" s="62" t="str">
        <f t="shared" si="111"/>
        <v>-</v>
      </c>
      <c r="R210" s="62" t="str">
        <f t="shared" si="112"/>
        <v>-</v>
      </c>
      <c r="S210" s="62" t="str">
        <f t="shared" si="113"/>
        <v>-</v>
      </c>
      <c r="T210" s="62" t="str">
        <f t="shared" si="114"/>
        <v>-</v>
      </c>
      <c r="V210" s="32">
        <f t="shared" si="115"/>
        <v>6</v>
      </c>
      <c r="Z210" s="25">
        <v>1</v>
      </c>
      <c r="AA210" s="54">
        <f t="shared" si="116"/>
        <v>0</v>
      </c>
      <c r="AB210" s="54">
        <f t="shared" si="117"/>
        <v>0</v>
      </c>
      <c r="AC210" s="54">
        <f t="shared" si="118"/>
        <v>0</v>
      </c>
      <c r="AD210" s="54">
        <f t="shared" si="119"/>
        <v>0</v>
      </c>
      <c r="AE210" s="54">
        <f t="shared" si="120"/>
        <v>0</v>
      </c>
      <c r="AG210" s="32">
        <f t="shared" si="121"/>
        <v>5</v>
      </c>
      <c r="AK210" s="25">
        <v>1</v>
      </c>
      <c r="AL210" s="54">
        <f t="shared" si="122"/>
        <v>0</v>
      </c>
      <c r="AM210" s="54">
        <f t="shared" si="123"/>
        <v>0</v>
      </c>
      <c r="AN210" s="54">
        <f t="shared" si="124"/>
        <v>0</v>
      </c>
      <c r="AO210" s="54">
        <f t="shared" si="125"/>
        <v>0</v>
      </c>
      <c r="AP210" s="54">
        <f t="shared" si="126"/>
        <v>0</v>
      </c>
      <c r="AR210" s="32">
        <f t="shared" si="127"/>
        <v>4</v>
      </c>
      <c r="AV210" s="25">
        <v>1</v>
      </c>
      <c r="AW210" s="54">
        <f t="shared" si="128"/>
        <v>0</v>
      </c>
      <c r="AX210" s="54">
        <f t="shared" si="129"/>
        <v>0</v>
      </c>
      <c r="AY210" s="54">
        <f t="shared" si="130"/>
        <v>0</v>
      </c>
      <c r="AZ210" s="54">
        <f t="shared" si="131"/>
        <v>0</v>
      </c>
      <c r="BA210" s="54">
        <f t="shared" si="132"/>
        <v>0</v>
      </c>
      <c r="BC210" s="32">
        <f t="shared" si="133"/>
        <v>3</v>
      </c>
      <c r="BG210" s="25">
        <v>1</v>
      </c>
      <c r="BH210" s="54">
        <f t="shared" si="134"/>
        <v>0</v>
      </c>
      <c r="BI210" s="54">
        <f t="shared" si="135"/>
        <v>0</v>
      </c>
      <c r="BJ210" s="54">
        <f t="shared" si="136"/>
        <v>0</v>
      </c>
      <c r="BK210" s="54">
        <f t="shared" si="137"/>
        <v>0</v>
      </c>
      <c r="BL210" s="54">
        <f t="shared" si="138"/>
        <v>0</v>
      </c>
      <c r="BN210" s="25">
        <f t="shared" si="139"/>
        <v>1</v>
      </c>
      <c r="BS210" s="39"/>
      <c r="BT210" s="39"/>
      <c r="BU210" s="39"/>
      <c r="BV210" s="39"/>
      <c r="BW210" s="39"/>
    </row>
    <row r="211" spans="3:75" x14ac:dyDescent="0.25">
      <c r="C211" s="62" t="str">
        <f t="shared" si="105"/>
        <v>-</v>
      </c>
      <c r="D211" s="62" t="str">
        <f t="shared" si="106"/>
        <v>-</v>
      </c>
      <c r="E211" s="62" t="str">
        <f t="shared" si="107"/>
        <v>-</v>
      </c>
      <c r="F211" s="62" t="str">
        <f t="shared" si="108"/>
        <v>-</v>
      </c>
      <c r="G211" s="62" t="str">
        <f t="shared" si="109"/>
        <v>-</v>
      </c>
      <c r="P211" s="62" t="str">
        <f t="shared" si="110"/>
        <v>-</v>
      </c>
      <c r="Q211" s="62" t="str">
        <f t="shared" si="111"/>
        <v>-</v>
      </c>
      <c r="R211" s="62" t="str">
        <f t="shared" si="112"/>
        <v>-</v>
      </c>
      <c r="S211" s="62" t="str">
        <f t="shared" si="113"/>
        <v>-</v>
      </c>
      <c r="T211" s="62" t="str">
        <f t="shared" si="114"/>
        <v>-</v>
      </c>
      <c r="V211" s="32">
        <f t="shared" si="115"/>
        <v>6</v>
      </c>
      <c r="Z211" s="25">
        <v>1</v>
      </c>
      <c r="AA211" s="54">
        <f t="shared" si="116"/>
        <v>0</v>
      </c>
      <c r="AB211" s="54">
        <f t="shared" si="117"/>
        <v>0</v>
      </c>
      <c r="AC211" s="54">
        <f t="shared" si="118"/>
        <v>0</v>
      </c>
      <c r="AD211" s="54">
        <f t="shared" si="119"/>
        <v>0</v>
      </c>
      <c r="AE211" s="54">
        <f t="shared" si="120"/>
        <v>0</v>
      </c>
      <c r="AG211" s="32">
        <f t="shared" si="121"/>
        <v>5</v>
      </c>
      <c r="AK211" s="25">
        <v>1</v>
      </c>
      <c r="AL211" s="54">
        <f t="shared" si="122"/>
        <v>0</v>
      </c>
      <c r="AM211" s="54">
        <f t="shared" si="123"/>
        <v>0</v>
      </c>
      <c r="AN211" s="54">
        <f t="shared" si="124"/>
        <v>0</v>
      </c>
      <c r="AO211" s="54">
        <f t="shared" si="125"/>
        <v>0</v>
      </c>
      <c r="AP211" s="54">
        <f t="shared" si="126"/>
        <v>0</v>
      </c>
      <c r="AR211" s="32">
        <f t="shared" si="127"/>
        <v>4</v>
      </c>
      <c r="AV211" s="25">
        <v>1</v>
      </c>
      <c r="AW211" s="54">
        <f t="shared" si="128"/>
        <v>0</v>
      </c>
      <c r="AX211" s="54">
        <f t="shared" si="129"/>
        <v>0</v>
      </c>
      <c r="AY211" s="54">
        <f t="shared" si="130"/>
        <v>0</v>
      </c>
      <c r="AZ211" s="54">
        <f t="shared" si="131"/>
        <v>0</v>
      </c>
      <c r="BA211" s="54">
        <f t="shared" si="132"/>
        <v>0</v>
      </c>
      <c r="BC211" s="32">
        <f t="shared" si="133"/>
        <v>3</v>
      </c>
      <c r="BG211" s="25">
        <v>1</v>
      </c>
      <c r="BH211" s="54">
        <f t="shared" si="134"/>
        <v>0</v>
      </c>
      <c r="BI211" s="54">
        <f t="shared" si="135"/>
        <v>0</v>
      </c>
      <c r="BJ211" s="54">
        <f t="shared" si="136"/>
        <v>0</v>
      </c>
      <c r="BK211" s="54">
        <f t="shared" si="137"/>
        <v>0</v>
      </c>
      <c r="BL211" s="54">
        <f t="shared" si="138"/>
        <v>0</v>
      </c>
      <c r="BN211" s="25">
        <f t="shared" si="139"/>
        <v>1</v>
      </c>
      <c r="BS211" s="39"/>
      <c r="BT211" s="39"/>
      <c r="BU211" s="39"/>
      <c r="BV211" s="39"/>
      <c r="BW211" s="39"/>
    </row>
    <row r="212" spans="3:75" x14ac:dyDescent="0.25">
      <c r="C212" s="62" t="str">
        <f t="shared" si="105"/>
        <v>-</v>
      </c>
      <c r="D212" s="62" t="str">
        <f t="shared" si="106"/>
        <v>-</v>
      </c>
      <c r="E212" s="62" t="str">
        <f t="shared" si="107"/>
        <v>-</v>
      </c>
      <c r="F212" s="62" t="str">
        <f t="shared" si="108"/>
        <v>-</v>
      </c>
      <c r="G212" s="62" t="str">
        <f t="shared" si="109"/>
        <v>-</v>
      </c>
      <c r="P212" s="62" t="str">
        <f t="shared" si="110"/>
        <v>-</v>
      </c>
      <c r="Q212" s="62" t="str">
        <f t="shared" si="111"/>
        <v>-</v>
      </c>
      <c r="R212" s="62" t="str">
        <f t="shared" si="112"/>
        <v>-</v>
      </c>
      <c r="S212" s="62" t="str">
        <f t="shared" si="113"/>
        <v>-</v>
      </c>
      <c r="T212" s="62" t="str">
        <f t="shared" si="114"/>
        <v>-</v>
      </c>
      <c r="V212" s="32">
        <f t="shared" si="115"/>
        <v>6</v>
      </c>
      <c r="Z212" s="25">
        <v>1</v>
      </c>
      <c r="AA212" s="54">
        <f t="shared" si="116"/>
        <v>0</v>
      </c>
      <c r="AB212" s="54">
        <f t="shared" si="117"/>
        <v>0</v>
      </c>
      <c r="AC212" s="54">
        <f t="shared" si="118"/>
        <v>0</v>
      </c>
      <c r="AD212" s="54">
        <f t="shared" si="119"/>
        <v>0</v>
      </c>
      <c r="AE212" s="54">
        <f t="shared" si="120"/>
        <v>0</v>
      </c>
      <c r="AG212" s="32">
        <f t="shared" si="121"/>
        <v>5</v>
      </c>
      <c r="AK212" s="25">
        <v>1</v>
      </c>
      <c r="AL212" s="54">
        <f t="shared" si="122"/>
        <v>0</v>
      </c>
      <c r="AM212" s="54">
        <f t="shared" si="123"/>
        <v>0</v>
      </c>
      <c r="AN212" s="54">
        <f t="shared" si="124"/>
        <v>0</v>
      </c>
      <c r="AO212" s="54">
        <f t="shared" si="125"/>
        <v>0</v>
      </c>
      <c r="AP212" s="54">
        <f t="shared" si="126"/>
        <v>0</v>
      </c>
      <c r="AR212" s="32">
        <f t="shared" si="127"/>
        <v>4</v>
      </c>
      <c r="AV212" s="25">
        <v>1</v>
      </c>
      <c r="AW212" s="54">
        <f t="shared" si="128"/>
        <v>0</v>
      </c>
      <c r="AX212" s="54">
        <f t="shared" si="129"/>
        <v>0</v>
      </c>
      <c r="AY212" s="54">
        <f t="shared" si="130"/>
        <v>0</v>
      </c>
      <c r="AZ212" s="54">
        <f t="shared" si="131"/>
        <v>0</v>
      </c>
      <c r="BA212" s="54">
        <f t="shared" si="132"/>
        <v>0</v>
      </c>
      <c r="BC212" s="32">
        <f t="shared" si="133"/>
        <v>3</v>
      </c>
      <c r="BG212" s="25">
        <v>1</v>
      </c>
      <c r="BH212" s="54">
        <f t="shared" si="134"/>
        <v>0</v>
      </c>
      <c r="BI212" s="54">
        <f t="shared" si="135"/>
        <v>0</v>
      </c>
      <c r="BJ212" s="54">
        <f t="shared" si="136"/>
        <v>0</v>
      </c>
      <c r="BK212" s="54">
        <f t="shared" si="137"/>
        <v>0</v>
      </c>
      <c r="BL212" s="54">
        <f t="shared" si="138"/>
        <v>0</v>
      </c>
      <c r="BN212" s="25">
        <f t="shared" si="139"/>
        <v>1</v>
      </c>
      <c r="BS212" s="39"/>
      <c r="BT212" s="39"/>
      <c r="BU212" s="39"/>
      <c r="BV212" s="39"/>
      <c r="BW212" s="39"/>
    </row>
    <row r="213" spans="3:75" x14ac:dyDescent="0.25">
      <c r="C213" s="62" t="str">
        <f t="shared" si="105"/>
        <v>-</v>
      </c>
      <c r="D213" s="62" t="str">
        <f t="shared" si="106"/>
        <v>-</v>
      </c>
      <c r="E213" s="62" t="str">
        <f t="shared" si="107"/>
        <v>-</v>
      </c>
      <c r="F213" s="62" t="str">
        <f t="shared" si="108"/>
        <v>-</v>
      </c>
      <c r="G213" s="62" t="str">
        <f t="shared" si="109"/>
        <v>-</v>
      </c>
      <c r="P213" s="62" t="str">
        <f t="shared" si="110"/>
        <v>-</v>
      </c>
      <c r="Q213" s="62" t="str">
        <f t="shared" si="111"/>
        <v>-</v>
      </c>
      <c r="R213" s="62" t="str">
        <f t="shared" si="112"/>
        <v>-</v>
      </c>
      <c r="S213" s="62" t="str">
        <f t="shared" si="113"/>
        <v>-</v>
      </c>
      <c r="T213" s="62" t="str">
        <f t="shared" si="114"/>
        <v>-</v>
      </c>
      <c r="V213" s="32">
        <f t="shared" si="115"/>
        <v>6</v>
      </c>
      <c r="Z213" s="25">
        <v>1</v>
      </c>
      <c r="AA213" s="54">
        <f t="shared" si="116"/>
        <v>0</v>
      </c>
      <c r="AB213" s="54">
        <f t="shared" si="117"/>
        <v>0</v>
      </c>
      <c r="AC213" s="54">
        <f t="shared" si="118"/>
        <v>0</v>
      </c>
      <c r="AD213" s="54">
        <f t="shared" si="119"/>
        <v>0</v>
      </c>
      <c r="AE213" s="54">
        <f t="shared" si="120"/>
        <v>0</v>
      </c>
      <c r="AG213" s="32">
        <f t="shared" si="121"/>
        <v>5</v>
      </c>
      <c r="AK213" s="25">
        <v>1</v>
      </c>
      <c r="AL213" s="54">
        <f t="shared" si="122"/>
        <v>0</v>
      </c>
      <c r="AM213" s="54">
        <f t="shared" si="123"/>
        <v>0</v>
      </c>
      <c r="AN213" s="54">
        <f t="shared" si="124"/>
        <v>0</v>
      </c>
      <c r="AO213" s="54">
        <f t="shared" si="125"/>
        <v>0</v>
      </c>
      <c r="AP213" s="54">
        <f t="shared" si="126"/>
        <v>0</v>
      </c>
      <c r="AR213" s="32">
        <f t="shared" si="127"/>
        <v>4</v>
      </c>
      <c r="AV213" s="25">
        <v>1</v>
      </c>
      <c r="AW213" s="54">
        <f t="shared" si="128"/>
        <v>0</v>
      </c>
      <c r="AX213" s="54">
        <f t="shared" si="129"/>
        <v>0</v>
      </c>
      <c r="AY213" s="54">
        <f t="shared" si="130"/>
        <v>0</v>
      </c>
      <c r="AZ213" s="54">
        <f t="shared" si="131"/>
        <v>0</v>
      </c>
      <c r="BA213" s="54">
        <f t="shared" si="132"/>
        <v>0</v>
      </c>
      <c r="BC213" s="32">
        <f t="shared" si="133"/>
        <v>3</v>
      </c>
      <c r="BG213" s="25">
        <v>1</v>
      </c>
      <c r="BH213" s="54">
        <f t="shared" si="134"/>
        <v>0</v>
      </c>
      <c r="BI213" s="54">
        <f t="shared" si="135"/>
        <v>0</v>
      </c>
      <c r="BJ213" s="54">
        <f t="shared" si="136"/>
        <v>0</v>
      </c>
      <c r="BK213" s="54">
        <f t="shared" si="137"/>
        <v>0</v>
      </c>
      <c r="BL213" s="54">
        <f t="shared" si="138"/>
        <v>0</v>
      </c>
      <c r="BN213" s="25">
        <f t="shared" si="139"/>
        <v>1</v>
      </c>
      <c r="BS213" s="39"/>
      <c r="BT213" s="39"/>
      <c r="BU213" s="39"/>
      <c r="BV213" s="39"/>
      <c r="BW213" s="39"/>
    </row>
    <row r="214" spans="3:75" x14ac:dyDescent="0.25">
      <c r="C214" s="62" t="str">
        <f t="shared" si="105"/>
        <v>-</v>
      </c>
      <c r="D214" s="62" t="str">
        <f t="shared" si="106"/>
        <v>-</v>
      </c>
      <c r="E214" s="62" t="str">
        <f t="shared" si="107"/>
        <v>-</v>
      </c>
      <c r="F214" s="62" t="str">
        <f t="shared" si="108"/>
        <v>-</v>
      </c>
      <c r="G214" s="62" t="str">
        <f t="shared" si="109"/>
        <v>-</v>
      </c>
      <c r="P214" s="62" t="str">
        <f t="shared" si="110"/>
        <v>-</v>
      </c>
      <c r="Q214" s="62" t="str">
        <f t="shared" si="111"/>
        <v>-</v>
      </c>
      <c r="R214" s="62" t="str">
        <f t="shared" si="112"/>
        <v>-</v>
      </c>
      <c r="S214" s="62" t="str">
        <f t="shared" si="113"/>
        <v>-</v>
      </c>
      <c r="T214" s="62" t="str">
        <f t="shared" si="114"/>
        <v>-</v>
      </c>
      <c r="V214" s="32">
        <f t="shared" si="115"/>
        <v>6</v>
      </c>
      <c r="Z214" s="25">
        <v>1</v>
      </c>
      <c r="AA214" s="54">
        <f t="shared" si="116"/>
        <v>0</v>
      </c>
      <c r="AB214" s="54">
        <f t="shared" si="117"/>
        <v>0</v>
      </c>
      <c r="AC214" s="54">
        <f t="shared" si="118"/>
        <v>0</v>
      </c>
      <c r="AD214" s="54">
        <f t="shared" si="119"/>
        <v>0</v>
      </c>
      <c r="AE214" s="54">
        <f t="shared" si="120"/>
        <v>0</v>
      </c>
      <c r="AG214" s="32">
        <f t="shared" si="121"/>
        <v>5</v>
      </c>
      <c r="AK214" s="25">
        <v>1</v>
      </c>
      <c r="AL214" s="54">
        <f t="shared" si="122"/>
        <v>0</v>
      </c>
      <c r="AM214" s="54">
        <f t="shared" si="123"/>
        <v>0</v>
      </c>
      <c r="AN214" s="54">
        <f t="shared" si="124"/>
        <v>0</v>
      </c>
      <c r="AO214" s="54">
        <f t="shared" si="125"/>
        <v>0</v>
      </c>
      <c r="AP214" s="54">
        <f t="shared" si="126"/>
        <v>0</v>
      </c>
      <c r="AR214" s="32">
        <f t="shared" si="127"/>
        <v>4</v>
      </c>
      <c r="AV214" s="25">
        <v>1</v>
      </c>
      <c r="AW214" s="54">
        <f t="shared" si="128"/>
        <v>0</v>
      </c>
      <c r="AX214" s="54">
        <f t="shared" si="129"/>
        <v>0</v>
      </c>
      <c r="AY214" s="54">
        <f t="shared" si="130"/>
        <v>0</v>
      </c>
      <c r="AZ214" s="54">
        <f t="shared" si="131"/>
        <v>0</v>
      </c>
      <c r="BA214" s="54">
        <f t="shared" si="132"/>
        <v>0</v>
      </c>
      <c r="BC214" s="32">
        <f t="shared" si="133"/>
        <v>3</v>
      </c>
      <c r="BG214" s="25">
        <v>1</v>
      </c>
      <c r="BH214" s="54">
        <f t="shared" si="134"/>
        <v>0</v>
      </c>
      <c r="BI214" s="54">
        <f t="shared" si="135"/>
        <v>0</v>
      </c>
      <c r="BJ214" s="54">
        <f t="shared" si="136"/>
        <v>0</v>
      </c>
      <c r="BK214" s="54">
        <f t="shared" si="137"/>
        <v>0</v>
      </c>
      <c r="BL214" s="54">
        <f t="shared" si="138"/>
        <v>0</v>
      </c>
      <c r="BN214" s="25">
        <f t="shared" si="139"/>
        <v>1</v>
      </c>
      <c r="BS214" s="39"/>
      <c r="BT214" s="39"/>
      <c r="BU214" s="39"/>
      <c r="BV214" s="39"/>
      <c r="BW214" s="39"/>
    </row>
    <row r="215" spans="3:75" x14ac:dyDescent="0.25">
      <c r="C215" s="62" t="str">
        <f t="shared" si="105"/>
        <v>-</v>
      </c>
      <c r="D215" s="62" t="str">
        <f t="shared" si="106"/>
        <v>-</v>
      </c>
      <c r="E215" s="62" t="str">
        <f t="shared" si="107"/>
        <v>-</v>
      </c>
      <c r="F215" s="62" t="str">
        <f t="shared" si="108"/>
        <v>-</v>
      </c>
      <c r="G215" s="62" t="str">
        <f t="shared" si="109"/>
        <v>-</v>
      </c>
      <c r="P215" s="62" t="str">
        <f t="shared" si="110"/>
        <v>-</v>
      </c>
      <c r="Q215" s="62" t="str">
        <f t="shared" si="111"/>
        <v>-</v>
      </c>
      <c r="R215" s="62" t="str">
        <f t="shared" si="112"/>
        <v>-</v>
      </c>
      <c r="S215" s="62" t="str">
        <f t="shared" si="113"/>
        <v>-</v>
      </c>
      <c r="T215" s="62" t="str">
        <f t="shared" si="114"/>
        <v>-</v>
      </c>
      <c r="V215" s="32">
        <f t="shared" si="115"/>
        <v>6</v>
      </c>
      <c r="Z215" s="25">
        <v>1</v>
      </c>
      <c r="AA215" s="54">
        <f t="shared" si="116"/>
        <v>0</v>
      </c>
      <c r="AB215" s="54">
        <f t="shared" si="117"/>
        <v>0</v>
      </c>
      <c r="AC215" s="54">
        <f t="shared" si="118"/>
        <v>0</v>
      </c>
      <c r="AD215" s="54">
        <f t="shared" si="119"/>
        <v>0</v>
      </c>
      <c r="AE215" s="54">
        <f t="shared" si="120"/>
        <v>0</v>
      </c>
      <c r="AG215" s="32">
        <f t="shared" si="121"/>
        <v>5</v>
      </c>
      <c r="AK215" s="25">
        <v>1</v>
      </c>
      <c r="AL215" s="54">
        <f t="shared" si="122"/>
        <v>0</v>
      </c>
      <c r="AM215" s="54">
        <f t="shared" si="123"/>
        <v>0</v>
      </c>
      <c r="AN215" s="54">
        <f t="shared" si="124"/>
        <v>0</v>
      </c>
      <c r="AO215" s="54">
        <f t="shared" si="125"/>
        <v>0</v>
      </c>
      <c r="AP215" s="54">
        <f t="shared" si="126"/>
        <v>0</v>
      </c>
      <c r="AR215" s="32">
        <f t="shared" si="127"/>
        <v>4</v>
      </c>
      <c r="AV215" s="25">
        <v>1</v>
      </c>
      <c r="AW215" s="54">
        <f t="shared" si="128"/>
        <v>0</v>
      </c>
      <c r="AX215" s="54">
        <f t="shared" si="129"/>
        <v>0</v>
      </c>
      <c r="AY215" s="54">
        <f t="shared" si="130"/>
        <v>0</v>
      </c>
      <c r="AZ215" s="54">
        <f t="shared" si="131"/>
        <v>0</v>
      </c>
      <c r="BA215" s="54">
        <f t="shared" si="132"/>
        <v>0</v>
      </c>
      <c r="BC215" s="32">
        <f t="shared" si="133"/>
        <v>3</v>
      </c>
      <c r="BG215" s="25">
        <v>1</v>
      </c>
      <c r="BH215" s="54">
        <f t="shared" si="134"/>
        <v>0</v>
      </c>
      <c r="BI215" s="54">
        <f t="shared" si="135"/>
        <v>0</v>
      </c>
      <c r="BJ215" s="54">
        <f t="shared" si="136"/>
        <v>0</v>
      </c>
      <c r="BK215" s="54">
        <f t="shared" si="137"/>
        <v>0</v>
      </c>
      <c r="BL215" s="54">
        <f t="shared" si="138"/>
        <v>0</v>
      </c>
      <c r="BN215" s="25">
        <f t="shared" si="139"/>
        <v>1</v>
      </c>
      <c r="BS215" s="39"/>
      <c r="BT215" s="39"/>
      <c r="BU215" s="39"/>
      <c r="BV215" s="39"/>
      <c r="BW215" s="39"/>
    </row>
    <row r="216" spans="3:75" x14ac:dyDescent="0.25">
      <c r="C216" s="62" t="str">
        <f t="shared" si="105"/>
        <v>-</v>
      </c>
      <c r="D216" s="62" t="str">
        <f t="shared" si="106"/>
        <v>-</v>
      </c>
      <c r="E216" s="62" t="str">
        <f t="shared" si="107"/>
        <v>-</v>
      </c>
      <c r="F216" s="62" t="str">
        <f t="shared" si="108"/>
        <v>-</v>
      </c>
      <c r="G216" s="62" t="str">
        <f t="shared" si="109"/>
        <v>-</v>
      </c>
      <c r="P216" s="62" t="str">
        <f t="shared" si="110"/>
        <v>-</v>
      </c>
      <c r="Q216" s="62" t="str">
        <f t="shared" si="111"/>
        <v>-</v>
      </c>
      <c r="R216" s="62" t="str">
        <f t="shared" si="112"/>
        <v>-</v>
      </c>
      <c r="S216" s="62" t="str">
        <f t="shared" si="113"/>
        <v>-</v>
      </c>
      <c r="T216" s="62" t="str">
        <f t="shared" si="114"/>
        <v>-</v>
      </c>
      <c r="V216" s="32">
        <f t="shared" si="115"/>
        <v>6</v>
      </c>
      <c r="Z216" s="25">
        <v>1</v>
      </c>
      <c r="AA216" s="54">
        <f t="shared" si="116"/>
        <v>0</v>
      </c>
      <c r="AB216" s="54">
        <f t="shared" si="117"/>
        <v>0</v>
      </c>
      <c r="AC216" s="54">
        <f t="shared" si="118"/>
        <v>0</v>
      </c>
      <c r="AD216" s="54">
        <f t="shared" si="119"/>
        <v>0</v>
      </c>
      <c r="AE216" s="54">
        <f t="shared" si="120"/>
        <v>0</v>
      </c>
      <c r="AG216" s="32">
        <f t="shared" si="121"/>
        <v>5</v>
      </c>
      <c r="AK216" s="25">
        <v>1</v>
      </c>
      <c r="AL216" s="54">
        <f t="shared" si="122"/>
        <v>0</v>
      </c>
      <c r="AM216" s="54">
        <f t="shared" si="123"/>
        <v>0</v>
      </c>
      <c r="AN216" s="54">
        <f t="shared" si="124"/>
        <v>0</v>
      </c>
      <c r="AO216" s="54">
        <f t="shared" si="125"/>
        <v>0</v>
      </c>
      <c r="AP216" s="54">
        <f t="shared" si="126"/>
        <v>0</v>
      </c>
      <c r="AR216" s="32">
        <f t="shared" si="127"/>
        <v>4</v>
      </c>
      <c r="AV216" s="25">
        <v>1</v>
      </c>
      <c r="AW216" s="54">
        <f t="shared" si="128"/>
        <v>0</v>
      </c>
      <c r="AX216" s="54">
        <f t="shared" si="129"/>
        <v>0</v>
      </c>
      <c r="AY216" s="54">
        <f t="shared" si="130"/>
        <v>0</v>
      </c>
      <c r="AZ216" s="54">
        <f t="shared" si="131"/>
        <v>0</v>
      </c>
      <c r="BA216" s="54">
        <f t="shared" si="132"/>
        <v>0</v>
      </c>
      <c r="BC216" s="32">
        <f t="shared" si="133"/>
        <v>3</v>
      </c>
      <c r="BG216" s="25">
        <v>1</v>
      </c>
      <c r="BH216" s="54">
        <f t="shared" si="134"/>
        <v>0</v>
      </c>
      <c r="BI216" s="54">
        <f t="shared" si="135"/>
        <v>0</v>
      </c>
      <c r="BJ216" s="54">
        <f t="shared" si="136"/>
        <v>0</v>
      </c>
      <c r="BK216" s="54">
        <f t="shared" si="137"/>
        <v>0</v>
      </c>
      <c r="BL216" s="54">
        <f t="shared" si="138"/>
        <v>0</v>
      </c>
      <c r="BN216" s="25">
        <f t="shared" si="139"/>
        <v>1</v>
      </c>
      <c r="BS216" s="39"/>
      <c r="BT216" s="39"/>
      <c r="BU216" s="39"/>
      <c r="BV216" s="39"/>
      <c r="BW216" s="39"/>
    </row>
    <row r="217" spans="3:75" x14ac:dyDescent="0.25">
      <c r="C217" s="62" t="str">
        <f t="shared" si="105"/>
        <v>-</v>
      </c>
      <c r="D217" s="62" t="str">
        <f t="shared" si="106"/>
        <v>-</v>
      </c>
      <c r="E217" s="62" t="str">
        <f t="shared" si="107"/>
        <v>-</v>
      </c>
      <c r="F217" s="62" t="str">
        <f t="shared" si="108"/>
        <v>-</v>
      </c>
      <c r="G217" s="62" t="str">
        <f t="shared" si="109"/>
        <v>-</v>
      </c>
      <c r="P217" s="62" t="str">
        <f t="shared" si="110"/>
        <v>-</v>
      </c>
      <c r="Q217" s="62" t="str">
        <f t="shared" si="111"/>
        <v>-</v>
      </c>
      <c r="R217" s="62" t="str">
        <f t="shared" si="112"/>
        <v>-</v>
      </c>
      <c r="S217" s="62" t="str">
        <f t="shared" si="113"/>
        <v>-</v>
      </c>
      <c r="T217" s="62" t="str">
        <f t="shared" si="114"/>
        <v>-</v>
      </c>
      <c r="V217" s="32">
        <f t="shared" si="115"/>
        <v>6</v>
      </c>
      <c r="Z217" s="25">
        <v>1</v>
      </c>
      <c r="AA217" s="54">
        <f t="shared" si="116"/>
        <v>0</v>
      </c>
      <c r="AB217" s="54">
        <f t="shared" si="117"/>
        <v>0</v>
      </c>
      <c r="AC217" s="54">
        <f t="shared" si="118"/>
        <v>0</v>
      </c>
      <c r="AD217" s="54">
        <f t="shared" si="119"/>
        <v>0</v>
      </c>
      <c r="AE217" s="54">
        <f t="shared" si="120"/>
        <v>0</v>
      </c>
      <c r="AG217" s="32">
        <f t="shared" si="121"/>
        <v>5</v>
      </c>
      <c r="AK217" s="25">
        <v>1</v>
      </c>
      <c r="AL217" s="54">
        <f t="shared" si="122"/>
        <v>0</v>
      </c>
      <c r="AM217" s="54">
        <f t="shared" si="123"/>
        <v>0</v>
      </c>
      <c r="AN217" s="54">
        <f t="shared" si="124"/>
        <v>0</v>
      </c>
      <c r="AO217" s="54">
        <f t="shared" si="125"/>
        <v>0</v>
      </c>
      <c r="AP217" s="54">
        <f t="shared" si="126"/>
        <v>0</v>
      </c>
      <c r="AR217" s="32">
        <f t="shared" si="127"/>
        <v>4</v>
      </c>
      <c r="AV217" s="25">
        <v>1</v>
      </c>
      <c r="AW217" s="54">
        <f t="shared" si="128"/>
        <v>0</v>
      </c>
      <c r="AX217" s="54">
        <f t="shared" si="129"/>
        <v>0</v>
      </c>
      <c r="AY217" s="54">
        <f t="shared" si="130"/>
        <v>0</v>
      </c>
      <c r="AZ217" s="54">
        <f t="shared" si="131"/>
        <v>0</v>
      </c>
      <c r="BA217" s="54">
        <f t="shared" si="132"/>
        <v>0</v>
      </c>
      <c r="BC217" s="32">
        <f t="shared" si="133"/>
        <v>3</v>
      </c>
      <c r="BG217" s="25">
        <v>1</v>
      </c>
      <c r="BH217" s="54">
        <f t="shared" si="134"/>
        <v>0</v>
      </c>
      <c r="BI217" s="54">
        <f t="shared" si="135"/>
        <v>0</v>
      </c>
      <c r="BJ217" s="54">
        <f t="shared" si="136"/>
        <v>0</v>
      </c>
      <c r="BK217" s="54">
        <f t="shared" si="137"/>
        <v>0</v>
      </c>
      <c r="BL217" s="54">
        <f t="shared" si="138"/>
        <v>0</v>
      </c>
      <c r="BN217" s="25">
        <f t="shared" si="139"/>
        <v>1</v>
      </c>
      <c r="BS217" s="39"/>
      <c r="BT217" s="39"/>
      <c r="BU217" s="39"/>
      <c r="BV217" s="39"/>
      <c r="BW217" s="39"/>
    </row>
    <row r="218" spans="3:75" x14ac:dyDescent="0.25">
      <c r="C218" s="62" t="str">
        <f t="shared" si="105"/>
        <v>-</v>
      </c>
      <c r="D218" s="62" t="str">
        <f t="shared" si="106"/>
        <v>-</v>
      </c>
      <c r="E218" s="62" t="str">
        <f t="shared" si="107"/>
        <v>-</v>
      </c>
      <c r="F218" s="62" t="str">
        <f t="shared" si="108"/>
        <v>-</v>
      </c>
      <c r="G218" s="62" t="str">
        <f t="shared" si="109"/>
        <v>-</v>
      </c>
      <c r="P218" s="62" t="str">
        <f t="shared" si="110"/>
        <v>-</v>
      </c>
      <c r="Q218" s="62" t="str">
        <f t="shared" si="111"/>
        <v>-</v>
      </c>
      <c r="R218" s="62" t="str">
        <f t="shared" si="112"/>
        <v>-</v>
      </c>
      <c r="S218" s="62" t="str">
        <f t="shared" si="113"/>
        <v>-</v>
      </c>
      <c r="T218" s="62" t="str">
        <f t="shared" si="114"/>
        <v>-</v>
      </c>
      <c r="V218" s="32">
        <f t="shared" si="115"/>
        <v>6</v>
      </c>
      <c r="Z218" s="25">
        <v>1</v>
      </c>
      <c r="AA218" s="54">
        <f t="shared" si="116"/>
        <v>0</v>
      </c>
      <c r="AB218" s="54">
        <f t="shared" si="117"/>
        <v>0</v>
      </c>
      <c r="AC218" s="54">
        <f t="shared" si="118"/>
        <v>0</v>
      </c>
      <c r="AD218" s="54">
        <f t="shared" si="119"/>
        <v>0</v>
      </c>
      <c r="AE218" s="54">
        <f t="shared" si="120"/>
        <v>0</v>
      </c>
      <c r="AG218" s="32">
        <f t="shared" si="121"/>
        <v>5</v>
      </c>
      <c r="AK218" s="25">
        <v>1</v>
      </c>
      <c r="AL218" s="54">
        <f t="shared" si="122"/>
        <v>0</v>
      </c>
      <c r="AM218" s="54">
        <f t="shared" si="123"/>
        <v>0</v>
      </c>
      <c r="AN218" s="54">
        <f t="shared" si="124"/>
        <v>0</v>
      </c>
      <c r="AO218" s="54">
        <f t="shared" si="125"/>
        <v>0</v>
      </c>
      <c r="AP218" s="54">
        <f t="shared" si="126"/>
        <v>0</v>
      </c>
      <c r="AR218" s="32">
        <f t="shared" si="127"/>
        <v>4</v>
      </c>
      <c r="AV218" s="25">
        <v>1</v>
      </c>
      <c r="AW218" s="54">
        <f t="shared" si="128"/>
        <v>0</v>
      </c>
      <c r="AX218" s="54">
        <f t="shared" si="129"/>
        <v>0</v>
      </c>
      <c r="AY218" s="54">
        <f t="shared" si="130"/>
        <v>0</v>
      </c>
      <c r="AZ218" s="54">
        <f t="shared" si="131"/>
        <v>0</v>
      </c>
      <c r="BA218" s="54">
        <f t="shared" si="132"/>
        <v>0</v>
      </c>
      <c r="BC218" s="32">
        <f t="shared" si="133"/>
        <v>3</v>
      </c>
      <c r="BG218" s="25">
        <v>1</v>
      </c>
      <c r="BH218" s="54">
        <f t="shared" si="134"/>
        <v>0</v>
      </c>
      <c r="BI218" s="54">
        <f t="shared" si="135"/>
        <v>0</v>
      </c>
      <c r="BJ218" s="54">
        <f t="shared" si="136"/>
        <v>0</v>
      </c>
      <c r="BK218" s="54">
        <f t="shared" si="137"/>
        <v>0</v>
      </c>
      <c r="BL218" s="54">
        <f t="shared" si="138"/>
        <v>0</v>
      </c>
      <c r="BN218" s="25">
        <f t="shared" si="139"/>
        <v>1</v>
      </c>
      <c r="BS218" s="39"/>
      <c r="BT218" s="39"/>
      <c r="BU218" s="39"/>
      <c r="BV218" s="39"/>
      <c r="BW218" s="39"/>
    </row>
    <row r="219" spans="3:75" x14ac:dyDescent="0.25">
      <c r="C219" s="62" t="str">
        <f t="shared" si="105"/>
        <v>-</v>
      </c>
      <c r="D219" s="62" t="str">
        <f t="shared" si="106"/>
        <v>-</v>
      </c>
      <c r="E219" s="62" t="str">
        <f t="shared" si="107"/>
        <v>-</v>
      </c>
      <c r="F219" s="62" t="str">
        <f t="shared" si="108"/>
        <v>-</v>
      </c>
      <c r="G219" s="62" t="str">
        <f t="shared" si="109"/>
        <v>-</v>
      </c>
      <c r="P219" s="62" t="str">
        <f t="shared" si="110"/>
        <v>-</v>
      </c>
      <c r="Q219" s="62" t="str">
        <f t="shared" si="111"/>
        <v>-</v>
      </c>
      <c r="R219" s="62" t="str">
        <f t="shared" si="112"/>
        <v>-</v>
      </c>
      <c r="S219" s="62" t="str">
        <f t="shared" si="113"/>
        <v>-</v>
      </c>
      <c r="T219" s="62" t="str">
        <f t="shared" si="114"/>
        <v>-</v>
      </c>
      <c r="V219" s="32">
        <f t="shared" si="115"/>
        <v>6</v>
      </c>
      <c r="Z219" s="25">
        <v>1</v>
      </c>
      <c r="AA219" s="54">
        <f t="shared" si="116"/>
        <v>0</v>
      </c>
      <c r="AB219" s="54">
        <f t="shared" si="117"/>
        <v>0</v>
      </c>
      <c r="AC219" s="54">
        <f t="shared" si="118"/>
        <v>0</v>
      </c>
      <c r="AD219" s="54">
        <f t="shared" si="119"/>
        <v>0</v>
      </c>
      <c r="AE219" s="54">
        <f t="shared" si="120"/>
        <v>0</v>
      </c>
      <c r="AG219" s="32">
        <f t="shared" si="121"/>
        <v>5</v>
      </c>
      <c r="AK219" s="25">
        <v>1</v>
      </c>
      <c r="AL219" s="54">
        <f t="shared" si="122"/>
        <v>0</v>
      </c>
      <c r="AM219" s="54">
        <f t="shared" si="123"/>
        <v>0</v>
      </c>
      <c r="AN219" s="54">
        <f t="shared" si="124"/>
        <v>0</v>
      </c>
      <c r="AO219" s="54">
        <f t="shared" si="125"/>
        <v>0</v>
      </c>
      <c r="AP219" s="54">
        <f t="shared" si="126"/>
        <v>0</v>
      </c>
      <c r="AR219" s="32">
        <f t="shared" si="127"/>
        <v>4</v>
      </c>
      <c r="AV219" s="25">
        <v>1</v>
      </c>
      <c r="AW219" s="54">
        <f t="shared" si="128"/>
        <v>0</v>
      </c>
      <c r="AX219" s="54">
        <f t="shared" si="129"/>
        <v>0</v>
      </c>
      <c r="AY219" s="54">
        <f t="shared" si="130"/>
        <v>0</v>
      </c>
      <c r="AZ219" s="54">
        <f t="shared" si="131"/>
        <v>0</v>
      </c>
      <c r="BA219" s="54">
        <f t="shared" si="132"/>
        <v>0</v>
      </c>
      <c r="BC219" s="32">
        <f t="shared" si="133"/>
        <v>3</v>
      </c>
      <c r="BG219" s="25">
        <v>1</v>
      </c>
      <c r="BH219" s="54">
        <f t="shared" si="134"/>
        <v>0</v>
      </c>
      <c r="BI219" s="54">
        <f t="shared" si="135"/>
        <v>0</v>
      </c>
      <c r="BJ219" s="54">
        <f t="shared" si="136"/>
        <v>0</v>
      </c>
      <c r="BK219" s="54">
        <f t="shared" si="137"/>
        <v>0</v>
      </c>
      <c r="BL219" s="54">
        <f t="shared" si="138"/>
        <v>0</v>
      </c>
      <c r="BN219" s="25">
        <f t="shared" si="139"/>
        <v>1</v>
      </c>
      <c r="BS219" s="39"/>
      <c r="BT219" s="39"/>
      <c r="BU219" s="39"/>
      <c r="BV219" s="39"/>
      <c r="BW219" s="39"/>
    </row>
    <row r="220" spans="3:75" x14ac:dyDescent="0.25">
      <c r="C220" s="62" t="str">
        <f t="shared" si="105"/>
        <v>-</v>
      </c>
      <c r="D220" s="62" t="str">
        <f t="shared" si="106"/>
        <v>-</v>
      </c>
      <c r="E220" s="62" t="str">
        <f t="shared" si="107"/>
        <v>-</v>
      </c>
      <c r="F220" s="62" t="str">
        <f t="shared" si="108"/>
        <v>-</v>
      </c>
      <c r="G220" s="62" t="str">
        <f t="shared" si="109"/>
        <v>-</v>
      </c>
      <c r="P220" s="62" t="str">
        <f t="shared" si="110"/>
        <v>-</v>
      </c>
      <c r="Q220" s="62" t="str">
        <f t="shared" si="111"/>
        <v>-</v>
      </c>
      <c r="R220" s="62" t="str">
        <f t="shared" si="112"/>
        <v>-</v>
      </c>
      <c r="S220" s="62" t="str">
        <f t="shared" si="113"/>
        <v>-</v>
      </c>
      <c r="T220" s="62" t="str">
        <f t="shared" si="114"/>
        <v>-</v>
      </c>
      <c r="V220" s="32">
        <f t="shared" si="115"/>
        <v>6</v>
      </c>
      <c r="Z220" s="25">
        <v>1</v>
      </c>
      <c r="AA220" s="54">
        <f t="shared" si="116"/>
        <v>0</v>
      </c>
      <c r="AB220" s="54">
        <f t="shared" si="117"/>
        <v>0</v>
      </c>
      <c r="AC220" s="54">
        <f t="shared" si="118"/>
        <v>0</v>
      </c>
      <c r="AD220" s="54">
        <f t="shared" si="119"/>
        <v>0</v>
      </c>
      <c r="AE220" s="54">
        <f t="shared" si="120"/>
        <v>0</v>
      </c>
      <c r="AG220" s="32">
        <f t="shared" si="121"/>
        <v>5</v>
      </c>
      <c r="AK220" s="25">
        <v>1</v>
      </c>
      <c r="AL220" s="54">
        <f t="shared" si="122"/>
        <v>0</v>
      </c>
      <c r="AM220" s="54">
        <f t="shared" si="123"/>
        <v>0</v>
      </c>
      <c r="AN220" s="54">
        <f t="shared" si="124"/>
        <v>0</v>
      </c>
      <c r="AO220" s="54">
        <f t="shared" si="125"/>
        <v>0</v>
      </c>
      <c r="AP220" s="54">
        <f t="shared" si="126"/>
        <v>0</v>
      </c>
      <c r="AR220" s="32">
        <f t="shared" si="127"/>
        <v>4</v>
      </c>
      <c r="AV220" s="25">
        <v>1</v>
      </c>
      <c r="AW220" s="54">
        <f t="shared" si="128"/>
        <v>0</v>
      </c>
      <c r="AX220" s="54">
        <f t="shared" si="129"/>
        <v>0</v>
      </c>
      <c r="AY220" s="54">
        <f t="shared" si="130"/>
        <v>0</v>
      </c>
      <c r="AZ220" s="54">
        <f t="shared" si="131"/>
        <v>0</v>
      </c>
      <c r="BA220" s="54">
        <f t="shared" si="132"/>
        <v>0</v>
      </c>
      <c r="BC220" s="32">
        <f t="shared" si="133"/>
        <v>3</v>
      </c>
      <c r="BG220" s="25">
        <v>1</v>
      </c>
      <c r="BH220" s="54">
        <f t="shared" si="134"/>
        <v>0</v>
      </c>
      <c r="BI220" s="54">
        <f t="shared" si="135"/>
        <v>0</v>
      </c>
      <c r="BJ220" s="54">
        <f t="shared" si="136"/>
        <v>0</v>
      </c>
      <c r="BK220" s="54">
        <f t="shared" si="137"/>
        <v>0</v>
      </c>
      <c r="BL220" s="54">
        <f t="shared" si="138"/>
        <v>0</v>
      </c>
      <c r="BN220" s="25">
        <f t="shared" si="139"/>
        <v>1</v>
      </c>
      <c r="BS220" s="39"/>
      <c r="BT220" s="39"/>
      <c r="BU220" s="39"/>
      <c r="BV220" s="39"/>
      <c r="BW220" s="39"/>
    </row>
    <row r="221" spans="3:75" x14ac:dyDescent="0.25">
      <c r="C221" s="62" t="str">
        <f t="shared" si="105"/>
        <v>-</v>
      </c>
      <c r="D221" s="62" t="str">
        <f t="shared" si="106"/>
        <v>-</v>
      </c>
      <c r="E221" s="62" t="str">
        <f t="shared" si="107"/>
        <v>-</v>
      </c>
      <c r="F221" s="62" t="str">
        <f t="shared" si="108"/>
        <v>-</v>
      </c>
      <c r="G221" s="62" t="str">
        <f t="shared" si="109"/>
        <v>-</v>
      </c>
      <c r="P221" s="62" t="str">
        <f t="shared" si="110"/>
        <v>-</v>
      </c>
      <c r="Q221" s="62" t="str">
        <f t="shared" si="111"/>
        <v>-</v>
      </c>
      <c r="R221" s="62" t="str">
        <f t="shared" si="112"/>
        <v>-</v>
      </c>
      <c r="S221" s="62" t="str">
        <f t="shared" si="113"/>
        <v>-</v>
      </c>
      <c r="T221" s="62" t="str">
        <f t="shared" si="114"/>
        <v>-</v>
      </c>
      <c r="V221" s="32">
        <f t="shared" si="115"/>
        <v>6</v>
      </c>
      <c r="Z221" s="25">
        <v>1</v>
      </c>
      <c r="AA221" s="54">
        <f t="shared" si="116"/>
        <v>0</v>
      </c>
      <c r="AB221" s="54">
        <f t="shared" si="117"/>
        <v>0</v>
      </c>
      <c r="AC221" s="54">
        <f t="shared" si="118"/>
        <v>0</v>
      </c>
      <c r="AD221" s="54">
        <f t="shared" si="119"/>
        <v>0</v>
      </c>
      <c r="AE221" s="54">
        <f t="shared" si="120"/>
        <v>0</v>
      </c>
      <c r="AG221" s="32">
        <f t="shared" si="121"/>
        <v>5</v>
      </c>
      <c r="AK221" s="25">
        <v>1</v>
      </c>
      <c r="AL221" s="54">
        <f t="shared" si="122"/>
        <v>0</v>
      </c>
      <c r="AM221" s="54">
        <f t="shared" si="123"/>
        <v>0</v>
      </c>
      <c r="AN221" s="54">
        <f t="shared" si="124"/>
        <v>0</v>
      </c>
      <c r="AO221" s="54">
        <f t="shared" si="125"/>
        <v>0</v>
      </c>
      <c r="AP221" s="54">
        <f t="shared" si="126"/>
        <v>0</v>
      </c>
      <c r="AR221" s="32">
        <f t="shared" si="127"/>
        <v>4</v>
      </c>
      <c r="AV221" s="25">
        <v>1</v>
      </c>
      <c r="AW221" s="54">
        <f t="shared" si="128"/>
        <v>0</v>
      </c>
      <c r="AX221" s="54">
        <f t="shared" si="129"/>
        <v>0</v>
      </c>
      <c r="AY221" s="54">
        <f t="shared" si="130"/>
        <v>0</v>
      </c>
      <c r="AZ221" s="54">
        <f t="shared" si="131"/>
        <v>0</v>
      </c>
      <c r="BA221" s="54">
        <f t="shared" si="132"/>
        <v>0</v>
      </c>
      <c r="BC221" s="32">
        <f t="shared" si="133"/>
        <v>3</v>
      </c>
      <c r="BG221" s="25">
        <v>1</v>
      </c>
      <c r="BH221" s="54">
        <f t="shared" si="134"/>
        <v>0</v>
      </c>
      <c r="BI221" s="54">
        <f t="shared" si="135"/>
        <v>0</v>
      </c>
      <c r="BJ221" s="54">
        <f t="shared" si="136"/>
        <v>0</v>
      </c>
      <c r="BK221" s="54">
        <f t="shared" si="137"/>
        <v>0</v>
      </c>
      <c r="BL221" s="54">
        <f t="shared" si="138"/>
        <v>0</v>
      </c>
      <c r="BN221" s="25">
        <f t="shared" si="139"/>
        <v>1</v>
      </c>
      <c r="BS221" s="39"/>
      <c r="BT221" s="39"/>
      <c r="BU221" s="39"/>
      <c r="BV221" s="39"/>
      <c r="BW221" s="39"/>
    </row>
    <row r="222" spans="3:75" x14ac:dyDescent="0.25">
      <c r="C222" s="62" t="str">
        <f t="shared" si="105"/>
        <v>-</v>
      </c>
      <c r="D222" s="62" t="str">
        <f t="shared" si="106"/>
        <v>-</v>
      </c>
      <c r="E222" s="62" t="str">
        <f t="shared" si="107"/>
        <v>-</v>
      </c>
      <c r="F222" s="62" t="str">
        <f t="shared" si="108"/>
        <v>-</v>
      </c>
      <c r="G222" s="62" t="str">
        <f t="shared" si="109"/>
        <v>-</v>
      </c>
      <c r="P222" s="62" t="str">
        <f t="shared" si="110"/>
        <v>-</v>
      </c>
      <c r="Q222" s="62" t="str">
        <f t="shared" si="111"/>
        <v>-</v>
      </c>
      <c r="R222" s="62" t="str">
        <f t="shared" si="112"/>
        <v>-</v>
      </c>
      <c r="S222" s="62" t="str">
        <f t="shared" si="113"/>
        <v>-</v>
      </c>
      <c r="T222" s="62" t="str">
        <f t="shared" si="114"/>
        <v>-</v>
      </c>
      <c r="V222" s="32">
        <f t="shared" si="115"/>
        <v>6</v>
      </c>
      <c r="Z222" s="25">
        <v>1</v>
      </c>
      <c r="AA222" s="54">
        <f t="shared" si="116"/>
        <v>0</v>
      </c>
      <c r="AB222" s="54">
        <f t="shared" si="117"/>
        <v>0</v>
      </c>
      <c r="AC222" s="54">
        <f t="shared" si="118"/>
        <v>0</v>
      </c>
      <c r="AD222" s="54">
        <f t="shared" si="119"/>
        <v>0</v>
      </c>
      <c r="AE222" s="54">
        <f t="shared" si="120"/>
        <v>0</v>
      </c>
      <c r="AG222" s="32">
        <f t="shared" si="121"/>
        <v>5</v>
      </c>
      <c r="AK222" s="25">
        <v>1</v>
      </c>
      <c r="AL222" s="54">
        <f t="shared" si="122"/>
        <v>0</v>
      </c>
      <c r="AM222" s="54">
        <f t="shared" si="123"/>
        <v>0</v>
      </c>
      <c r="AN222" s="54">
        <f t="shared" si="124"/>
        <v>0</v>
      </c>
      <c r="AO222" s="54">
        <f t="shared" si="125"/>
        <v>0</v>
      </c>
      <c r="AP222" s="54">
        <f t="shared" si="126"/>
        <v>0</v>
      </c>
      <c r="AR222" s="32">
        <f t="shared" si="127"/>
        <v>4</v>
      </c>
      <c r="AV222" s="25">
        <v>1</v>
      </c>
      <c r="AW222" s="54">
        <f t="shared" si="128"/>
        <v>0</v>
      </c>
      <c r="AX222" s="54">
        <f t="shared" si="129"/>
        <v>0</v>
      </c>
      <c r="AY222" s="54">
        <f t="shared" si="130"/>
        <v>0</v>
      </c>
      <c r="AZ222" s="54">
        <f t="shared" si="131"/>
        <v>0</v>
      </c>
      <c r="BA222" s="54">
        <f t="shared" si="132"/>
        <v>0</v>
      </c>
      <c r="BC222" s="32">
        <f t="shared" si="133"/>
        <v>3</v>
      </c>
      <c r="BG222" s="25">
        <v>1</v>
      </c>
      <c r="BH222" s="54">
        <f t="shared" si="134"/>
        <v>0</v>
      </c>
      <c r="BI222" s="54">
        <f t="shared" si="135"/>
        <v>0</v>
      </c>
      <c r="BJ222" s="54">
        <f t="shared" si="136"/>
        <v>0</v>
      </c>
      <c r="BK222" s="54">
        <f t="shared" si="137"/>
        <v>0</v>
      </c>
      <c r="BL222" s="54">
        <f t="shared" si="138"/>
        <v>0</v>
      </c>
      <c r="BN222" s="25">
        <f t="shared" si="139"/>
        <v>1</v>
      </c>
      <c r="BS222" s="39"/>
      <c r="BT222" s="39"/>
      <c r="BU222" s="39"/>
      <c r="BV222" s="39"/>
      <c r="BW222" s="39"/>
    </row>
    <row r="223" spans="3:75" x14ac:dyDescent="0.25">
      <c r="C223" s="62" t="str">
        <f t="shared" si="105"/>
        <v>-</v>
      </c>
      <c r="D223" s="62" t="str">
        <f t="shared" si="106"/>
        <v>-</v>
      </c>
      <c r="E223" s="62" t="str">
        <f t="shared" si="107"/>
        <v>-</v>
      </c>
      <c r="F223" s="62" t="str">
        <f t="shared" si="108"/>
        <v>-</v>
      </c>
      <c r="G223" s="62" t="str">
        <f t="shared" si="109"/>
        <v>-</v>
      </c>
      <c r="P223" s="62" t="str">
        <f t="shared" si="110"/>
        <v>-</v>
      </c>
      <c r="Q223" s="62" t="str">
        <f t="shared" si="111"/>
        <v>-</v>
      </c>
      <c r="R223" s="62" t="str">
        <f t="shared" si="112"/>
        <v>-</v>
      </c>
      <c r="S223" s="62" t="str">
        <f t="shared" si="113"/>
        <v>-</v>
      </c>
      <c r="T223" s="62" t="str">
        <f t="shared" si="114"/>
        <v>-</v>
      </c>
      <c r="V223" s="32">
        <f t="shared" si="115"/>
        <v>6</v>
      </c>
      <c r="Z223" s="25">
        <v>1</v>
      </c>
      <c r="AA223" s="54">
        <f t="shared" si="116"/>
        <v>0</v>
      </c>
      <c r="AB223" s="54">
        <f t="shared" si="117"/>
        <v>0</v>
      </c>
      <c r="AC223" s="54">
        <f t="shared" si="118"/>
        <v>0</v>
      </c>
      <c r="AD223" s="54">
        <f t="shared" si="119"/>
        <v>0</v>
      </c>
      <c r="AE223" s="54">
        <f t="shared" si="120"/>
        <v>0</v>
      </c>
      <c r="AG223" s="32">
        <f t="shared" si="121"/>
        <v>5</v>
      </c>
      <c r="AK223" s="25">
        <v>1</v>
      </c>
      <c r="AL223" s="54">
        <f t="shared" si="122"/>
        <v>0</v>
      </c>
      <c r="AM223" s="54">
        <f t="shared" si="123"/>
        <v>0</v>
      </c>
      <c r="AN223" s="54">
        <f t="shared" si="124"/>
        <v>0</v>
      </c>
      <c r="AO223" s="54">
        <f t="shared" si="125"/>
        <v>0</v>
      </c>
      <c r="AP223" s="54">
        <f t="shared" si="126"/>
        <v>0</v>
      </c>
      <c r="AR223" s="32">
        <f t="shared" si="127"/>
        <v>4</v>
      </c>
      <c r="AV223" s="25">
        <v>1</v>
      </c>
      <c r="AW223" s="54">
        <f t="shared" si="128"/>
        <v>0</v>
      </c>
      <c r="AX223" s="54">
        <f t="shared" si="129"/>
        <v>0</v>
      </c>
      <c r="AY223" s="54">
        <f t="shared" si="130"/>
        <v>0</v>
      </c>
      <c r="AZ223" s="54">
        <f t="shared" si="131"/>
        <v>0</v>
      </c>
      <c r="BA223" s="54">
        <f t="shared" si="132"/>
        <v>0</v>
      </c>
      <c r="BC223" s="32">
        <f t="shared" si="133"/>
        <v>3</v>
      </c>
      <c r="BG223" s="25">
        <v>1</v>
      </c>
      <c r="BH223" s="54">
        <f t="shared" si="134"/>
        <v>0</v>
      </c>
      <c r="BI223" s="54">
        <f t="shared" si="135"/>
        <v>0</v>
      </c>
      <c r="BJ223" s="54">
        <f t="shared" si="136"/>
        <v>0</v>
      </c>
      <c r="BK223" s="54">
        <f t="shared" si="137"/>
        <v>0</v>
      </c>
      <c r="BL223" s="54">
        <f t="shared" si="138"/>
        <v>0</v>
      </c>
      <c r="BN223" s="25">
        <f t="shared" si="139"/>
        <v>1</v>
      </c>
      <c r="BS223" s="39"/>
      <c r="BT223" s="39"/>
      <c r="BU223" s="39"/>
      <c r="BV223" s="39"/>
      <c r="BW223" s="39"/>
    </row>
    <row r="224" spans="3:75" x14ac:dyDescent="0.25">
      <c r="C224" s="62" t="str">
        <f t="shared" si="105"/>
        <v>-</v>
      </c>
      <c r="D224" s="62" t="str">
        <f t="shared" si="106"/>
        <v>-</v>
      </c>
      <c r="E224" s="62" t="str">
        <f t="shared" si="107"/>
        <v>-</v>
      </c>
      <c r="F224" s="62" t="str">
        <f t="shared" si="108"/>
        <v>-</v>
      </c>
      <c r="G224" s="62" t="str">
        <f t="shared" si="109"/>
        <v>-</v>
      </c>
      <c r="P224" s="62" t="str">
        <f t="shared" si="110"/>
        <v>-</v>
      </c>
      <c r="Q224" s="62" t="str">
        <f t="shared" si="111"/>
        <v>-</v>
      </c>
      <c r="R224" s="62" t="str">
        <f t="shared" si="112"/>
        <v>-</v>
      </c>
      <c r="S224" s="62" t="str">
        <f t="shared" si="113"/>
        <v>-</v>
      </c>
      <c r="T224" s="62" t="str">
        <f t="shared" si="114"/>
        <v>-</v>
      </c>
      <c r="V224" s="32">
        <f t="shared" si="115"/>
        <v>6</v>
      </c>
      <c r="Z224" s="25">
        <v>1</v>
      </c>
      <c r="AA224" s="54">
        <f t="shared" si="116"/>
        <v>0</v>
      </c>
      <c r="AB224" s="54">
        <f t="shared" si="117"/>
        <v>0</v>
      </c>
      <c r="AC224" s="54">
        <f t="shared" si="118"/>
        <v>0</v>
      </c>
      <c r="AD224" s="54">
        <f t="shared" si="119"/>
        <v>0</v>
      </c>
      <c r="AE224" s="54">
        <f t="shared" si="120"/>
        <v>0</v>
      </c>
      <c r="AG224" s="32">
        <f t="shared" si="121"/>
        <v>5</v>
      </c>
      <c r="AK224" s="25">
        <v>1</v>
      </c>
      <c r="AL224" s="54">
        <f t="shared" si="122"/>
        <v>0</v>
      </c>
      <c r="AM224" s="54">
        <f t="shared" si="123"/>
        <v>0</v>
      </c>
      <c r="AN224" s="54">
        <f t="shared" si="124"/>
        <v>0</v>
      </c>
      <c r="AO224" s="54">
        <f t="shared" si="125"/>
        <v>0</v>
      </c>
      <c r="AP224" s="54">
        <f t="shared" si="126"/>
        <v>0</v>
      </c>
      <c r="AR224" s="32">
        <f t="shared" si="127"/>
        <v>4</v>
      </c>
      <c r="AV224" s="25">
        <v>1</v>
      </c>
      <c r="AW224" s="54">
        <f t="shared" si="128"/>
        <v>0</v>
      </c>
      <c r="AX224" s="54">
        <f t="shared" si="129"/>
        <v>0</v>
      </c>
      <c r="AY224" s="54">
        <f t="shared" si="130"/>
        <v>0</v>
      </c>
      <c r="AZ224" s="54">
        <f t="shared" si="131"/>
        <v>0</v>
      </c>
      <c r="BA224" s="54">
        <f t="shared" si="132"/>
        <v>0</v>
      </c>
      <c r="BC224" s="32">
        <f t="shared" si="133"/>
        <v>3</v>
      </c>
      <c r="BG224" s="25">
        <v>1</v>
      </c>
      <c r="BH224" s="54">
        <f t="shared" si="134"/>
        <v>0</v>
      </c>
      <c r="BI224" s="54">
        <f t="shared" si="135"/>
        <v>0</v>
      </c>
      <c r="BJ224" s="54">
        <f t="shared" si="136"/>
        <v>0</v>
      </c>
      <c r="BK224" s="54">
        <f t="shared" si="137"/>
        <v>0</v>
      </c>
      <c r="BL224" s="54">
        <f t="shared" si="138"/>
        <v>0</v>
      </c>
      <c r="BN224" s="25">
        <f t="shared" si="139"/>
        <v>1</v>
      </c>
      <c r="BS224" s="39"/>
      <c r="BT224" s="39"/>
      <c r="BU224" s="39"/>
      <c r="BV224" s="39"/>
      <c r="BW224" s="39"/>
    </row>
    <row r="225" spans="3:75" x14ac:dyDescent="0.25">
      <c r="C225" s="62" t="str">
        <f t="shared" si="105"/>
        <v>-</v>
      </c>
      <c r="D225" s="62" t="str">
        <f t="shared" si="106"/>
        <v>-</v>
      </c>
      <c r="E225" s="62" t="str">
        <f t="shared" si="107"/>
        <v>-</v>
      </c>
      <c r="F225" s="62" t="str">
        <f t="shared" si="108"/>
        <v>-</v>
      </c>
      <c r="G225" s="62" t="str">
        <f t="shared" si="109"/>
        <v>-</v>
      </c>
      <c r="P225" s="62" t="str">
        <f t="shared" si="110"/>
        <v>-</v>
      </c>
      <c r="Q225" s="62" t="str">
        <f t="shared" si="111"/>
        <v>-</v>
      </c>
      <c r="R225" s="62" t="str">
        <f t="shared" si="112"/>
        <v>-</v>
      </c>
      <c r="S225" s="62" t="str">
        <f t="shared" si="113"/>
        <v>-</v>
      </c>
      <c r="T225" s="62" t="str">
        <f t="shared" si="114"/>
        <v>-</v>
      </c>
      <c r="V225" s="32">
        <f t="shared" si="115"/>
        <v>6</v>
      </c>
      <c r="Z225" s="25">
        <v>1</v>
      </c>
      <c r="AA225" s="54">
        <f t="shared" si="116"/>
        <v>0</v>
      </c>
      <c r="AB225" s="54">
        <f t="shared" si="117"/>
        <v>0</v>
      </c>
      <c r="AC225" s="54">
        <f t="shared" si="118"/>
        <v>0</v>
      </c>
      <c r="AD225" s="54">
        <f t="shared" si="119"/>
        <v>0</v>
      </c>
      <c r="AE225" s="54">
        <f t="shared" si="120"/>
        <v>0</v>
      </c>
      <c r="AG225" s="32">
        <f t="shared" si="121"/>
        <v>5</v>
      </c>
      <c r="AK225" s="25">
        <v>1</v>
      </c>
      <c r="AL225" s="54">
        <f t="shared" si="122"/>
        <v>0</v>
      </c>
      <c r="AM225" s="54">
        <f t="shared" si="123"/>
        <v>0</v>
      </c>
      <c r="AN225" s="54">
        <f t="shared" si="124"/>
        <v>0</v>
      </c>
      <c r="AO225" s="54">
        <f t="shared" si="125"/>
        <v>0</v>
      </c>
      <c r="AP225" s="54">
        <f t="shared" si="126"/>
        <v>0</v>
      </c>
      <c r="AR225" s="32">
        <f t="shared" si="127"/>
        <v>4</v>
      </c>
      <c r="AV225" s="25">
        <v>1</v>
      </c>
      <c r="AW225" s="54">
        <f t="shared" si="128"/>
        <v>0</v>
      </c>
      <c r="AX225" s="54">
        <f t="shared" si="129"/>
        <v>0</v>
      </c>
      <c r="AY225" s="54">
        <f t="shared" si="130"/>
        <v>0</v>
      </c>
      <c r="AZ225" s="54">
        <f t="shared" si="131"/>
        <v>0</v>
      </c>
      <c r="BA225" s="54">
        <f t="shared" si="132"/>
        <v>0</v>
      </c>
      <c r="BC225" s="32">
        <f t="shared" si="133"/>
        <v>3</v>
      </c>
      <c r="BG225" s="25">
        <v>1</v>
      </c>
      <c r="BH225" s="54">
        <f t="shared" si="134"/>
        <v>0</v>
      </c>
      <c r="BI225" s="54">
        <f t="shared" si="135"/>
        <v>0</v>
      </c>
      <c r="BJ225" s="54">
        <f t="shared" si="136"/>
        <v>0</v>
      </c>
      <c r="BK225" s="54">
        <f t="shared" si="137"/>
        <v>0</v>
      </c>
      <c r="BL225" s="54">
        <f t="shared" si="138"/>
        <v>0</v>
      </c>
      <c r="BN225" s="25">
        <f t="shared" si="139"/>
        <v>1</v>
      </c>
      <c r="BS225" s="39"/>
      <c r="BT225" s="39"/>
      <c r="BU225" s="39"/>
      <c r="BV225" s="39"/>
      <c r="BW225" s="39"/>
    </row>
    <row r="226" spans="3:75" x14ac:dyDescent="0.25">
      <c r="C226" s="62" t="str">
        <f t="shared" si="105"/>
        <v>-</v>
      </c>
      <c r="D226" s="62" t="str">
        <f t="shared" si="106"/>
        <v>-</v>
      </c>
      <c r="E226" s="62" t="str">
        <f t="shared" si="107"/>
        <v>-</v>
      </c>
      <c r="F226" s="62" t="str">
        <f t="shared" si="108"/>
        <v>-</v>
      </c>
      <c r="G226" s="62" t="str">
        <f t="shared" si="109"/>
        <v>-</v>
      </c>
      <c r="P226" s="62" t="str">
        <f t="shared" si="110"/>
        <v>-</v>
      </c>
      <c r="Q226" s="62" t="str">
        <f t="shared" si="111"/>
        <v>-</v>
      </c>
      <c r="R226" s="62" t="str">
        <f t="shared" si="112"/>
        <v>-</v>
      </c>
      <c r="S226" s="62" t="str">
        <f t="shared" si="113"/>
        <v>-</v>
      </c>
      <c r="T226" s="62" t="str">
        <f t="shared" si="114"/>
        <v>-</v>
      </c>
      <c r="V226" s="32">
        <f t="shared" si="115"/>
        <v>6</v>
      </c>
      <c r="Z226" s="25">
        <v>1</v>
      </c>
      <c r="AA226" s="54">
        <f t="shared" si="116"/>
        <v>0</v>
      </c>
      <c r="AB226" s="54">
        <f t="shared" si="117"/>
        <v>0</v>
      </c>
      <c r="AC226" s="54">
        <f t="shared" si="118"/>
        <v>0</v>
      </c>
      <c r="AD226" s="54">
        <f t="shared" si="119"/>
        <v>0</v>
      </c>
      <c r="AE226" s="54">
        <f t="shared" si="120"/>
        <v>0</v>
      </c>
      <c r="AG226" s="32">
        <f t="shared" si="121"/>
        <v>5</v>
      </c>
      <c r="AK226" s="25">
        <v>1</v>
      </c>
      <c r="AL226" s="54">
        <f t="shared" si="122"/>
        <v>0</v>
      </c>
      <c r="AM226" s="54">
        <f t="shared" si="123"/>
        <v>0</v>
      </c>
      <c r="AN226" s="54">
        <f t="shared" si="124"/>
        <v>0</v>
      </c>
      <c r="AO226" s="54">
        <f t="shared" si="125"/>
        <v>0</v>
      </c>
      <c r="AP226" s="54">
        <f t="shared" si="126"/>
        <v>0</v>
      </c>
      <c r="AR226" s="32">
        <f t="shared" si="127"/>
        <v>4</v>
      </c>
      <c r="AV226" s="25">
        <v>1</v>
      </c>
      <c r="AW226" s="54">
        <f t="shared" si="128"/>
        <v>0</v>
      </c>
      <c r="AX226" s="54">
        <f t="shared" si="129"/>
        <v>0</v>
      </c>
      <c r="AY226" s="54">
        <f t="shared" si="130"/>
        <v>0</v>
      </c>
      <c r="AZ226" s="54">
        <f t="shared" si="131"/>
        <v>0</v>
      </c>
      <c r="BA226" s="54">
        <f t="shared" si="132"/>
        <v>0</v>
      </c>
      <c r="BC226" s="32">
        <f t="shared" si="133"/>
        <v>3</v>
      </c>
      <c r="BG226" s="25">
        <v>1</v>
      </c>
      <c r="BH226" s="54">
        <f t="shared" si="134"/>
        <v>0</v>
      </c>
      <c r="BI226" s="54">
        <f t="shared" si="135"/>
        <v>0</v>
      </c>
      <c r="BJ226" s="54">
        <f t="shared" si="136"/>
        <v>0</v>
      </c>
      <c r="BK226" s="54">
        <f t="shared" si="137"/>
        <v>0</v>
      </c>
      <c r="BL226" s="54">
        <f t="shared" si="138"/>
        <v>0</v>
      </c>
      <c r="BN226" s="25">
        <f t="shared" si="139"/>
        <v>1</v>
      </c>
      <c r="BS226" s="39"/>
      <c r="BT226" s="39"/>
      <c r="BU226" s="39"/>
      <c r="BV226" s="39"/>
      <c r="BW226" s="39"/>
    </row>
    <row r="227" spans="3:75" x14ac:dyDescent="0.25">
      <c r="C227" s="62" t="str">
        <f t="shared" si="105"/>
        <v>-</v>
      </c>
      <c r="D227" s="62" t="str">
        <f t="shared" si="106"/>
        <v>-</v>
      </c>
      <c r="E227" s="62" t="str">
        <f t="shared" si="107"/>
        <v>-</v>
      </c>
      <c r="F227" s="62" t="str">
        <f t="shared" si="108"/>
        <v>-</v>
      </c>
      <c r="G227" s="62" t="str">
        <f t="shared" si="109"/>
        <v>-</v>
      </c>
      <c r="P227" s="62" t="str">
        <f t="shared" si="110"/>
        <v>-</v>
      </c>
      <c r="Q227" s="62" t="str">
        <f t="shared" si="111"/>
        <v>-</v>
      </c>
      <c r="R227" s="62" t="str">
        <f t="shared" si="112"/>
        <v>-</v>
      </c>
      <c r="S227" s="62" t="str">
        <f t="shared" si="113"/>
        <v>-</v>
      </c>
      <c r="T227" s="62" t="str">
        <f t="shared" si="114"/>
        <v>-</v>
      </c>
      <c r="V227" s="32">
        <f t="shared" si="115"/>
        <v>6</v>
      </c>
      <c r="Z227" s="25">
        <v>1</v>
      </c>
      <c r="AA227" s="54">
        <f t="shared" si="116"/>
        <v>0</v>
      </c>
      <c r="AB227" s="54">
        <f t="shared" si="117"/>
        <v>0</v>
      </c>
      <c r="AC227" s="54">
        <f t="shared" si="118"/>
        <v>0</v>
      </c>
      <c r="AD227" s="54">
        <f t="shared" si="119"/>
        <v>0</v>
      </c>
      <c r="AE227" s="54">
        <f t="shared" si="120"/>
        <v>0</v>
      </c>
      <c r="AG227" s="32">
        <f t="shared" si="121"/>
        <v>5</v>
      </c>
      <c r="AK227" s="25">
        <v>1</v>
      </c>
      <c r="AL227" s="54">
        <f t="shared" si="122"/>
        <v>0</v>
      </c>
      <c r="AM227" s="54">
        <f t="shared" si="123"/>
        <v>0</v>
      </c>
      <c r="AN227" s="54">
        <f t="shared" si="124"/>
        <v>0</v>
      </c>
      <c r="AO227" s="54">
        <f t="shared" si="125"/>
        <v>0</v>
      </c>
      <c r="AP227" s="54">
        <f t="shared" si="126"/>
        <v>0</v>
      </c>
      <c r="AR227" s="32">
        <f t="shared" si="127"/>
        <v>4</v>
      </c>
      <c r="AV227" s="25">
        <v>1</v>
      </c>
      <c r="AW227" s="54">
        <f t="shared" si="128"/>
        <v>0</v>
      </c>
      <c r="AX227" s="54">
        <f t="shared" si="129"/>
        <v>0</v>
      </c>
      <c r="AY227" s="54">
        <f t="shared" si="130"/>
        <v>0</v>
      </c>
      <c r="AZ227" s="54">
        <f t="shared" si="131"/>
        <v>0</v>
      </c>
      <c r="BA227" s="54">
        <f t="shared" si="132"/>
        <v>0</v>
      </c>
      <c r="BC227" s="32">
        <f t="shared" si="133"/>
        <v>3</v>
      </c>
      <c r="BG227" s="25">
        <v>1</v>
      </c>
      <c r="BH227" s="54">
        <f t="shared" si="134"/>
        <v>0</v>
      </c>
      <c r="BI227" s="54">
        <f t="shared" si="135"/>
        <v>0</v>
      </c>
      <c r="BJ227" s="54">
        <f t="shared" si="136"/>
        <v>0</v>
      </c>
      <c r="BK227" s="54">
        <f t="shared" si="137"/>
        <v>0</v>
      </c>
      <c r="BL227" s="54">
        <f t="shared" si="138"/>
        <v>0</v>
      </c>
      <c r="BN227" s="25">
        <f t="shared" si="139"/>
        <v>1</v>
      </c>
      <c r="BS227" s="39"/>
      <c r="BT227" s="39"/>
      <c r="BU227" s="39"/>
      <c r="BV227" s="39"/>
      <c r="BW227" s="39"/>
    </row>
    <row r="228" spans="3:75" x14ac:dyDescent="0.25">
      <c r="C228" s="62" t="str">
        <f t="shared" si="105"/>
        <v>-</v>
      </c>
      <c r="D228" s="62" t="str">
        <f t="shared" si="106"/>
        <v>-</v>
      </c>
      <c r="E228" s="62" t="str">
        <f t="shared" si="107"/>
        <v>-</v>
      </c>
      <c r="F228" s="62" t="str">
        <f t="shared" si="108"/>
        <v>-</v>
      </c>
      <c r="G228" s="62" t="str">
        <f t="shared" si="109"/>
        <v>-</v>
      </c>
      <c r="P228" s="62" t="str">
        <f t="shared" si="110"/>
        <v>-</v>
      </c>
      <c r="Q228" s="62" t="str">
        <f t="shared" si="111"/>
        <v>-</v>
      </c>
      <c r="R228" s="62" t="str">
        <f t="shared" si="112"/>
        <v>-</v>
      </c>
      <c r="S228" s="62" t="str">
        <f t="shared" si="113"/>
        <v>-</v>
      </c>
      <c r="T228" s="62" t="str">
        <f t="shared" si="114"/>
        <v>-</v>
      </c>
      <c r="V228" s="32">
        <f t="shared" si="115"/>
        <v>6</v>
      </c>
      <c r="Z228" s="25">
        <v>1</v>
      </c>
      <c r="AA228" s="54">
        <f t="shared" si="116"/>
        <v>0</v>
      </c>
      <c r="AB228" s="54">
        <f t="shared" si="117"/>
        <v>0</v>
      </c>
      <c r="AC228" s="54">
        <f t="shared" si="118"/>
        <v>0</v>
      </c>
      <c r="AD228" s="54">
        <f t="shared" si="119"/>
        <v>0</v>
      </c>
      <c r="AE228" s="54">
        <f t="shared" si="120"/>
        <v>0</v>
      </c>
      <c r="AG228" s="32">
        <f t="shared" si="121"/>
        <v>5</v>
      </c>
      <c r="AK228" s="25">
        <v>1</v>
      </c>
      <c r="AL228" s="54">
        <f t="shared" si="122"/>
        <v>0</v>
      </c>
      <c r="AM228" s="54">
        <f t="shared" si="123"/>
        <v>0</v>
      </c>
      <c r="AN228" s="54">
        <f t="shared" si="124"/>
        <v>0</v>
      </c>
      <c r="AO228" s="54">
        <f t="shared" si="125"/>
        <v>0</v>
      </c>
      <c r="AP228" s="54">
        <f t="shared" si="126"/>
        <v>0</v>
      </c>
      <c r="AR228" s="32">
        <f t="shared" si="127"/>
        <v>4</v>
      </c>
      <c r="AV228" s="25">
        <v>1</v>
      </c>
      <c r="AW228" s="54">
        <f t="shared" si="128"/>
        <v>0</v>
      </c>
      <c r="AX228" s="54">
        <f t="shared" si="129"/>
        <v>0</v>
      </c>
      <c r="AY228" s="54">
        <f t="shared" si="130"/>
        <v>0</v>
      </c>
      <c r="AZ228" s="54">
        <f t="shared" si="131"/>
        <v>0</v>
      </c>
      <c r="BA228" s="54">
        <f t="shared" si="132"/>
        <v>0</v>
      </c>
      <c r="BC228" s="32">
        <f t="shared" si="133"/>
        <v>3</v>
      </c>
      <c r="BG228" s="25">
        <v>1</v>
      </c>
      <c r="BH228" s="54">
        <f t="shared" si="134"/>
        <v>0</v>
      </c>
      <c r="BI228" s="54">
        <f t="shared" si="135"/>
        <v>0</v>
      </c>
      <c r="BJ228" s="54">
        <f t="shared" si="136"/>
        <v>0</v>
      </c>
      <c r="BK228" s="54">
        <f t="shared" si="137"/>
        <v>0</v>
      </c>
      <c r="BL228" s="54">
        <f t="shared" si="138"/>
        <v>0</v>
      </c>
      <c r="BN228" s="25">
        <f t="shared" si="139"/>
        <v>1</v>
      </c>
      <c r="BS228" s="39"/>
      <c r="BT228" s="39"/>
      <c r="BU228" s="39"/>
      <c r="BV228" s="39"/>
      <c r="BW228" s="39"/>
    </row>
    <row r="229" spans="3:75" x14ac:dyDescent="0.25">
      <c r="C229" s="62" t="str">
        <f t="shared" si="105"/>
        <v>-</v>
      </c>
      <c r="D229" s="62" t="str">
        <f t="shared" si="106"/>
        <v>-</v>
      </c>
      <c r="E229" s="62" t="str">
        <f t="shared" si="107"/>
        <v>-</v>
      </c>
      <c r="F229" s="62" t="str">
        <f t="shared" si="108"/>
        <v>-</v>
      </c>
      <c r="G229" s="62" t="str">
        <f t="shared" si="109"/>
        <v>-</v>
      </c>
      <c r="P229" s="62" t="str">
        <f t="shared" si="110"/>
        <v>-</v>
      </c>
      <c r="Q229" s="62" t="str">
        <f t="shared" si="111"/>
        <v>-</v>
      </c>
      <c r="R229" s="62" t="str">
        <f t="shared" si="112"/>
        <v>-</v>
      </c>
      <c r="S229" s="62" t="str">
        <f t="shared" si="113"/>
        <v>-</v>
      </c>
      <c r="T229" s="62" t="str">
        <f t="shared" si="114"/>
        <v>-</v>
      </c>
      <c r="V229" s="32">
        <f t="shared" si="115"/>
        <v>6</v>
      </c>
      <c r="Z229" s="25">
        <v>1</v>
      </c>
      <c r="AA229" s="54">
        <f t="shared" si="116"/>
        <v>0</v>
      </c>
      <c r="AB229" s="54">
        <f t="shared" si="117"/>
        <v>0</v>
      </c>
      <c r="AC229" s="54">
        <f t="shared" si="118"/>
        <v>0</v>
      </c>
      <c r="AD229" s="54">
        <f t="shared" si="119"/>
        <v>0</v>
      </c>
      <c r="AE229" s="54">
        <f t="shared" si="120"/>
        <v>0</v>
      </c>
      <c r="AG229" s="32">
        <f t="shared" si="121"/>
        <v>5</v>
      </c>
      <c r="AK229" s="25">
        <v>1</v>
      </c>
      <c r="AL229" s="54">
        <f t="shared" si="122"/>
        <v>0</v>
      </c>
      <c r="AM229" s="54">
        <f t="shared" si="123"/>
        <v>0</v>
      </c>
      <c r="AN229" s="54">
        <f t="shared" si="124"/>
        <v>0</v>
      </c>
      <c r="AO229" s="54">
        <f t="shared" si="125"/>
        <v>0</v>
      </c>
      <c r="AP229" s="54">
        <f t="shared" si="126"/>
        <v>0</v>
      </c>
      <c r="AR229" s="32">
        <f t="shared" si="127"/>
        <v>4</v>
      </c>
      <c r="AV229" s="25">
        <v>1</v>
      </c>
      <c r="AW229" s="54">
        <f t="shared" si="128"/>
        <v>0</v>
      </c>
      <c r="AX229" s="54">
        <f t="shared" si="129"/>
        <v>0</v>
      </c>
      <c r="AY229" s="54">
        <f t="shared" si="130"/>
        <v>0</v>
      </c>
      <c r="AZ229" s="54">
        <f t="shared" si="131"/>
        <v>0</v>
      </c>
      <c r="BA229" s="54">
        <f t="shared" si="132"/>
        <v>0</v>
      </c>
      <c r="BC229" s="32">
        <f t="shared" si="133"/>
        <v>3</v>
      </c>
      <c r="BG229" s="25">
        <v>1</v>
      </c>
      <c r="BH229" s="54">
        <f t="shared" si="134"/>
        <v>0</v>
      </c>
      <c r="BI229" s="54">
        <f t="shared" si="135"/>
        <v>0</v>
      </c>
      <c r="BJ229" s="54">
        <f t="shared" si="136"/>
        <v>0</v>
      </c>
      <c r="BK229" s="54">
        <f t="shared" si="137"/>
        <v>0</v>
      </c>
      <c r="BL229" s="54">
        <f t="shared" si="138"/>
        <v>0</v>
      </c>
      <c r="BN229" s="25">
        <f t="shared" si="139"/>
        <v>1</v>
      </c>
      <c r="BS229" s="39"/>
      <c r="BT229" s="39"/>
      <c r="BU229" s="39"/>
      <c r="BV229" s="39"/>
      <c r="BW229" s="39"/>
    </row>
    <row r="230" spans="3:75" x14ac:dyDescent="0.25">
      <c r="C230" s="62" t="str">
        <f t="shared" si="105"/>
        <v>-</v>
      </c>
      <c r="D230" s="62" t="str">
        <f t="shared" si="106"/>
        <v>-</v>
      </c>
      <c r="E230" s="62" t="str">
        <f t="shared" si="107"/>
        <v>-</v>
      </c>
      <c r="F230" s="62" t="str">
        <f t="shared" si="108"/>
        <v>-</v>
      </c>
      <c r="G230" s="62" t="str">
        <f t="shared" si="109"/>
        <v>-</v>
      </c>
      <c r="P230" s="62" t="str">
        <f t="shared" si="110"/>
        <v>-</v>
      </c>
      <c r="Q230" s="62" t="str">
        <f t="shared" si="111"/>
        <v>-</v>
      </c>
      <c r="R230" s="62" t="str">
        <f t="shared" si="112"/>
        <v>-</v>
      </c>
      <c r="S230" s="62" t="str">
        <f t="shared" si="113"/>
        <v>-</v>
      </c>
      <c r="T230" s="62" t="str">
        <f t="shared" si="114"/>
        <v>-</v>
      </c>
      <c r="V230" s="32">
        <f t="shared" si="115"/>
        <v>6</v>
      </c>
      <c r="Z230" s="25">
        <v>1</v>
      </c>
      <c r="AA230" s="54">
        <f t="shared" si="116"/>
        <v>0</v>
      </c>
      <c r="AB230" s="54">
        <f t="shared" si="117"/>
        <v>0</v>
      </c>
      <c r="AC230" s="54">
        <f t="shared" si="118"/>
        <v>0</v>
      </c>
      <c r="AD230" s="54">
        <f t="shared" si="119"/>
        <v>0</v>
      </c>
      <c r="AE230" s="54">
        <f t="shared" si="120"/>
        <v>0</v>
      </c>
      <c r="AG230" s="32">
        <f t="shared" si="121"/>
        <v>5</v>
      </c>
      <c r="AK230" s="25">
        <v>1</v>
      </c>
      <c r="AL230" s="54">
        <f t="shared" si="122"/>
        <v>0</v>
      </c>
      <c r="AM230" s="54">
        <f t="shared" si="123"/>
        <v>0</v>
      </c>
      <c r="AN230" s="54">
        <f t="shared" si="124"/>
        <v>0</v>
      </c>
      <c r="AO230" s="54">
        <f t="shared" si="125"/>
        <v>0</v>
      </c>
      <c r="AP230" s="54">
        <f t="shared" si="126"/>
        <v>0</v>
      </c>
      <c r="AR230" s="32">
        <f t="shared" si="127"/>
        <v>4</v>
      </c>
      <c r="AV230" s="25">
        <v>1</v>
      </c>
      <c r="AW230" s="54">
        <f t="shared" si="128"/>
        <v>0</v>
      </c>
      <c r="AX230" s="54">
        <f t="shared" si="129"/>
        <v>0</v>
      </c>
      <c r="AY230" s="54">
        <f t="shared" si="130"/>
        <v>0</v>
      </c>
      <c r="AZ230" s="54">
        <f t="shared" si="131"/>
        <v>0</v>
      </c>
      <c r="BA230" s="54">
        <f t="shared" si="132"/>
        <v>0</v>
      </c>
      <c r="BC230" s="32">
        <f t="shared" si="133"/>
        <v>3</v>
      </c>
      <c r="BG230" s="25">
        <v>1</v>
      </c>
      <c r="BH230" s="54">
        <f t="shared" si="134"/>
        <v>0</v>
      </c>
      <c r="BI230" s="54">
        <f t="shared" si="135"/>
        <v>0</v>
      </c>
      <c r="BJ230" s="54">
        <f t="shared" si="136"/>
        <v>0</v>
      </c>
      <c r="BK230" s="54">
        <f t="shared" si="137"/>
        <v>0</v>
      </c>
      <c r="BL230" s="54">
        <f t="shared" si="138"/>
        <v>0</v>
      </c>
      <c r="BN230" s="25">
        <f t="shared" si="139"/>
        <v>1</v>
      </c>
      <c r="BS230" s="39"/>
      <c r="BT230" s="39"/>
      <c r="BU230" s="39"/>
      <c r="BV230" s="39"/>
      <c r="BW230" s="39"/>
    </row>
    <row r="231" spans="3:75" x14ac:dyDescent="0.25">
      <c r="C231" s="62" t="str">
        <f t="shared" si="105"/>
        <v>-</v>
      </c>
      <c r="D231" s="62" t="str">
        <f t="shared" si="106"/>
        <v>-</v>
      </c>
      <c r="E231" s="62" t="str">
        <f t="shared" si="107"/>
        <v>-</v>
      </c>
      <c r="F231" s="62" t="str">
        <f t="shared" si="108"/>
        <v>-</v>
      </c>
      <c r="G231" s="62" t="str">
        <f t="shared" si="109"/>
        <v>-</v>
      </c>
      <c r="P231" s="62" t="str">
        <f t="shared" si="110"/>
        <v>-</v>
      </c>
      <c r="Q231" s="62" t="str">
        <f t="shared" si="111"/>
        <v>-</v>
      </c>
      <c r="R231" s="62" t="str">
        <f t="shared" si="112"/>
        <v>-</v>
      </c>
      <c r="S231" s="62" t="str">
        <f t="shared" si="113"/>
        <v>-</v>
      </c>
      <c r="T231" s="62" t="str">
        <f t="shared" si="114"/>
        <v>-</v>
      </c>
      <c r="V231" s="32">
        <f t="shared" si="115"/>
        <v>6</v>
      </c>
      <c r="Z231" s="25">
        <v>1</v>
      </c>
      <c r="AA231" s="54">
        <f t="shared" si="116"/>
        <v>0</v>
      </c>
      <c r="AB231" s="54">
        <f t="shared" si="117"/>
        <v>0</v>
      </c>
      <c r="AC231" s="54">
        <f t="shared" si="118"/>
        <v>0</v>
      </c>
      <c r="AD231" s="54">
        <f t="shared" si="119"/>
        <v>0</v>
      </c>
      <c r="AE231" s="54">
        <f t="shared" si="120"/>
        <v>0</v>
      </c>
      <c r="AG231" s="32">
        <f t="shared" si="121"/>
        <v>5</v>
      </c>
      <c r="AK231" s="25">
        <v>1</v>
      </c>
      <c r="AL231" s="54">
        <f t="shared" si="122"/>
        <v>0</v>
      </c>
      <c r="AM231" s="54">
        <f t="shared" si="123"/>
        <v>0</v>
      </c>
      <c r="AN231" s="54">
        <f t="shared" si="124"/>
        <v>0</v>
      </c>
      <c r="AO231" s="54">
        <f t="shared" si="125"/>
        <v>0</v>
      </c>
      <c r="AP231" s="54">
        <f t="shared" si="126"/>
        <v>0</v>
      </c>
      <c r="AR231" s="32">
        <f t="shared" si="127"/>
        <v>4</v>
      </c>
      <c r="AV231" s="25">
        <v>1</v>
      </c>
      <c r="AW231" s="54">
        <f t="shared" si="128"/>
        <v>0</v>
      </c>
      <c r="AX231" s="54">
        <f t="shared" si="129"/>
        <v>0</v>
      </c>
      <c r="AY231" s="54">
        <f t="shared" si="130"/>
        <v>0</v>
      </c>
      <c r="AZ231" s="54">
        <f t="shared" si="131"/>
        <v>0</v>
      </c>
      <c r="BA231" s="54">
        <f t="shared" si="132"/>
        <v>0</v>
      </c>
      <c r="BC231" s="32">
        <f t="shared" si="133"/>
        <v>3</v>
      </c>
      <c r="BG231" s="25">
        <v>1</v>
      </c>
      <c r="BH231" s="54">
        <f t="shared" si="134"/>
        <v>0</v>
      </c>
      <c r="BI231" s="54">
        <f t="shared" si="135"/>
        <v>0</v>
      </c>
      <c r="BJ231" s="54">
        <f t="shared" si="136"/>
        <v>0</v>
      </c>
      <c r="BK231" s="54">
        <f t="shared" si="137"/>
        <v>0</v>
      </c>
      <c r="BL231" s="54">
        <f t="shared" si="138"/>
        <v>0</v>
      </c>
      <c r="BN231" s="25">
        <f t="shared" si="139"/>
        <v>1</v>
      </c>
      <c r="BS231" s="39"/>
      <c r="BT231" s="39"/>
      <c r="BU231" s="39"/>
      <c r="BV231" s="39"/>
      <c r="BW231" s="39"/>
    </row>
    <row r="232" spans="3:75" x14ac:dyDescent="0.25">
      <c r="C232" s="62" t="str">
        <f t="shared" si="105"/>
        <v>-</v>
      </c>
      <c r="D232" s="62" t="str">
        <f t="shared" si="106"/>
        <v>-</v>
      </c>
      <c r="E232" s="62" t="str">
        <f t="shared" si="107"/>
        <v>-</v>
      </c>
      <c r="F232" s="62" t="str">
        <f t="shared" si="108"/>
        <v>-</v>
      </c>
      <c r="G232" s="62" t="str">
        <f t="shared" si="109"/>
        <v>-</v>
      </c>
      <c r="P232" s="62" t="str">
        <f t="shared" si="110"/>
        <v>-</v>
      </c>
      <c r="Q232" s="62" t="str">
        <f t="shared" si="111"/>
        <v>-</v>
      </c>
      <c r="R232" s="62" t="str">
        <f t="shared" si="112"/>
        <v>-</v>
      </c>
      <c r="S232" s="62" t="str">
        <f t="shared" si="113"/>
        <v>-</v>
      </c>
      <c r="T232" s="62" t="str">
        <f t="shared" si="114"/>
        <v>-</v>
      </c>
      <c r="V232" s="32">
        <f t="shared" si="115"/>
        <v>6</v>
      </c>
      <c r="Z232" s="25">
        <v>1</v>
      </c>
      <c r="AA232" s="54">
        <f t="shared" si="116"/>
        <v>0</v>
      </c>
      <c r="AB232" s="54">
        <f t="shared" si="117"/>
        <v>0</v>
      </c>
      <c r="AC232" s="54">
        <f t="shared" si="118"/>
        <v>0</v>
      </c>
      <c r="AD232" s="54">
        <f t="shared" si="119"/>
        <v>0</v>
      </c>
      <c r="AE232" s="54">
        <f t="shared" si="120"/>
        <v>0</v>
      </c>
      <c r="AG232" s="32">
        <f t="shared" si="121"/>
        <v>5</v>
      </c>
      <c r="AK232" s="25">
        <v>1</v>
      </c>
      <c r="AL232" s="54">
        <f t="shared" si="122"/>
        <v>0</v>
      </c>
      <c r="AM232" s="54">
        <f t="shared" si="123"/>
        <v>0</v>
      </c>
      <c r="AN232" s="54">
        <f t="shared" si="124"/>
        <v>0</v>
      </c>
      <c r="AO232" s="54">
        <f t="shared" si="125"/>
        <v>0</v>
      </c>
      <c r="AP232" s="54">
        <f t="shared" si="126"/>
        <v>0</v>
      </c>
      <c r="AR232" s="32">
        <f t="shared" si="127"/>
        <v>4</v>
      </c>
      <c r="AV232" s="25">
        <v>1</v>
      </c>
      <c r="AW232" s="54">
        <f t="shared" si="128"/>
        <v>0</v>
      </c>
      <c r="AX232" s="54">
        <f t="shared" si="129"/>
        <v>0</v>
      </c>
      <c r="AY232" s="54">
        <f t="shared" si="130"/>
        <v>0</v>
      </c>
      <c r="AZ232" s="54">
        <f t="shared" si="131"/>
        <v>0</v>
      </c>
      <c r="BA232" s="54">
        <f t="shared" si="132"/>
        <v>0</v>
      </c>
      <c r="BC232" s="32">
        <f t="shared" si="133"/>
        <v>3</v>
      </c>
      <c r="BG232" s="25">
        <v>1</v>
      </c>
      <c r="BH232" s="54">
        <f t="shared" si="134"/>
        <v>0</v>
      </c>
      <c r="BI232" s="54">
        <f t="shared" si="135"/>
        <v>0</v>
      </c>
      <c r="BJ232" s="54">
        <f t="shared" si="136"/>
        <v>0</v>
      </c>
      <c r="BK232" s="54">
        <f t="shared" si="137"/>
        <v>0</v>
      </c>
      <c r="BL232" s="54">
        <f t="shared" si="138"/>
        <v>0</v>
      </c>
      <c r="BN232" s="25">
        <f t="shared" si="139"/>
        <v>1</v>
      </c>
      <c r="BS232" s="39"/>
      <c r="BT232" s="39"/>
      <c r="BU232" s="39"/>
      <c r="BV232" s="39"/>
      <c r="BW232" s="39"/>
    </row>
    <row r="233" spans="3:75" x14ac:dyDescent="0.25">
      <c r="C233" s="62" t="str">
        <f t="shared" si="105"/>
        <v>-</v>
      </c>
      <c r="D233" s="62" t="str">
        <f t="shared" si="106"/>
        <v>-</v>
      </c>
      <c r="E233" s="62" t="str">
        <f t="shared" si="107"/>
        <v>-</v>
      </c>
      <c r="F233" s="62" t="str">
        <f t="shared" si="108"/>
        <v>-</v>
      </c>
      <c r="G233" s="62" t="str">
        <f t="shared" si="109"/>
        <v>-</v>
      </c>
      <c r="P233" s="62" t="str">
        <f t="shared" si="110"/>
        <v>-</v>
      </c>
      <c r="Q233" s="62" t="str">
        <f t="shared" si="111"/>
        <v>-</v>
      </c>
      <c r="R233" s="62" t="str">
        <f t="shared" si="112"/>
        <v>-</v>
      </c>
      <c r="S233" s="62" t="str">
        <f t="shared" si="113"/>
        <v>-</v>
      </c>
      <c r="T233" s="62" t="str">
        <f t="shared" si="114"/>
        <v>-</v>
      </c>
      <c r="V233" s="32">
        <f t="shared" si="115"/>
        <v>6</v>
      </c>
      <c r="Z233" s="25">
        <v>1</v>
      </c>
      <c r="AA233" s="54">
        <f t="shared" si="116"/>
        <v>0</v>
      </c>
      <c r="AB233" s="54">
        <f t="shared" si="117"/>
        <v>0</v>
      </c>
      <c r="AC233" s="54">
        <f t="shared" si="118"/>
        <v>0</v>
      </c>
      <c r="AD233" s="54">
        <f t="shared" si="119"/>
        <v>0</v>
      </c>
      <c r="AE233" s="54">
        <f t="shared" si="120"/>
        <v>0</v>
      </c>
      <c r="AG233" s="32">
        <f t="shared" si="121"/>
        <v>5</v>
      </c>
      <c r="AK233" s="25">
        <v>1</v>
      </c>
      <c r="AL233" s="54">
        <f t="shared" si="122"/>
        <v>0</v>
      </c>
      <c r="AM233" s="54">
        <f t="shared" si="123"/>
        <v>0</v>
      </c>
      <c r="AN233" s="54">
        <f t="shared" si="124"/>
        <v>0</v>
      </c>
      <c r="AO233" s="54">
        <f t="shared" si="125"/>
        <v>0</v>
      </c>
      <c r="AP233" s="54">
        <f t="shared" si="126"/>
        <v>0</v>
      </c>
      <c r="AR233" s="32">
        <f t="shared" si="127"/>
        <v>4</v>
      </c>
      <c r="AV233" s="25">
        <v>1</v>
      </c>
      <c r="AW233" s="54">
        <f t="shared" si="128"/>
        <v>0</v>
      </c>
      <c r="AX233" s="54">
        <f t="shared" si="129"/>
        <v>0</v>
      </c>
      <c r="AY233" s="54">
        <f t="shared" si="130"/>
        <v>0</v>
      </c>
      <c r="AZ233" s="54">
        <f t="shared" si="131"/>
        <v>0</v>
      </c>
      <c r="BA233" s="54">
        <f t="shared" si="132"/>
        <v>0</v>
      </c>
      <c r="BC233" s="32">
        <f t="shared" si="133"/>
        <v>3</v>
      </c>
      <c r="BG233" s="25">
        <v>1</v>
      </c>
      <c r="BH233" s="54">
        <f t="shared" si="134"/>
        <v>0</v>
      </c>
      <c r="BI233" s="54">
        <f t="shared" si="135"/>
        <v>0</v>
      </c>
      <c r="BJ233" s="54">
        <f t="shared" si="136"/>
        <v>0</v>
      </c>
      <c r="BK233" s="54">
        <f t="shared" si="137"/>
        <v>0</v>
      </c>
      <c r="BL233" s="54">
        <f t="shared" si="138"/>
        <v>0</v>
      </c>
      <c r="BN233" s="25">
        <f t="shared" si="139"/>
        <v>1</v>
      </c>
      <c r="BS233" s="39"/>
      <c r="BT233" s="39"/>
      <c r="BU233" s="39"/>
      <c r="BV233" s="39"/>
      <c r="BW233" s="39"/>
    </row>
    <row r="234" spans="3:75" x14ac:dyDescent="0.25">
      <c r="C234" s="62" t="str">
        <f t="shared" si="105"/>
        <v>-</v>
      </c>
      <c r="D234" s="62" t="str">
        <f t="shared" si="106"/>
        <v>-</v>
      </c>
      <c r="E234" s="62" t="str">
        <f t="shared" si="107"/>
        <v>-</v>
      </c>
      <c r="F234" s="62" t="str">
        <f t="shared" si="108"/>
        <v>-</v>
      </c>
      <c r="G234" s="62" t="str">
        <f t="shared" si="109"/>
        <v>-</v>
      </c>
      <c r="P234" s="62" t="str">
        <f t="shared" si="110"/>
        <v>-</v>
      </c>
      <c r="Q234" s="62" t="str">
        <f t="shared" si="111"/>
        <v>-</v>
      </c>
      <c r="R234" s="62" t="str">
        <f t="shared" si="112"/>
        <v>-</v>
      </c>
      <c r="S234" s="62" t="str">
        <f t="shared" si="113"/>
        <v>-</v>
      </c>
      <c r="T234" s="62" t="str">
        <f t="shared" si="114"/>
        <v>-</v>
      </c>
      <c r="V234" s="32">
        <f t="shared" si="115"/>
        <v>6</v>
      </c>
      <c r="Z234" s="25">
        <v>1</v>
      </c>
      <c r="AA234" s="54">
        <f t="shared" si="116"/>
        <v>0</v>
      </c>
      <c r="AB234" s="54">
        <f t="shared" si="117"/>
        <v>0</v>
      </c>
      <c r="AC234" s="54">
        <f t="shared" si="118"/>
        <v>0</v>
      </c>
      <c r="AD234" s="54">
        <f t="shared" si="119"/>
        <v>0</v>
      </c>
      <c r="AE234" s="54">
        <f t="shared" si="120"/>
        <v>0</v>
      </c>
      <c r="AG234" s="32">
        <f t="shared" si="121"/>
        <v>5</v>
      </c>
      <c r="AK234" s="25">
        <v>1</v>
      </c>
      <c r="AL234" s="54">
        <f t="shared" si="122"/>
        <v>0</v>
      </c>
      <c r="AM234" s="54">
        <f t="shared" si="123"/>
        <v>0</v>
      </c>
      <c r="AN234" s="54">
        <f t="shared" si="124"/>
        <v>0</v>
      </c>
      <c r="AO234" s="54">
        <f t="shared" si="125"/>
        <v>0</v>
      </c>
      <c r="AP234" s="54">
        <f t="shared" si="126"/>
        <v>0</v>
      </c>
      <c r="AR234" s="32">
        <f t="shared" si="127"/>
        <v>4</v>
      </c>
      <c r="AV234" s="25">
        <v>1</v>
      </c>
      <c r="AW234" s="54">
        <f t="shared" si="128"/>
        <v>0</v>
      </c>
      <c r="AX234" s="54">
        <f t="shared" si="129"/>
        <v>0</v>
      </c>
      <c r="AY234" s="54">
        <f t="shared" si="130"/>
        <v>0</v>
      </c>
      <c r="AZ234" s="54">
        <f t="shared" si="131"/>
        <v>0</v>
      </c>
      <c r="BA234" s="54">
        <f t="shared" si="132"/>
        <v>0</v>
      </c>
      <c r="BC234" s="32">
        <f t="shared" si="133"/>
        <v>3</v>
      </c>
      <c r="BG234" s="25">
        <v>1</v>
      </c>
      <c r="BH234" s="54">
        <f t="shared" si="134"/>
        <v>0</v>
      </c>
      <c r="BI234" s="54">
        <f t="shared" si="135"/>
        <v>0</v>
      </c>
      <c r="BJ234" s="54">
        <f t="shared" si="136"/>
        <v>0</v>
      </c>
      <c r="BK234" s="54">
        <f t="shared" si="137"/>
        <v>0</v>
      </c>
      <c r="BL234" s="54">
        <f t="shared" si="138"/>
        <v>0</v>
      </c>
      <c r="BN234" s="25">
        <f t="shared" si="139"/>
        <v>1</v>
      </c>
      <c r="BS234" s="39"/>
      <c r="BT234" s="39"/>
      <c r="BU234" s="39"/>
      <c r="BV234" s="39"/>
      <c r="BW234" s="39"/>
    </row>
    <row r="235" spans="3:75" x14ac:dyDescent="0.25">
      <c r="C235" s="62" t="str">
        <f t="shared" si="105"/>
        <v>-</v>
      </c>
      <c r="D235" s="62" t="str">
        <f t="shared" si="106"/>
        <v>-</v>
      </c>
      <c r="E235" s="62" t="str">
        <f t="shared" si="107"/>
        <v>-</v>
      </c>
      <c r="F235" s="62" t="str">
        <f t="shared" si="108"/>
        <v>-</v>
      </c>
      <c r="G235" s="62" t="str">
        <f t="shared" si="109"/>
        <v>-</v>
      </c>
      <c r="P235" s="62" t="str">
        <f t="shared" si="110"/>
        <v>-</v>
      </c>
      <c r="Q235" s="62" t="str">
        <f t="shared" si="111"/>
        <v>-</v>
      </c>
      <c r="R235" s="62" t="str">
        <f t="shared" si="112"/>
        <v>-</v>
      </c>
      <c r="S235" s="62" t="str">
        <f t="shared" si="113"/>
        <v>-</v>
      </c>
      <c r="T235" s="62" t="str">
        <f t="shared" si="114"/>
        <v>-</v>
      </c>
      <c r="V235" s="32">
        <f t="shared" si="115"/>
        <v>6</v>
      </c>
      <c r="Z235" s="25">
        <v>1</v>
      </c>
      <c r="AA235" s="54">
        <f t="shared" si="116"/>
        <v>0</v>
      </c>
      <c r="AB235" s="54">
        <f t="shared" si="117"/>
        <v>0</v>
      </c>
      <c r="AC235" s="54">
        <f t="shared" si="118"/>
        <v>0</v>
      </c>
      <c r="AD235" s="54">
        <f t="shared" si="119"/>
        <v>0</v>
      </c>
      <c r="AE235" s="54">
        <f t="shared" si="120"/>
        <v>0</v>
      </c>
      <c r="AG235" s="32">
        <f t="shared" si="121"/>
        <v>5</v>
      </c>
      <c r="AK235" s="25">
        <v>1</v>
      </c>
      <c r="AL235" s="54">
        <f t="shared" si="122"/>
        <v>0</v>
      </c>
      <c r="AM235" s="54">
        <f t="shared" si="123"/>
        <v>0</v>
      </c>
      <c r="AN235" s="54">
        <f t="shared" si="124"/>
        <v>0</v>
      </c>
      <c r="AO235" s="54">
        <f t="shared" si="125"/>
        <v>0</v>
      </c>
      <c r="AP235" s="54">
        <f t="shared" si="126"/>
        <v>0</v>
      </c>
      <c r="AR235" s="32">
        <f t="shared" si="127"/>
        <v>4</v>
      </c>
      <c r="AV235" s="25">
        <v>1</v>
      </c>
      <c r="AW235" s="54">
        <f t="shared" si="128"/>
        <v>0</v>
      </c>
      <c r="AX235" s="54">
        <f t="shared" si="129"/>
        <v>0</v>
      </c>
      <c r="AY235" s="54">
        <f t="shared" si="130"/>
        <v>0</v>
      </c>
      <c r="AZ235" s="54">
        <f t="shared" si="131"/>
        <v>0</v>
      </c>
      <c r="BA235" s="54">
        <f t="shared" si="132"/>
        <v>0</v>
      </c>
      <c r="BC235" s="32">
        <f t="shared" si="133"/>
        <v>3</v>
      </c>
      <c r="BG235" s="25">
        <v>1</v>
      </c>
      <c r="BH235" s="54">
        <f t="shared" si="134"/>
        <v>0</v>
      </c>
      <c r="BI235" s="54">
        <f t="shared" si="135"/>
        <v>0</v>
      </c>
      <c r="BJ235" s="54">
        <f t="shared" si="136"/>
        <v>0</v>
      </c>
      <c r="BK235" s="54">
        <f t="shared" si="137"/>
        <v>0</v>
      </c>
      <c r="BL235" s="54">
        <f t="shared" si="138"/>
        <v>0</v>
      </c>
      <c r="BN235" s="25">
        <f t="shared" si="139"/>
        <v>1</v>
      </c>
      <c r="BS235" s="39"/>
      <c r="BT235" s="39"/>
      <c r="BU235" s="39"/>
      <c r="BV235" s="39"/>
      <c r="BW235" s="39"/>
    </row>
    <row r="236" spans="3:75" x14ac:dyDescent="0.25">
      <c r="C236" s="62" t="str">
        <f t="shared" si="105"/>
        <v>-</v>
      </c>
      <c r="D236" s="62" t="str">
        <f t="shared" si="106"/>
        <v>-</v>
      </c>
      <c r="E236" s="62" t="str">
        <f t="shared" si="107"/>
        <v>-</v>
      </c>
      <c r="F236" s="62" t="str">
        <f t="shared" si="108"/>
        <v>-</v>
      </c>
      <c r="G236" s="62" t="str">
        <f t="shared" si="109"/>
        <v>-</v>
      </c>
      <c r="P236" s="62" t="str">
        <f t="shared" si="110"/>
        <v>-</v>
      </c>
      <c r="Q236" s="62" t="str">
        <f t="shared" si="111"/>
        <v>-</v>
      </c>
      <c r="R236" s="62" t="str">
        <f t="shared" si="112"/>
        <v>-</v>
      </c>
      <c r="S236" s="62" t="str">
        <f t="shared" si="113"/>
        <v>-</v>
      </c>
      <c r="T236" s="62" t="str">
        <f t="shared" si="114"/>
        <v>-</v>
      </c>
      <c r="V236" s="32">
        <f t="shared" si="115"/>
        <v>6</v>
      </c>
      <c r="Z236" s="25">
        <v>1</v>
      </c>
      <c r="AA236" s="54">
        <f t="shared" si="116"/>
        <v>0</v>
      </c>
      <c r="AB236" s="54">
        <f t="shared" si="117"/>
        <v>0</v>
      </c>
      <c r="AC236" s="54">
        <f t="shared" si="118"/>
        <v>0</v>
      </c>
      <c r="AD236" s="54">
        <f t="shared" si="119"/>
        <v>0</v>
      </c>
      <c r="AE236" s="54">
        <f t="shared" si="120"/>
        <v>0</v>
      </c>
      <c r="AG236" s="32">
        <f t="shared" si="121"/>
        <v>5</v>
      </c>
      <c r="AK236" s="25">
        <v>1</v>
      </c>
      <c r="AL236" s="54">
        <f t="shared" si="122"/>
        <v>0</v>
      </c>
      <c r="AM236" s="54">
        <f t="shared" si="123"/>
        <v>0</v>
      </c>
      <c r="AN236" s="54">
        <f t="shared" si="124"/>
        <v>0</v>
      </c>
      <c r="AO236" s="54">
        <f t="shared" si="125"/>
        <v>0</v>
      </c>
      <c r="AP236" s="54">
        <f t="shared" si="126"/>
        <v>0</v>
      </c>
      <c r="AR236" s="32">
        <f t="shared" si="127"/>
        <v>4</v>
      </c>
      <c r="AV236" s="25">
        <v>1</v>
      </c>
      <c r="AW236" s="54">
        <f t="shared" si="128"/>
        <v>0</v>
      </c>
      <c r="AX236" s="54">
        <f t="shared" si="129"/>
        <v>0</v>
      </c>
      <c r="AY236" s="54">
        <f t="shared" si="130"/>
        <v>0</v>
      </c>
      <c r="AZ236" s="54">
        <f t="shared" si="131"/>
        <v>0</v>
      </c>
      <c r="BA236" s="54">
        <f t="shared" si="132"/>
        <v>0</v>
      </c>
      <c r="BC236" s="32">
        <f t="shared" si="133"/>
        <v>3</v>
      </c>
      <c r="BG236" s="25">
        <v>1</v>
      </c>
      <c r="BH236" s="54">
        <f t="shared" si="134"/>
        <v>0</v>
      </c>
      <c r="BI236" s="54">
        <f t="shared" si="135"/>
        <v>0</v>
      </c>
      <c r="BJ236" s="54">
        <f t="shared" si="136"/>
        <v>0</v>
      </c>
      <c r="BK236" s="54">
        <f t="shared" si="137"/>
        <v>0</v>
      </c>
      <c r="BL236" s="54">
        <f t="shared" si="138"/>
        <v>0</v>
      </c>
      <c r="BN236" s="25">
        <f t="shared" si="139"/>
        <v>1</v>
      </c>
      <c r="BS236" s="39"/>
      <c r="BT236" s="39"/>
      <c r="BU236" s="39"/>
      <c r="BV236" s="39"/>
      <c r="BW236" s="39"/>
    </row>
    <row r="237" spans="3:75" x14ac:dyDescent="0.25">
      <c r="C237" s="62" t="str">
        <f t="shared" si="105"/>
        <v>-</v>
      </c>
      <c r="D237" s="62" t="str">
        <f t="shared" si="106"/>
        <v>-</v>
      </c>
      <c r="E237" s="62" t="str">
        <f t="shared" si="107"/>
        <v>-</v>
      </c>
      <c r="F237" s="62" t="str">
        <f t="shared" si="108"/>
        <v>-</v>
      </c>
      <c r="G237" s="62" t="str">
        <f t="shared" si="109"/>
        <v>-</v>
      </c>
      <c r="P237" s="62" t="str">
        <f t="shared" si="110"/>
        <v>-</v>
      </c>
      <c r="Q237" s="62" t="str">
        <f t="shared" si="111"/>
        <v>-</v>
      </c>
      <c r="R237" s="62" t="str">
        <f t="shared" si="112"/>
        <v>-</v>
      </c>
      <c r="S237" s="62" t="str">
        <f t="shared" si="113"/>
        <v>-</v>
      </c>
      <c r="T237" s="62" t="str">
        <f t="shared" si="114"/>
        <v>-</v>
      </c>
      <c r="V237" s="32">
        <f t="shared" si="115"/>
        <v>6</v>
      </c>
      <c r="Z237" s="25">
        <v>1</v>
      </c>
      <c r="AA237" s="54">
        <f t="shared" si="116"/>
        <v>0</v>
      </c>
      <c r="AB237" s="54">
        <f t="shared" si="117"/>
        <v>0</v>
      </c>
      <c r="AC237" s="54">
        <f t="shared" si="118"/>
        <v>0</v>
      </c>
      <c r="AD237" s="54">
        <f t="shared" si="119"/>
        <v>0</v>
      </c>
      <c r="AE237" s="54">
        <f t="shared" si="120"/>
        <v>0</v>
      </c>
      <c r="AG237" s="32">
        <f t="shared" si="121"/>
        <v>5</v>
      </c>
      <c r="AK237" s="25">
        <v>1</v>
      </c>
      <c r="AL237" s="54">
        <f t="shared" si="122"/>
        <v>0</v>
      </c>
      <c r="AM237" s="54">
        <f t="shared" si="123"/>
        <v>0</v>
      </c>
      <c r="AN237" s="54">
        <f t="shared" si="124"/>
        <v>0</v>
      </c>
      <c r="AO237" s="54">
        <f t="shared" si="125"/>
        <v>0</v>
      </c>
      <c r="AP237" s="54">
        <f t="shared" si="126"/>
        <v>0</v>
      </c>
      <c r="AR237" s="32">
        <f t="shared" si="127"/>
        <v>4</v>
      </c>
      <c r="AV237" s="25">
        <v>1</v>
      </c>
      <c r="AW237" s="54">
        <f t="shared" si="128"/>
        <v>0</v>
      </c>
      <c r="AX237" s="54">
        <f t="shared" si="129"/>
        <v>0</v>
      </c>
      <c r="AY237" s="54">
        <f t="shared" si="130"/>
        <v>0</v>
      </c>
      <c r="AZ237" s="54">
        <f t="shared" si="131"/>
        <v>0</v>
      </c>
      <c r="BA237" s="54">
        <f t="shared" si="132"/>
        <v>0</v>
      </c>
      <c r="BC237" s="32">
        <f t="shared" si="133"/>
        <v>3</v>
      </c>
      <c r="BG237" s="25">
        <v>1</v>
      </c>
      <c r="BH237" s="54">
        <f t="shared" si="134"/>
        <v>0</v>
      </c>
      <c r="BI237" s="54">
        <f t="shared" si="135"/>
        <v>0</v>
      </c>
      <c r="BJ237" s="54">
        <f t="shared" si="136"/>
        <v>0</v>
      </c>
      <c r="BK237" s="54">
        <f t="shared" si="137"/>
        <v>0</v>
      </c>
      <c r="BL237" s="54">
        <f t="shared" si="138"/>
        <v>0</v>
      </c>
      <c r="BN237" s="25">
        <f t="shared" si="139"/>
        <v>1</v>
      </c>
      <c r="BS237" s="39"/>
      <c r="BT237" s="39"/>
      <c r="BU237" s="39"/>
      <c r="BV237" s="39"/>
      <c r="BW237" s="39"/>
    </row>
    <row r="238" spans="3:75" x14ac:dyDescent="0.25">
      <c r="C238" s="62" t="str">
        <f t="shared" si="105"/>
        <v>-</v>
      </c>
      <c r="D238" s="62" t="str">
        <f t="shared" si="106"/>
        <v>-</v>
      </c>
      <c r="E238" s="62" t="str">
        <f t="shared" si="107"/>
        <v>-</v>
      </c>
      <c r="F238" s="62" t="str">
        <f t="shared" si="108"/>
        <v>-</v>
      </c>
      <c r="G238" s="62" t="str">
        <f t="shared" si="109"/>
        <v>-</v>
      </c>
      <c r="P238" s="62" t="str">
        <f t="shared" si="110"/>
        <v>-</v>
      </c>
      <c r="Q238" s="62" t="str">
        <f t="shared" si="111"/>
        <v>-</v>
      </c>
      <c r="R238" s="62" t="str">
        <f t="shared" si="112"/>
        <v>-</v>
      </c>
      <c r="S238" s="62" t="str">
        <f t="shared" si="113"/>
        <v>-</v>
      </c>
      <c r="T238" s="62" t="str">
        <f t="shared" si="114"/>
        <v>-</v>
      </c>
      <c r="V238" s="32">
        <f t="shared" si="115"/>
        <v>6</v>
      </c>
      <c r="Z238" s="25">
        <v>1</v>
      </c>
      <c r="AA238" s="54">
        <f t="shared" si="116"/>
        <v>0</v>
      </c>
      <c r="AB238" s="54">
        <f t="shared" si="117"/>
        <v>0</v>
      </c>
      <c r="AC238" s="54">
        <f t="shared" si="118"/>
        <v>0</v>
      </c>
      <c r="AD238" s="54">
        <f t="shared" si="119"/>
        <v>0</v>
      </c>
      <c r="AE238" s="54">
        <f t="shared" si="120"/>
        <v>0</v>
      </c>
      <c r="AG238" s="32">
        <f t="shared" si="121"/>
        <v>5</v>
      </c>
      <c r="AK238" s="25">
        <v>1</v>
      </c>
      <c r="AL238" s="54">
        <f t="shared" si="122"/>
        <v>0</v>
      </c>
      <c r="AM238" s="54">
        <f t="shared" si="123"/>
        <v>0</v>
      </c>
      <c r="AN238" s="54">
        <f t="shared" si="124"/>
        <v>0</v>
      </c>
      <c r="AO238" s="54">
        <f t="shared" si="125"/>
        <v>0</v>
      </c>
      <c r="AP238" s="54">
        <f t="shared" si="126"/>
        <v>0</v>
      </c>
      <c r="AR238" s="32">
        <f t="shared" si="127"/>
        <v>4</v>
      </c>
      <c r="AV238" s="25">
        <v>1</v>
      </c>
      <c r="AW238" s="54">
        <f t="shared" si="128"/>
        <v>0</v>
      </c>
      <c r="AX238" s="54">
        <f t="shared" si="129"/>
        <v>0</v>
      </c>
      <c r="AY238" s="54">
        <f t="shared" si="130"/>
        <v>0</v>
      </c>
      <c r="AZ238" s="54">
        <f t="shared" si="131"/>
        <v>0</v>
      </c>
      <c r="BA238" s="54">
        <f t="shared" si="132"/>
        <v>0</v>
      </c>
      <c r="BC238" s="32">
        <f t="shared" si="133"/>
        <v>3</v>
      </c>
      <c r="BG238" s="25">
        <v>1</v>
      </c>
      <c r="BH238" s="54">
        <f t="shared" si="134"/>
        <v>0</v>
      </c>
      <c r="BI238" s="54">
        <f t="shared" si="135"/>
        <v>0</v>
      </c>
      <c r="BJ238" s="54">
        <f t="shared" si="136"/>
        <v>0</v>
      </c>
      <c r="BK238" s="54">
        <f t="shared" si="137"/>
        <v>0</v>
      </c>
      <c r="BL238" s="54">
        <f t="shared" si="138"/>
        <v>0</v>
      </c>
      <c r="BN238" s="25">
        <f t="shared" si="139"/>
        <v>1</v>
      </c>
      <c r="BS238" s="39"/>
      <c r="BT238" s="39"/>
      <c r="BU238" s="39"/>
      <c r="BV238" s="39"/>
      <c r="BW238" s="39"/>
    </row>
    <row r="239" spans="3:75" x14ac:dyDescent="0.25">
      <c r="C239" s="62" t="str">
        <f t="shared" si="105"/>
        <v>-</v>
      </c>
      <c r="D239" s="62" t="str">
        <f t="shared" si="106"/>
        <v>-</v>
      </c>
      <c r="E239" s="62" t="str">
        <f t="shared" si="107"/>
        <v>-</v>
      </c>
      <c r="F239" s="62" t="str">
        <f t="shared" si="108"/>
        <v>-</v>
      </c>
      <c r="G239" s="62" t="str">
        <f t="shared" si="109"/>
        <v>-</v>
      </c>
      <c r="P239" s="62" t="str">
        <f t="shared" si="110"/>
        <v>-</v>
      </c>
      <c r="Q239" s="62" t="str">
        <f t="shared" si="111"/>
        <v>-</v>
      </c>
      <c r="R239" s="62" t="str">
        <f t="shared" si="112"/>
        <v>-</v>
      </c>
      <c r="S239" s="62" t="str">
        <f t="shared" si="113"/>
        <v>-</v>
      </c>
      <c r="T239" s="62" t="str">
        <f t="shared" si="114"/>
        <v>-</v>
      </c>
      <c r="V239" s="32">
        <f t="shared" si="115"/>
        <v>6</v>
      </c>
      <c r="Z239" s="25">
        <v>1</v>
      </c>
      <c r="AA239" s="54">
        <f t="shared" si="116"/>
        <v>0</v>
      </c>
      <c r="AB239" s="54">
        <f t="shared" si="117"/>
        <v>0</v>
      </c>
      <c r="AC239" s="54">
        <f t="shared" si="118"/>
        <v>0</v>
      </c>
      <c r="AD239" s="54">
        <f t="shared" si="119"/>
        <v>0</v>
      </c>
      <c r="AE239" s="54">
        <f t="shared" si="120"/>
        <v>0</v>
      </c>
      <c r="AG239" s="32">
        <f t="shared" si="121"/>
        <v>5</v>
      </c>
      <c r="AK239" s="25">
        <v>1</v>
      </c>
      <c r="AL239" s="54">
        <f t="shared" si="122"/>
        <v>0</v>
      </c>
      <c r="AM239" s="54">
        <f t="shared" si="123"/>
        <v>0</v>
      </c>
      <c r="AN239" s="54">
        <f t="shared" si="124"/>
        <v>0</v>
      </c>
      <c r="AO239" s="54">
        <f t="shared" si="125"/>
        <v>0</v>
      </c>
      <c r="AP239" s="54">
        <f t="shared" si="126"/>
        <v>0</v>
      </c>
      <c r="AR239" s="32">
        <f t="shared" si="127"/>
        <v>4</v>
      </c>
      <c r="AV239" s="25">
        <v>1</v>
      </c>
      <c r="AW239" s="54">
        <f t="shared" si="128"/>
        <v>0</v>
      </c>
      <c r="AX239" s="54">
        <f t="shared" si="129"/>
        <v>0</v>
      </c>
      <c r="AY239" s="54">
        <f t="shared" si="130"/>
        <v>0</v>
      </c>
      <c r="AZ239" s="54">
        <f t="shared" si="131"/>
        <v>0</v>
      </c>
      <c r="BA239" s="54">
        <f t="shared" si="132"/>
        <v>0</v>
      </c>
      <c r="BC239" s="32">
        <f t="shared" si="133"/>
        <v>3</v>
      </c>
      <c r="BG239" s="25">
        <v>1</v>
      </c>
      <c r="BH239" s="54">
        <f t="shared" si="134"/>
        <v>0</v>
      </c>
      <c r="BI239" s="54">
        <f t="shared" si="135"/>
        <v>0</v>
      </c>
      <c r="BJ239" s="54">
        <f t="shared" si="136"/>
        <v>0</v>
      </c>
      <c r="BK239" s="54">
        <f t="shared" si="137"/>
        <v>0</v>
      </c>
      <c r="BL239" s="54">
        <f t="shared" si="138"/>
        <v>0</v>
      </c>
      <c r="BN239" s="25">
        <f t="shared" si="139"/>
        <v>1</v>
      </c>
      <c r="BS239" s="39"/>
      <c r="BT239" s="39"/>
      <c r="BU239" s="39"/>
      <c r="BV239" s="39"/>
      <c r="BW239" s="39"/>
    </row>
    <row r="240" spans="3:75" x14ac:dyDescent="0.25">
      <c r="C240" s="62" t="str">
        <f t="shared" si="105"/>
        <v>-</v>
      </c>
      <c r="D240" s="62" t="str">
        <f t="shared" si="106"/>
        <v>-</v>
      </c>
      <c r="E240" s="62" t="str">
        <f t="shared" si="107"/>
        <v>-</v>
      </c>
      <c r="F240" s="62" t="str">
        <f t="shared" si="108"/>
        <v>-</v>
      </c>
      <c r="G240" s="62" t="str">
        <f t="shared" si="109"/>
        <v>-</v>
      </c>
      <c r="P240" s="62" t="str">
        <f t="shared" si="110"/>
        <v>-</v>
      </c>
      <c r="Q240" s="62" t="str">
        <f t="shared" si="111"/>
        <v>-</v>
      </c>
      <c r="R240" s="62" t="str">
        <f t="shared" si="112"/>
        <v>-</v>
      </c>
      <c r="S240" s="62" t="str">
        <f t="shared" si="113"/>
        <v>-</v>
      </c>
      <c r="T240" s="62" t="str">
        <f t="shared" si="114"/>
        <v>-</v>
      </c>
      <c r="V240" s="32">
        <f t="shared" si="115"/>
        <v>6</v>
      </c>
      <c r="Z240" s="25">
        <v>1</v>
      </c>
      <c r="AA240" s="54">
        <f t="shared" si="116"/>
        <v>0</v>
      </c>
      <c r="AB240" s="54">
        <f t="shared" si="117"/>
        <v>0</v>
      </c>
      <c r="AC240" s="54">
        <f t="shared" si="118"/>
        <v>0</v>
      </c>
      <c r="AD240" s="54">
        <f t="shared" si="119"/>
        <v>0</v>
      </c>
      <c r="AE240" s="54">
        <f t="shared" si="120"/>
        <v>0</v>
      </c>
      <c r="AG240" s="32">
        <f t="shared" si="121"/>
        <v>5</v>
      </c>
      <c r="AK240" s="25">
        <v>1</v>
      </c>
      <c r="AL240" s="54">
        <f t="shared" si="122"/>
        <v>0</v>
      </c>
      <c r="AM240" s="54">
        <f t="shared" si="123"/>
        <v>0</v>
      </c>
      <c r="AN240" s="54">
        <f t="shared" si="124"/>
        <v>0</v>
      </c>
      <c r="AO240" s="54">
        <f t="shared" si="125"/>
        <v>0</v>
      </c>
      <c r="AP240" s="54">
        <f t="shared" si="126"/>
        <v>0</v>
      </c>
      <c r="AR240" s="32">
        <f t="shared" si="127"/>
        <v>4</v>
      </c>
      <c r="AV240" s="25">
        <v>1</v>
      </c>
      <c r="AW240" s="54">
        <f t="shared" si="128"/>
        <v>0</v>
      </c>
      <c r="AX240" s="54">
        <f t="shared" si="129"/>
        <v>0</v>
      </c>
      <c r="AY240" s="54">
        <f t="shared" si="130"/>
        <v>0</v>
      </c>
      <c r="AZ240" s="54">
        <f t="shared" si="131"/>
        <v>0</v>
      </c>
      <c r="BA240" s="54">
        <f t="shared" si="132"/>
        <v>0</v>
      </c>
      <c r="BC240" s="32">
        <f t="shared" si="133"/>
        <v>3</v>
      </c>
      <c r="BG240" s="25">
        <v>1</v>
      </c>
      <c r="BH240" s="54">
        <f t="shared" si="134"/>
        <v>0</v>
      </c>
      <c r="BI240" s="54">
        <f t="shared" si="135"/>
        <v>0</v>
      </c>
      <c r="BJ240" s="54">
        <f t="shared" si="136"/>
        <v>0</v>
      </c>
      <c r="BK240" s="54">
        <f t="shared" si="137"/>
        <v>0</v>
      </c>
      <c r="BL240" s="54">
        <f t="shared" si="138"/>
        <v>0</v>
      </c>
      <c r="BN240" s="25">
        <f t="shared" si="139"/>
        <v>1</v>
      </c>
      <c r="BS240" s="39"/>
      <c r="BT240" s="39"/>
      <c r="BU240" s="39"/>
      <c r="BV240" s="39"/>
      <c r="BW240" s="39"/>
    </row>
    <row r="241" spans="3:75" x14ac:dyDescent="0.25">
      <c r="C241" s="62" t="str">
        <f t="shared" si="105"/>
        <v>-</v>
      </c>
      <c r="D241" s="62" t="str">
        <f t="shared" si="106"/>
        <v>-</v>
      </c>
      <c r="E241" s="62" t="str">
        <f t="shared" si="107"/>
        <v>-</v>
      </c>
      <c r="F241" s="62" t="str">
        <f t="shared" si="108"/>
        <v>-</v>
      </c>
      <c r="G241" s="62" t="str">
        <f t="shared" si="109"/>
        <v>-</v>
      </c>
      <c r="P241" s="62" t="str">
        <f t="shared" si="110"/>
        <v>-</v>
      </c>
      <c r="Q241" s="62" t="str">
        <f t="shared" si="111"/>
        <v>-</v>
      </c>
      <c r="R241" s="62" t="str">
        <f t="shared" si="112"/>
        <v>-</v>
      </c>
      <c r="S241" s="62" t="str">
        <f t="shared" si="113"/>
        <v>-</v>
      </c>
      <c r="T241" s="62" t="str">
        <f t="shared" si="114"/>
        <v>-</v>
      </c>
      <c r="V241" s="32">
        <f t="shared" si="115"/>
        <v>6</v>
      </c>
      <c r="Z241" s="25">
        <v>1</v>
      </c>
      <c r="AA241" s="54">
        <f t="shared" si="116"/>
        <v>0</v>
      </c>
      <c r="AB241" s="54">
        <f t="shared" si="117"/>
        <v>0</v>
      </c>
      <c r="AC241" s="54">
        <f t="shared" si="118"/>
        <v>0</v>
      </c>
      <c r="AD241" s="54">
        <f t="shared" si="119"/>
        <v>0</v>
      </c>
      <c r="AE241" s="54">
        <f t="shared" si="120"/>
        <v>0</v>
      </c>
      <c r="AG241" s="32">
        <f t="shared" si="121"/>
        <v>5</v>
      </c>
      <c r="AK241" s="25">
        <v>1</v>
      </c>
      <c r="AL241" s="54">
        <f t="shared" si="122"/>
        <v>0</v>
      </c>
      <c r="AM241" s="54">
        <f t="shared" si="123"/>
        <v>0</v>
      </c>
      <c r="AN241" s="54">
        <f t="shared" si="124"/>
        <v>0</v>
      </c>
      <c r="AO241" s="54">
        <f t="shared" si="125"/>
        <v>0</v>
      </c>
      <c r="AP241" s="54">
        <f t="shared" si="126"/>
        <v>0</v>
      </c>
      <c r="AR241" s="32">
        <f t="shared" si="127"/>
        <v>4</v>
      </c>
      <c r="AV241" s="25">
        <v>1</v>
      </c>
      <c r="AW241" s="54">
        <f t="shared" si="128"/>
        <v>0</v>
      </c>
      <c r="AX241" s="54">
        <f t="shared" si="129"/>
        <v>0</v>
      </c>
      <c r="AY241" s="54">
        <f t="shared" si="130"/>
        <v>0</v>
      </c>
      <c r="AZ241" s="54">
        <f t="shared" si="131"/>
        <v>0</v>
      </c>
      <c r="BA241" s="54">
        <f t="shared" si="132"/>
        <v>0</v>
      </c>
      <c r="BC241" s="32">
        <f t="shared" si="133"/>
        <v>3</v>
      </c>
      <c r="BG241" s="25">
        <v>1</v>
      </c>
      <c r="BH241" s="54">
        <f t="shared" si="134"/>
        <v>0</v>
      </c>
      <c r="BI241" s="54">
        <f t="shared" si="135"/>
        <v>0</v>
      </c>
      <c r="BJ241" s="54">
        <f t="shared" si="136"/>
        <v>0</v>
      </c>
      <c r="BK241" s="54">
        <f t="shared" si="137"/>
        <v>0</v>
      </c>
      <c r="BL241" s="54">
        <f t="shared" si="138"/>
        <v>0</v>
      </c>
      <c r="BN241" s="25">
        <f t="shared" si="139"/>
        <v>1</v>
      </c>
      <c r="BS241" s="39"/>
      <c r="BT241" s="39"/>
      <c r="BU241" s="39"/>
      <c r="BV241" s="39"/>
      <c r="BW241" s="39"/>
    </row>
    <row r="242" spans="3:75" x14ac:dyDescent="0.25">
      <c r="C242" s="62" t="str">
        <f t="shared" si="105"/>
        <v>-</v>
      </c>
      <c r="D242" s="62" t="str">
        <f t="shared" si="106"/>
        <v>-</v>
      </c>
      <c r="E242" s="62" t="str">
        <f t="shared" si="107"/>
        <v>-</v>
      </c>
      <c r="F242" s="62" t="str">
        <f t="shared" si="108"/>
        <v>-</v>
      </c>
      <c r="G242" s="62" t="str">
        <f t="shared" si="109"/>
        <v>-</v>
      </c>
      <c r="P242" s="62" t="str">
        <f t="shared" si="110"/>
        <v>-</v>
      </c>
      <c r="Q242" s="62" t="str">
        <f t="shared" si="111"/>
        <v>-</v>
      </c>
      <c r="R242" s="62" t="str">
        <f t="shared" si="112"/>
        <v>-</v>
      </c>
      <c r="S242" s="62" t="str">
        <f t="shared" si="113"/>
        <v>-</v>
      </c>
      <c r="T242" s="62" t="str">
        <f t="shared" si="114"/>
        <v>-</v>
      </c>
      <c r="V242" s="32">
        <f t="shared" si="115"/>
        <v>6</v>
      </c>
      <c r="Z242" s="25">
        <v>1</v>
      </c>
      <c r="AA242" s="54">
        <f t="shared" si="116"/>
        <v>0</v>
      </c>
      <c r="AB242" s="54">
        <f t="shared" si="117"/>
        <v>0</v>
      </c>
      <c r="AC242" s="54">
        <f t="shared" si="118"/>
        <v>0</v>
      </c>
      <c r="AD242" s="54">
        <f t="shared" si="119"/>
        <v>0</v>
      </c>
      <c r="AE242" s="54">
        <f t="shared" si="120"/>
        <v>0</v>
      </c>
      <c r="AG242" s="32">
        <f t="shared" si="121"/>
        <v>5</v>
      </c>
      <c r="AK242" s="25">
        <v>1</v>
      </c>
      <c r="AL242" s="54">
        <f t="shared" si="122"/>
        <v>0</v>
      </c>
      <c r="AM242" s="54">
        <f t="shared" si="123"/>
        <v>0</v>
      </c>
      <c r="AN242" s="54">
        <f t="shared" si="124"/>
        <v>0</v>
      </c>
      <c r="AO242" s="54">
        <f t="shared" si="125"/>
        <v>0</v>
      </c>
      <c r="AP242" s="54">
        <f t="shared" si="126"/>
        <v>0</v>
      </c>
      <c r="AR242" s="32">
        <f t="shared" si="127"/>
        <v>4</v>
      </c>
      <c r="AV242" s="25">
        <v>1</v>
      </c>
      <c r="AW242" s="54">
        <f t="shared" si="128"/>
        <v>0</v>
      </c>
      <c r="AX242" s="54">
        <f t="shared" si="129"/>
        <v>0</v>
      </c>
      <c r="AY242" s="54">
        <f t="shared" si="130"/>
        <v>0</v>
      </c>
      <c r="AZ242" s="54">
        <f t="shared" si="131"/>
        <v>0</v>
      </c>
      <c r="BA242" s="54">
        <f t="shared" si="132"/>
        <v>0</v>
      </c>
      <c r="BC242" s="32">
        <f t="shared" si="133"/>
        <v>3</v>
      </c>
      <c r="BG242" s="25">
        <v>1</v>
      </c>
      <c r="BH242" s="54">
        <f t="shared" si="134"/>
        <v>0</v>
      </c>
      <c r="BI242" s="54">
        <f t="shared" si="135"/>
        <v>0</v>
      </c>
      <c r="BJ242" s="54">
        <f t="shared" si="136"/>
        <v>0</v>
      </c>
      <c r="BK242" s="54">
        <f t="shared" si="137"/>
        <v>0</v>
      </c>
      <c r="BL242" s="54">
        <f t="shared" si="138"/>
        <v>0</v>
      </c>
      <c r="BN242" s="25">
        <f t="shared" si="139"/>
        <v>1</v>
      </c>
      <c r="BS242" s="39"/>
      <c r="BT242" s="39"/>
      <c r="BU242" s="39"/>
      <c r="BV242" s="39"/>
      <c r="BW242" s="39"/>
    </row>
    <row r="243" spans="3:75" x14ac:dyDescent="0.25">
      <c r="C243" s="62" t="str">
        <f t="shared" si="105"/>
        <v>-</v>
      </c>
      <c r="D243" s="62" t="str">
        <f t="shared" si="106"/>
        <v>-</v>
      </c>
      <c r="E243" s="62" t="str">
        <f t="shared" si="107"/>
        <v>-</v>
      </c>
      <c r="F243" s="62" t="str">
        <f t="shared" si="108"/>
        <v>-</v>
      </c>
      <c r="G243" s="62" t="str">
        <f t="shared" si="109"/>
        <v>-</v>
      </c>
      <c r="P243" s="62" t="str">
        <f t="shared" si="110"/>
        <v>-</v>
      </c>
      <c r="Q243" s="62" t="str">
        <f t="shared" si="111"/>
        <v>-</v>
      </c>
      <c r="R243" s="62" t="str">
        <f t="shared" si="112"/>
        <v>-</v>
      </c>
      <c r="S243" s="62" t="str">
        <f t="shared" si="113"/>
        <v>-</v>
      </c>
      <c r="T243" s="62" t="str">
        <f t="shared" si="114"/>
        <v>-</v>
      </c>
      <c r="V243" s="32">
        <f t="shared" si="115"/>
        <v>6</v>
      </c>
      <c r="Z243" s="25">
        <v>1</v>
      </c>
      <c r="AA243" s="54">
        <f t="shared" si="116"/>
        <v>0</v>
      </c>
      <c r="AB243" s="54">
        <f t="shared" si="117"/>
        <v>0</v>
      </c>
      <c r="AC243" s="54">
        <f t="shared" si="118"/>
        <v>0</v>
      </c>
      <c r="AD243" s="54">
        <f t="shared" si="119"/>
        <v>0</v>
      </c>
      <c r="AE243" s="54">
        <f t="shared" si="120"/>
        <v>0</v>
      </c>
      <c r="AG243" s="32">
        <f t="shared" si="121"/>
        <v>5</v>
      </c>
      <c r="AK243" s="25">
        <v>1</v>
      </c>
      <c r="AL243" s="54">
        <f t="shared" si="122"/>
        <v>0</v>
      </c>
      <c r="AM243" s="54">
        <f t="shared" si="123"/>
        <v>0</v>
      </c>
      <c r="AN243" s="54">
        <f t="shared" si="124"/>
        <v>0</v>
      </c>
      <c r="AO243" s="54">
        <f t="shared" si="125"/>
        <v>0</v>
      </c>
      <c r="AP243" s="54">
        <f t="shared" si="126"/>
        <v>0</v>
      </c>
      <c r="AR243" s="32">
        <f t="shared" si="127"/>
        <v>4</v>
      </c>
      <c r="AV243" s="25">
        <v>1</v>
      </c>
      <c r="AW243" s="54">
        <f t="shared" si="128"/>
        <v>0</v>
      </c>
      <c r="AX243" s="54">
        <f t="shared" si="129"/>
        <v>0</v>
      </c>
      <c r="AY243" s="54">
        <f t="shared" si="130"/>
        <v>0</v>
      </c>
      <c r="AZ243" s="54">
        <f t="shared" si="131"/>
        <v>0</v>
      </c>
      <c r="BA243" s="54">
        <f t="shared" si="132"/>
        <v>0</v>
      </c>
      <c r="BC243" s="32">
        <f t="shared" si="133"/>
        <v>3</v>
      </c>
      <c r="BG243" s="25">
        <v>1</v>
      </c>
      <c r="BH243" s="54">
        <f t="shared" si="134"/>
        <v>0</v>
      </c>
      <c r="BI243" s="54">
        <f t="shared" si="135"/>
        <v>0</v>
      </c>
      <c r="BJ243" s="54">
        <f t="shared" si="136"/>
        <v>0</v>
      </c>
      <c r="BK243" s="54">
        <f t="shared" si="137"/>
        <v>0</v>
      </c>
      <c r="BL243" s="54">
        <f t="shared" si="138"/>
        <v>0</v>
      </c>
      <c r="BN243" s="25">
        <f t="shared" si="139"/>
        <v>1</v>
      </c>
      <c r="BS243" s="39"/>
      <c r="BT243" s="39"/>
      <c r="BU243" s="39"/>
      <c r="BV243" s="39"/>
      <c r="BW243" s="39"/>
    </row>
    <row r="244" spans="3:75" x14ac:dyDescent="0.25">
      <c r="C244" s="62" t="str">
        <f t="shared" si="105"/>
        <v>-</v>
      </c>
      <c r="D244" s="62" t="str">
        <f t="shared" si="106"/>
        <v>-</v>
      </c>
      <c r="E244" s="62" t="str">
        <f t="shared" si="107"/>
        <v>-</v>
      </c>
      <c r="F244" s="62" t="str">
        <f t="shared" si="108"/>
        <v>-</v>
      </c>
      <c r="G244" s="62" t="str">
        <f t="shared" si="109"/>
        <v>-</v>
      </c>
      <c r="P244" s="62" t="str">
        <f t="shared" si="110"/>
        <v>-</v>
      </c>
      <c r="Q244" s="62" t="str">
        <f t="shared" si="111"/>
        <v>-</v>
      </c>
      <c r="R244" s="62" t="str">
        <f t="shared" si="112"/>
        <v>-</v>
      </c>
      <c r="S244" s="62" t="str">
        <f t="shared" si="113"/>
        <v>-</v>
      </c>
      <c r="T244" s="62" t="str">
        <f t="shared" si="114"/>
        <v>-</v>
      </c>
      <c r="V244" s="32">
        <f t="shared" si="115"/>
        <v>6</v>
      </c>
      <c r="Z244" s="25">
        <v>1</v>
      </c>
      <c r="AA244" s="54">
        <f t="shared" si="116"/>
        <v>0</v>
      </c>
      <c r="AB244" s="54">
        <f t="shared" si="117"/>
        <v>0</v>
      </c>
      <c r="AC244" s="54">
        <f t="shared" si="118"/>
        <v>0</v>
      </c>
      <c r="AD244" s="54">
        <f t="shared" si="119"/>
        <v>0</v>
      </c>
      <c r="AE244" s="54">
        <f t="shared" si="120"/>
        <v>0</v>
      </c>
      <c r="AG244" s="32">
        <f t="shared" si="121"/>
        <v>5</v>
      </c>
      <c r="AK244" s="25">
        <v>1</v>
      </c>
      <c r="AL244" s="54">
        <f t="shared" si="122"/>
        <v>0</v>
      </c>
      <c r="AM244" s="54">
        <f t="shared" si="123"/>
        <v>0</v>
      </c>
      <c r="AN244" s="54">
        <f t="shared" si="124"/>
        <v>0</v>
      </c>
      <c r="AO244" s="54">
        <f t="shared" si="125"/>
        <v>0</v>
      </c>
      <c r="AP244" s="54">
        <f t="shared" si="126"/>
        <v>0</v>
      </c>
      <c r="AR244" s="32">
        <f t="shared" si="127"/>
        <v>4</v>
      </c>
      <c r="AV244" s="25">
        <v>1</v>
      </c>
      <c r="AW244" s="54">
        <f t="shared" si="128"/>
        <v>0</v>
      </c>
      <c r="AX244" s="54">
        <f t="shared" si="129"/>
        <v>0</v>
      </c>
      <c r="AY244" s="54">
        <f t="shared" si="130"/>
        <v>0</v>
      </c>
      <c r="AZ244" s="54">
        <f t="shared" si="131"/>
        <v>0</v>
      </c>
      <c r="BA244" s="54">
        <f t="shared" si="132"/>
        <v>0</v>
      </c>
      <c r="BC244" s="32">
        <f t="shared" si="133"/>
        <v>3</v>
      </c>
      <c r="BG244" s="25">
        <v>1</v>
      </c>
      <c r="BH244" s="54">
        <f t="shared" si="134"/>
        <v>0</v>
      </c>
      <c r="BI244" s="54">
        <f t="shared" si="135"/>
        <v>0</v>
      </c>
      <c r="BJ244" s="54">
        <f t="shared" si="136"/>
        <v>0</v>
      </c>
      <c r="BK244" s="54">
        <f t="shared" si="137"/>
        <v>0</v>
      </c>
      <c r="BL244" s="54">
        <f t="shared" si="138"/>
        <v>0</v>
      </c>
      <c r="BN244" s="25">
        <f t="shared" si="139"/>
        <v>1</v>
      </c>
      <c r="BS244" s="39"/>
      <c r="BT244" s="39"/>
      <c r="BU244" s="39"/>
      <c r="BV244" s="39"/>
      <c r="BW244" s="39"/>
    </row>
    <row r="245" spans="3:75" x14ac:dyDescent="0.25">
      <c r="C245" s="62" t="str">
        <f t="shared" si="105"/>
        <v>-</v>
      </c>
      <c r="D245" s="62" t="str">
        <f t="shared" si="106"/>
        <v>-</v>
      </c>
      <c r="E245" s="62" t="str">
        <f t="shared" si="107"/>
        <v>-</v>
      </c>
      <c r="F245" s="62" t="str">
        <f t="shared" si="108"/>
        <v>-</v>
      </c>
      <c r="G245" s="62" t="str">
        <f t="shared" si="109"/>
        <v>-</v>
      </c>
      <c r="P245" s="62" t="str">
        <f t="shared" si="110"/>
        <v>-</v>
      </c>
      <c r="Q245" s="62" t="str">
        <f t="shared" si="111"/>
        <v>-</v>
      </c>
      <c r="R245" s="62" t="str">
        <f t="shared" si="112"/>
        <v>-</v>
      </c>
      <c r="S245" s="62" t="str">
        <f t="shared" si="113"/>
        <v>-</v>
      </c>
      <c r="T245" s="62" t="str">
        <f t="shared" si="114"/>
        <v>-</v>
      </c>
      <c r="V245" s="32">
        <f t="shared" si="115"/>
        <v>6</v>
      </c>
      <c r="Z245" s="25">
        <v>1</v>
      </c>
      <c r="AA245" s="54">
        <f t="shared" si="116"/>
        <v>0</v>
      </c>
      <c r="AB245" s="54">
        <f t="shared" si="117"/>
        <v>0</v>
      </c>
      <c r="AC245" s="54">
        <f t="shared" si="118"/>
        <v>0</v>
      </c>
      <c r="AD245" s="54">
        <f t="shared" si="119"/>
        <v>0</v>
      </c>
      <c r="AE245" s="54">
        <f t="shared" si="120"/>
        <v>0</v>
      </c>
      <c r="AG245" s="32">
        <f t="shared" si="121"/>
        <v>5</v>
      </c>
      <c r="AK245" s="25">
        <v>1</v>
      </c>
      <c r="AL245" s="54">
        <f t="shared" si="122"/>
        <v>0</v>
      </c>
      <c r="AM245" s="54">
        <f t="shared" si="123"/>
        <v>0</v>
      </c>
      <c r="AN245" s="54">
        <f t="shared" si="124"/>
        <v>0</v>
      </c>
      <c r="AO245" s="54">
        <f t="shared" si="125"/>
        <v>0</v>
      </c>
      <c r="AP245" s="54">
        <f t="shared" si="126"/>
        <v>0</v>
      </c>
      <c r="AR245" s="32">
        <f t="shared" si="127"/>
        <v>4</v>
      </c>
      <c r="AV245" s="25">
        <v>1</v>
      </c>
      <c r="AW245" s="54">
        <f t="shared" si="128"/>
        <v>0</v>
      </c>
      <c r="AX245" s="54">
        <f t="shared" si="129"/>
        <v>0</v>
      </c>
      <c r="AY245" s="54">
        <f t="shared" si="130"/>
        <v>0</v>
      </c>
      <c r="AZ245" s="54">
        <f t="shared" si="131"/>
        <v>0</v>
      </c>
      <c r="BA245" s="54">
        <f t="shared" si="132"/>
        <v>0</v>
      </c>
      <c r="BC245" s="32">
        <f t="shared" si="133"/>
        <v>3</v>
      </c>
      <c r="BG245" s="25">
        <v>1</v>
      </c>
      <c r="BH245" s="54">
        <f t="shared" si="134"/>
        <v>0</v>
      </c>
      <c r="BI245" s="54">
        <f t="shared" si="135"/>
        <v>0</v>
      </c>
      <c r="BJ245" s="54">
        <f t="shared" si="136"/>
        <v>0</v>
      </c>
      <c r="BK245" s="54">
        <f t="shared" si="137"/>
        <v>0</v>
      </c>
      <c r="BL245" s="54">
        <f t="shared" si="138"/>
        <v>0</v>
      </c>
      <c r="BN245" s="25">
        <f t="shared" si="139"/>
        <v>1</v>
      </c>
      <c r="BS245" s="39"/>
      <c r="BT245" s="39"/>
      <c r="BU245" s="39"/>
      <c r="BV245" s="39"/>
      <c r="BW245" s="39"/>
    </row>
    <row r="246" spans="3:75" x14ac:dyDescent="0.25">
      <c r="C246" s="62" t="str">
        <f t="shared" si="105"/>
        <v>-</v>
      </c>
      <c r="D246" s="62" t="str">
        <f t="shared" si="106"/>
        <v>-</v>
      </c>
      <c r="E246" s="62" t="str">
        <f t="shared" si="107"/>
        <v>-</v>
      </c>
      <c r="F246" s="62" t="str">
        <f t="shared" si="108"/>
        <v>-</v>
      </c>
      <c r="G246" s="62" t="str">
        <f t="shared" si="109"/>
        <v>-</v>
      </c>
      <c r="P246" s="62" t="str">
        <f t="shared" si="110"/>
        <v>-</v>
      </c>
      <c r="Q246" s="62" t="str">
        <f t="shared" si="111"/>
        <v>-</v>
      </c>
      <c r="R246" s="62" t="str">
        <f t="shared" si="112"/>
        <v>-</v>
      </c>
      <c r="S246" s="62" t="str">
        <f t="shared" si="113"/>
        <v>-</v>
      </c>
      <c r="T246" s="62" t="str">
        <f t="shared" si="114"/>
        <v>-</v>
      </c>
      <c r="V246" s="32">
        <f t="shared" si="115"/>
        <v>6</v>
      </c>
      <c r="Z246" s="25">
        <v>1</v>
      </c>
      <c r="AA246" s="54">
        <f t="shared" si="116"/>
        <v>0</v>
      </c>
      <c r="AB246" s="54">
        <f t="shared" si="117"/>
        <v>0</v>
      </c>
      <c r="AC246" s="54">
        <f t="shared" si="118"/>
        <v>0</v>
      </c>
      <c r="AD246" s="54">
        <f t="shared" si="119"/>
        <v>0</v>
      </c>
      <c r="AE246" s="54">
        <f t="shared" si="120"/>
        <v>0</v>
      </c>
      <c r="AG246" s="32">
        <f t="shared" si="121"/>
        <v>5</v>
      </c>
      <c r="AK246" s="25">
        <v>1</v>
      </c>
      <c r="AL246" s="54">
        <f t="shared" si="122"/>
        <v>0</v>
      </c>
      <c r="AM246" s="54">
        <f t="shared" si="123"/>
        <v>0</v>
      </c>
      <c r="AN246" s="54">
        <f t="shared" si="124"/>
        <v>0</v>
      </c>
      <c r="AO246" s="54">
        <f t="shared" si="125"/>
        <v>0</v>
      </c>
      <c r="AP246" s="54">
        <f t="shared" si="126"/>
        <v>0</v>
      </c>
      <c r="AR246" s="32">
        <f t="shared" si="127"/>
        <v>4</v>
      </c>
      <c r="AV246" s="25">
        <v>1</v>
      </c>
      <c r="AW246" s="54">
        <f t="shared" si="128"/>
        <v>0</v>
      </c>
      <c r="AX246" s="54">
        <f t="shared" si="129"/>
        <v>0</v>
      </c>
      <c r="AY246" s="54">
        <f t="shared" si="130"/>
        <v>0</v>
      </c>
      <c r="AZ246" s="54">
        <f t="shared" si="131"/>
        <v>0</v>
      </c>
      <c r="BA246" s="54">
        <f t="shared" si="132"/>
        <v>0</v>
      </c>
      <c r="BC246" s="32">
        <f t="shared" si="133"/>
        <v>3</v>
      </c>
      <c r="BG246" s="25">
        <v>1</v>
      </c>
      <c r="BH246" s="54">
        <f t="shared" si="134"/>
        <v>0</v>
      </c>
      <c r="BI246" s="54">
        <f t="shared" si="135"/>
        <v>0</v>
      </c>
      <c r="BJ246" s="54">
        <f t="shared" si="136"/>
        <v>0</v>
      </c>
      <c r="BK246" s="54">
        <f t="shared" si="137"/>
        <v>0</v>
      </c>
      <c r="BL246" s="54">
        <f t="shared" si="138"/>
        <v>0</v>
      </c>
      <c r="BN246" s="25">
        <f t="shared" si="139"/>
        <v>1</v>
      </c>
      <c r="BS246" s="39"/>
      <c r="BT246" s="39"/>
      <c r="BU246" s="39"/>
      <c r="BV246" s="39"/>
      <c r="BW246" s="39"/>
    </row>
    <row r="247" spans="3:75" x14ac:dyDescent="0.25">
      <c r="C247" s="62" t="str">
        <f t="shared" si="105"/>
        <v>-</v>
      </c>
      <c r="D247" s="62" t="str">
        <f t="shared" si="106"/>
        <v>-</v>
      </c>
      <c r="E247" s="62" t="str">
        <f t="shared" si="107"/>
        <v>-</v>
      </c>
      <c r="F247" s="62" t="str">
        <f t="shared" si="108"/>
        <v>-</v>
      </c>
      <c r="G247" s="62" t="str">
        <f t="shared" si="109"/>
        <v>-</v>
      </c>
      <c r="P247" s="62" t="str">
        <f t="shared" si="110"/>
        <v>-</v>
      </c>
      <c r="Q247" s="62" t="str">
        <f t="shared" si="111"/>
        <v>-</v>
      </c>
      <c r="R247" s="62" t="str">
        <f t="shared" si="112"/>
        <v>-</v>
      </c>
      <c r="S247" s="62" t="str">
        <f t="shared" si="113"/>
        <v>-</v>
      </c>
      <c r="T247" s="62" t="str">
        <f t="shared" si="114"/>
        <v>-</v>
      </c>
      <c r="V247" s="32">
        <f t="shared" si="115"/>
        <v>6</v>
      </c>
      <c r="Z247" s="25">
        <v>1</v>
      </c>
      <c r="AA247" s="54">
        <f t="shared" si="116"/>
        <v>0</v>
      </c>
      <c r="AB247" s="54">
        <f t="shared" si="117"/>
        <v>0</v>
      </c>
      <c r="AC247" s="54">
        <f t="shared" si="118"/>
        <v>0</v>
      </c>
      <c r="AD247" s="54">
        <f t="shared" si="119"/>
        <v>0</v>
      </c>
      <c r="AE247" s="54">
        <f t="shared" si="120"/>
        <v>0</v>
      </c>
      <c r="AG247" s="32">
        <f t="shared" si="121"/>
        <v>5</v>
      </c>
      <c r="AK247" s="25">
        <v>1</v>
      </c>
      <c r="AL247" s="54">
        <f t="shared" si="122"/>
        <v>0</v>
      </c>
      <c r="AM247" s="54">
        <f t="shared" si="123"/>
        <v>0</v>
      </c>
      <c r="AN247" s="54">
        <f t="shared" si="124"/>
        <v>0</v>
      </c>
      <c r="AO247" s="54">
        <f t="shared" si="125"/>
        <v>0</v>
      </c>
      <c r="AP247" s="54">
        <f t="shared" si="126"/>
        <v>0</v>
      </c>
      <c r="AR247" s="32">
        <f t="shared" si="127"/>
        <v>4</v>
      </c>
      <c r="AV247" s="25">
        <v>1</v>
      </c>
      <c r="AW247" s="54">
        <f t="shared" si="128"/>
        <v>0</v>
      </c>
      <c r="AX247" s="54">
        <f t="shared" si="129"/>
        <v>0</v>
      </c>
      <c r="AY247" s="54">
        <f t="shared" si="130"/>
        <v>0</v>
      </c>
      <c r="AZ247" s="54">
        <f t="shared" si="131"/>
        <v>0</v>
      </c>
      <c r="BA247" s="54">
        <f t="shared" si="132"/>
        <v>0</v>
      </c>
      <c r="BC247" s="32">
        <f t="shared" si="133"/>
        <v>3</v>
      </c>
      <c r="BG247" s="25">
        <v>1</v>
      </c>
      <c r="BH247" s="54">
        <f t="shared" si="134"/>
        <v>0</v>
      </c>
      <c r="BI247" s="54">
        <f t="shared" si="135"/>
        <v>0</v>
      </c>
      <c r="BJ247" s="54">
        <f t="shared" si="136"/>
        <v>0</v>
      </c>
      <c r="BK247" s="54">
        <f t="shared" si="137"/>
        <v>0</v>
      </c>
      <c r="BL247" s="54">
        <f t="shared" si="138"/>
        <v>0</v>
      </c>
      <c r="BN247" s="25">
        <f t="shared" si="139"/>
        <v>1</v>
      </c>
      <c r="BS247" s="39"/>
      <c r="BT247" s="39"/>
      <c r="BU247" s="39"/>
      <c r="BV247" s="39"/>
      <c r="BW247" s="39"/>
    </row>
    <row r="248" spans="3:75" x14ac:dyDescent="0.25">
      <c r="C248" s="62" t="str">
        <f t="shared" si="105"/>
        <v>-</v>
      </c>
      <c r="D248" s="62" t="str">
        <f t="shared" si="106"/>
        <v>-</v>
      </c>
      <c r="E248" s="62" t="str">
        <f t="shared" si="107"/>
        <v>-</v>
      </c>
      <c r="F248" s="62" t="str">
        <f t="shared" si="108"/>
        <v>-</v>
      </c>
      <c r="G248" s="62" t="str">
        <f t="shared" si="109"/>
        <v>-</v>
      </c>
      <c r="P248" s="62" t="str">
        <f t="shared" si="110"/>
        <v>-</v>
      </c>
      <c r="Q248" s="62" t="str">
        <f t="shared" si="111"/>
        <v>-</v>
      </c>
      <c r="R248" s="62" t="str">
        <f t="shared" si="112"/>
        <v>-</v>
      </c>
      <c r="S248" s="62" t="str">
        <f t="shared" si="113"/>
        <v>-</v>
      </c>
      <c r="T248" s="62" t="str">
        <f t="shared" si="114"/>
        <v>-</v>
      </c>
      <c r="V248" s="32">
        <f t="shared" si="115"/>
        <v>6</v>
      </c>
      <c r="Z248" s="25">
        <v>1</v>
      </c>
      <c r="AA248" s="54">
        <f t="shared" si="116"/>
        <v>0</v>
      </c>
      <c r="AB248" s="54">
        <f t="shared" si="117"/>
        <v>0</v>
      </c>
      <c r="AC248" s="54">
        <f t="shared" si="118"/>
        <v>0</v>
      </c>
      <c r="AD248" s="54">
        <f t="shared" si="119"/>
        <v>0</v>
      </c>
      <c r="AE248" s="54">
        <f t="shared" si="120"/>
        <v>0</v>
      </c>
      <c r="AG248" s="32">
        <f t="shared" si="121"/>
        <v>5</v>
      </c>
      <c r="AK248" s="25">
        <v>1</v>
      </c>
      <c r="AL248" s="54">
        <f t="shared" si="122"/>
        <v>0</v>
      </c>
      <c r="AM248" s="54">
        <f t="shared" si="123"/>
        <v>0</v>
      </c>
      <c r="AN248" s="54">
        <f t="shared" si="124"/>
        <v>0</v>
      </c>
      <c r="AO248" s="54">
        <f t="shared" si="125"/>
        <v>0</v>
      </c>
      <c r="AP248" s="54">
        <f t="shared" si="126"/>
        <v>0</v>
      </c>
      <c r="AR248" s="32">
        <f t="shared" si="127"/>
        <v>4</v>
      </c>
      <c r="AV248" s="25">
        <v>1</v>
      </c>
      <c r="AW248" s="54">
        <f t="shared" si="128"/>
        <v>0</v>
      </c>
      <c r="AX248" s="54">
        <f t="shared" si="129"/>
        <v>0</v>
      </c>
      <c r="AY248" s="54">
        <f t="shared" si="130"/>
        <v>0</v>
      </c>
      <c r="AZ248" s="54">
        <f t="shared" si="131"/>
        <v>0</v>
      </c>
      <c r="BA248" s="54">
        <f t="shared" si="132"/>
        <v>0</v>
      </c>
      <c r="BC248" s="32">
        <f t="shared" si="133"/>
        <v>3</v>
      </c>
      <c r="BG248" s="25">
        <v>1</v>
      </c>
      <c r="BH248" s="54">
        <f t="shared" si="134"/>
        <v>0</v>
      </c>
      <c r="BI248" s="54">
        <f t="shared" si="135"/>
        <v>0</v>
      </c>
      <c r="BJ248" s="54">
        <f t="shared" si="136"/>
        <v>0</v>
      </c>
      <c r="BK248" s="54">
        <f t="shared" si="137"/>
        <v>0</v>
      </c>
      <c r="BL248" s="54">
        <f t="shared" si="138"/>
        <v>0</v>
      </c>
      <c r="BN248" s="25">
        <f t="shared" si="139"/>
        <v>1</v>
      </c>
      <c r="BS248" s="39"/>
      <c r="BT248" s="39"/>
      <c r="BU248" s="39"/>
      <c r="BV248" s="39"/>
      <c r="BW248" s="39"/>
    </row>
    <row r="249" spans="3:75" x14ac:dyDescent="0.25">
      <c r="C249" s="62" t="str">
        <f t="shared" si="105"/>
        <v>-</v>
      </c>
      <c r="D249" s="62" t="str">
        <f t="shared" si="106"/>
        <v>-</v>
      </c>
      <c r="E249" s="62" t="str">
        <f t="shared" si="107"/>
        <v>-</v>
      </c>
      <c r="F249" s="62" t="str">
        <f t="shared" si="108"/>
        <v>-</v>
      </c>
      <c r="G249" s="62" t="str">
        <f t="shared" si="109"/>
        <v>-</v>
      </c>
      <c r="P249" s="62" t="str">
        <f t="shared" si="110"/>
        <v>-</v>
      </c>
      <c r="Q249" s="62" t="str">
        <f t="shared" si="111"/>
        <v>-</v>
      </c>
      <c r="R249" s="62" t="str">
        <f t="shared" si="112"/>
        <v>-</v>
      </c>
      <c r="S249" s="62" t="str">
        <f t="shared" si="113"/>
        <v>-</v>
      </c>
      <c r="T249" s="62" t="str">
        <f t="shared" si="114"/>
        <v>-</v>
      </c>
      <c r="V249" s="32">
        <f t="shared" si="115"/>
        <v>6</v>
      </c>
      <c r="Z249" s="25">
        <v>1</v>
      </c>
      <c r="AA249" s="54">
        <f t="shared" si="116"/>
        <v>0</v>
      </c>
      <c r="AB249" s="54">
        <f t="shared" si="117"/>
        <v>0</v>
      </c>
      <c r="AC249" s="54">
        <f t="shared" si="118"/>
        <v>0</v>
      </c>
      <c r="AD249" s="54">
        <f t="shared" si="119"/>
        <v>0</v>
      </c>
      <c r="AE249" s="54">
        <f t="shared" si="120"/>
        <v>0</v>
      </c>
      <c r="AG249" s="32">
        <f t="shared" si="121"/>
        <v>5</v>
      </c>
      <c r="AK249" s="25">
        <v>1</v>
      </c>
      <c r="AL249" s="54">
        <f t="shared" si="122"/>
        <v>0</v>
      </c>
      <c r="AM249" s="54">
        <f t="shared" si="123"/>
        <v>0</v>
      </c>
      <c r="AN249" s="54">
        <f t="shared" si="124"/>
        <v>0</v>
      </c>
      <c r="AO249" s="54">
        <f t="shared" si="125"/>
        <v>0</v>
      </c>
      <c r="AP249" s="54">
        <f t="shared" si="126"/>
        <v>0</v>
      </c>
      <c r="AR249" s="32">
        <f t="shared" si="127"/>
        <v>4</v>
      </c>
      <c r="AV249" s="25">
        <v>1</v>
      </c>
      <c r="AW249" s="54">
        <f t="shared" si="128"/>
        <v>0</v>
      </c>
      <c r="AX249" s="54">
        <f t="shared" si="129"/>
        <v>0</v>
      </c>
      <c r="AY249" s="54">
        <f t="shared" si="130"/>
        <v>0</v>
      </c>
      <c r="AZ249" s="54">
        <f t="shared" si="131"/>
        <v>0</v>
      </c>
      <c r="BA249" s="54">
        <f t="shared" si="132"/>
        <v>0</v>
      </c>
      <c r="BC249" s="32">
        <f t="shared" si="133"/>
        <v>3</v>
      </c>
      <c r="BG249" s="25">
        <v>1</v>
      </c>
      <c r="BH249" s="54">
        <f t="shared" si="134"/>
        <v>0</v>
      </c>
      <c r="BI249" s="54">
        <f t="shared" si="135"/>
        <v>0</v>
      </c>
      <c r="BJ249" s="54">
        <f t="shared" si="136"/>
        <v>0</v>
      </c>
      <c r="BK249" s="54">
        <f t="shared" si="137"/>
        <v>0</v>
      </c>
      <c r="BL249" s="54">
        <f t="shared" si="138"/>
        <v>0</v>
      </c>
      <c r="BN249" s="25">
        <f t="shared" si="139"/>
        <v>1</v>
      </c>
      <c r="BS249" s="39"/>
      <c r="BT249" s="39"/>
      <c r="BU249" s="39"/>
      <c r="BV249" s="39"/>
      <c r="BW249" s="39"/>
    </row>
    <row r="250" spans="3:75" x14ac:dyDescent="0.25">
      <c r="C250" s="62" t="str">
        <f t="shared" si="105"/>
        <v>-</v>
      </c>
      <c r="D250" s="62" t="str">
        <f t="shared" si="106"/>
        <v>-</v>
      </c>
      <c r="E250" s="62" t="str">
        <f t="shared" si="107"/>
        <v>-</v>
      </c>
      <c r="F250" s="62" t="str">
        <f t="shared" si="108"/>
        <v>-</v>
      </c>
      <c r="G250" s="62" t="str">
        <f t="shared" si="109"/>
        <v>-</v>
      </c>
      <c r="P250" s="62" t="str">
        <f t="shared" si="110"/>
        <v>-</v>
      </c>
      <c r="Q250" s="62" t="str">
        <f t="shared" si="111"/>
        <v>-</v>
      </c>
      <c r="R250" s="62" t="str">
        <f t="shared" si="112"/>
        <v>-</v>
      </c>
      <c r="S250" s="62" t="str">
        <f t="shared" si="113"/>
        <v>-</v>
      </c>
      <c r="T250" s="62" t="str">
        <f t="shared" si="114"/>
        <v>-</v>
      </c>
      <c r="V250" s="32">
        <f t="shared" si="115"/>
        <v>6</v>
      </c>
      <c r="Z250" s="25">
        <v>1</v>
      </c>
      <c r="AA250" s="54">
        <f t="shared" si="116"/>
        <v>0</v>
      </c>
      <c r="AB250" s="54">
        <f t="shared" si="117"/>
        <v>0</v>
      </c>
      <c r="AC250" s="54">
        <f t="shared" si="118"/>
        <v>0</v>
      </c>
      <c r="AD250" s="54">
        <f t="shared" si="119"/>
        <v>0</v>
      </c>
      <c r="AE250" s="54">
        <f t="shared" si="120"/>
        <v>0</v>
      </c>
      <c r="AG250" s="32">
        <f t="shared" si="121"/>
        <v>5</v>
      </c>
      <c r="AK250" s="25">
        <v>1</v>
      </c>
      <c r="AL250" s="54">
        <f t="shared" si="122"/>
        <v>0</v>
      </c>
      <c r="AM250" s="54">
        <f t="shared" si="123"/>
        <v>0</v>
      </c>
      <c r="AN250" s="54">
        <f t="shared" si="124"/>
        <v>0</v>
      </c>
      <c r="AO250" s="54">
        <f t="shared" si="125"/>
        <v>0</v>
      </c>
      <c r="AP250" s="54">
        <f t="shared" si="126"/>
        <v>0</v>
      </c>
      <c r="AR250" s="32">
        <f t="shared" si="127"/>
        <v>4</v>
      </c>
      <c r="AV250" s="25">
        <v>1</v>
      </c>
      <c r="AW250" s="54">
        <f t="shared" si="128"/>
        <v>0</v>
      </c>
      <c r="AX250" s="54">
        <f t="shared" si="129"/>
        <v>0</v>
      </c>
      <c r="AY250" s="54">
        <f t="shared" si="130"/>
        <v>0</v>
      </c>
      <c r="AZ250" s="54">
        <f t="shared" si="131"/>
        <v>0</v>
      </c>
      <c r="BA250" s="54">
        <f t="shared" si="132"/>
        <v>0</v>
      </c>
      <c r="BC250" s="32">
        <f t="shared" si="133"/>
        <v>3</v>
      </c>
      <c r="BG250" s="25">
        <v>1</v>
      </c>
      <c r="BH250" s="54">
        <f t="shared" si="134"/>
        <v>0</v>
      </c>
      <c r="BI250" s="54">
        <f t="shared" si="135"/>
        <v>0</v>
      </c>
      <c r="BJ250" s="54">
        <f t="shared" si="136"/>
        <v>0</v>
      </c>
      <c r="BK250" s="54">
        <f t="shared" si="137"/>
        <v>0</v>
      </c>
      <c r="BL250" s="54">
        <f t="shared" si="138"/>
        <v>0</v>
      </c>
      <c r="BN250" s="25">
        <f t="shared" si="139"/>
        <v>1</v>
      </c>
      <c r="BS250" s="39"/>
      <c r="BT250" s="39"/>
      <c r="BU250" s="39"/>
      <c r="BV250" s="39"/>
      <c r="BW250" s="39"/>
    </row>
    <row r="251" spans="3:75" x14ac:dyDescent="0.25">
      <c r="C251" s="62" t="str">
        <f t="shared" si="105"/>
        <v>-</v>
      </c>
      <c r="D251" s="62" t="str">
        <f t="shared" si="106"/>
        <v>-</v>
      </c>
      <c r="E251" s="62" t="str">
        <f t="shared" si="107"/>
        <v>-</v>
      </c>
      <c r="F251" s="62" t="str">
        <f t="shared" si="108"/>
        <v>-</v>
      </c>
      <c r="G251" s="62" t="str">
        <f t="shared" si="109"/>
        <v>-</v>
      </c>
      <c r="P251" s="62" t="str">
        <f t="shared" si="110"/>
        <v>-</v>
      </c>
      <c r="Q251" s="62" t="str">
        <f t="shared" si="111"/>
        <v>-</v>
      </c>
      <c r="R251" s="62" t="str">
        <f t="shared" si="112"/>
        <v>-</v>
      </c>
      <c r="S251" s="62" t="str">
        <f t="shared" si="113"/>
        <v>-</v>
      </c>
      <c r="T251" s="62" t="str">
        <f t="shared" si="114"/>
        <v>-</v>
      </c>
      <c r="V251" s="32">
        <f t="shared" si="115"/>
        <v>6</v>
      </c>
      <c r="Z251" s="25">
        <v>1</v>
      </c>
      <c r="AA251" s="54">
        <f t="shared" si="116"/>
        <v>0</v>
      </c>
      <c r="AB251" s="54">
        <f t="shared" si="117"/>
        <v>0</v>
      </c>
      <c r="AC251" s="54">
        <f t="shared" si="118"/>
        <v>0</v>
      </c>
      <c r="AD251" s="54">
        <f t="shared" si="119"/>
        <v>0</v>
      </c>
      <c r="AE251" s="54">
        <f t="shared" si="120"/>
        <v>0</v>
      </c>
      <c r="AG251" s="32">
        <f t="shared" si="121"/>
        <v>5</v>
      </c>
      <c r="AK251" s="25">
        <v>1</v>
      </c>
      <c r="AL251" s="54">
        <f t="shared" si="122"/>
        <v>0</v>
      </c>
      <c r="AM251" s="54">
        <f t="shared" si="123"/>
        <v>0</v>
      </c>
      <c r="AN251" s="54">
        <f t="shared" si="124"/>
        <v>0</v>
      </c>
      <c r="AO251" s="54">
        <f t="shared" si="125"/>
        <v>0</v>
      </c>
      <c r="AP251" s="54">
        <f t="shared" si="126"/>
        <v>0</v>
      </c>
      <c r="AR251" s="32">
        <f t="shared" si="127"/>
        <v>4</v>
      </c>
      <c r="AV251" s="25">
        <v>1</v>
      </c>
      <c r="AW251" s="54">
        <f t="shared" si="128"/>
        <v>0</v>
      </c>
      <c r="AX251" s="54">
        <f t="shared" si="129"/>
        <v>0</v>
      </c>
      <c r="AY251" s="54">
        <f t="shared" si="130"/>
        <v>0</v>
      </c>
      <c r="AZ251" s="54">
        <f t="shared" si="131"/>
        <v>0</v>
      </c>
      <c r="BA251" s="54">
        <f t="shared" si="132"/>
        <v>0</v>
      </c>
      <c r="BC251" s="32">
        <f t="shared" si="133"/>
        <v>3</v>
      </c>
      <c r="BG251" s="25">
        <v>1</v>
      </c>
      <c r="BH251" s="54">
        <f t="shared" si="134"/>
        <v>0</v>
      </c>
      <c r="BI251" s="54">
        <f t="shared" si="135"/>
        <v>0</v>
      </c>
      <c r="BJ251" s="54">
        <f t="shared" si="136"/>
        <v>0</v>
      </c>
      <c r="BK251" s="54">
        <f t="shared" si="137"/>
        <v>0</v>
      </c>
      <c r="BL251" s="54">
        <f t="shared" si="138"/>
        <v>0</v>
      </c>
      <c r="BN251" s="25">
        <f t="shared" si="139"/>
        <v>1</v>
      </c>
      <c r="BS251" s="39"/>
      <c r="BT251" s="39"/>
      <c r="BU251" s="39"/>
      <c r="BV251" s="39"/>
      <c r="BW251" s="39"/>
    </row>
    <row r="252" spans="3:75" x14ac:dyDescent="0.25">
      <c r="C252" s="62" t="str">
        <f t="shared" si="105"/>
        <v>-</v>
      </c>
      <c r="D252" s="62" t="str">
        <f t="shared" si="106"/>
        <v>-</v>
      </c>
      <c r="E252" s="62" t="str">
        <f t="shared" si="107"/>
        <v>-</v>
      </c>
      <c r="F252" s="62" t="str">
        <f t="shared" si="108"/>
        <v>-</v>
      </c>
      <c r="G252" s="62" t="str">
        <f t="shared" si="109"/>
        <v>-</v>
      </c>
      <c r="P252" s="62" t="str">
        <f t="shared" si="110"/>
        <v>-</v>
      </c>
      <c r="Q252" s="62" t="str">
        <f t="shared" si="111"/>
        <v>-</v>
      </c>
      <c r="R252" s="62" t="str">
        <f t="shared" si="112"/>
        <v>-</v>
      </c>
      <c r="S252" s="62" t="str">
        <f t="shared" si="113"/>
        <v>-</v>
      </c>
      <c r="T252" s="62" t="str">
        <f t="shared" si="114"/>
        <v>-</v>
      </c>
      <c r="V252" s="32">
        <f t="shared" si="115"/>
        <v>6</v>
      </c>
      <c r="Z252" s="25">
        <v>1</v>
      </c>
      <c r="AA252" s="54">
        <f t="shared" si="116"/>
        <v>0</v>
      </c>
      <c r="AB252" s="54">
        <f t="shared" si="117"/>
        <v>0</v>
      </c>
      <c r="AC252" s="54">
        <f t="shared" si="118"/>
        <v>0</v>
      </c>
      <c r="AD252" s="54">
        <f t="shared" si="119"/>
        <v>0</v>
      </c>
      <c r="AE252" s="54">
        <f t="shared" si="120"/>
        <v>0</v>
      </c>
      <c r="AG252" s="32">
        <f t="shared" si="121"/>
        <v>5</v>
      </c>
      <c r="AK252" s="25">
        <v>1</v>
      </c>
      <c r="AL252" s="54">
        <f t="shared" si="122"/>
        <v>0</v>
      </c>
      <c r="AM252" s="54">
        <f t="shared" si="123"/>
        <v>0</v>
      </c>
      <c r="AN252" s="54">
        <f t="shared" si="124"/>
        <v>0</v>
      </c>
      <c r="AO252" s="54">
        <f t="shared" si="125"/>
        <v>0</v>
      </c>
      <c r="AP252" s="54">
        <f t="shared" si="126"/>
        <v>0</v>
      </c>
      <c r="AR252" s="32">
        <f t="shared" si="127"/>
        <v>4</v>
      </c>
      <c r="AV252" s="25">
        <v>1</v>
      </c>
      <c r="AW252" s="54">
        <f t="shared" si="128"/>
        <v>0</v>
      </c>
      <c r="AX252" s="54">
        <f t="shared" si="129"/>
        <v>0</v>
      </c>
      <c r="AY252" s="54">
        <f t="shared" si="130"/>
        <v>0</v>
      </c>
      <c r="AZ252" s="54">
        <f t="shared" si="131"/>
        <v>0</v>
      </c>
      <c r="BA252" s="54">
        <f t="shared" si="132"/>
        <v>0</v>
      </c>
      <c r="BC252" s="32">
        <f t="shared" si="133"/>
        <v>3</v>
      </c>
      <c r="BG252" s="25">
        <v>1</v>
      </c>
      <c r="BH252" s="54">
        <f t="shared" si="134"/>
        <v>0</v>
      </c>
      <c r="BI252" s="54">
        <f t="shared" si="135"/>
        <v>0</v>
      </c>
      <c r="BJ252" s="54">
        <f t="shared" si="136"/>
        <v>0</v>
      </c>
      <c r="BK252" s="54">
        <f t="shared" si="137"/>
        <v>0</v>
      </c>
      <c r="BL252" s="54">
        <f t="shared" si="138"/>
        <v>0</v>
      </c>
      <c r="BN252" s="25">
        <f t="shared" si="139"/>
        <v>1</v>
      </c>
      <c r="BS252" s="39"/>
      <c r="BT252" s="39"/>
      <c r="BU252" s="39"/>
      <c r="BV252" s="39"/>
      <c r="BW252" s="39"/>
    </row>
    <row r="253" spans="3:75" x14ac:dyDescent="0.25">
      <c r="C253" s="62" t="str">
        <f t="shared" si="105"/>
        <v>-</v>
      </c>
      <c r="D253" s="62" t="str">
        <f t="shared" si="106"/>
        <v>-</v>
      </c>
      <c r="E253" s="62" t="str">
        <f t="shared" si="107"/>
        <v>-</v>
      </c>
      <c r="F253" s="62" t="str">
        <f t="shared" si="108"/>
        <v>-</v>
      </c>
      <c r="G253" s="62" t="str">
        <f t="shared" si="109"/>
        <v>-</v>
      </c>
      <c r="P253" s="62" t="str">
        <f t="shared" si="110"/>
        <v>-</v>
      </c>
      <c r="Q253" s="62" t="str">
        <f t="shared" si="111"/>
        <v>-</v>
      </c>
      <c r="R253" s="62" t="str">
        <f t="shared" si="112"/>
        <v>-</v>
      </c>
      <c r="S253" s="62" t="str">
        <f t="shared" si="113"/>
        <v>-</v>
      </c>
      <c r="T253" s="62" t="str">
        <f t="shared" si="114"/>
        <v>-</v>
      </c>
      <c r="V253" s="32">
        <f t="shared" si="115"/>
        <v>6</v>
      </c>
      <c r="Z253" s="25">
        <v>1</v>
      </c>
      <c r="AA253" s="54">
        <f t="shared" si="116"/>
        <v>0</v>
      </c>
      <c r="AB253" s="54">
        <f t="shared" si="117"/>
        <v>0</v>
      </c>
      <c r="AC253" s="54">
        <f t="shared" si="118"/>
        <v>0</v>
      </c>
      <c r="AD253" s="54">
        <f t="shared" si="119"/>
        <v>0</v>
      </c>
      <c r="AE253" s="54">
        <f t="shared" si="120"/>
        <v>0</v>
      </c>
      <c r="AG253" s="32">
        <f t="shared" si="121"/>
        <v>5</v>
      </c>
      <c r="AK253" s="25">
        <v>1</v>
      </c>
      <c r="AL253" s="54">
        <f t="shared" si="122"/>
        <v>0</v>
      </c>
      <c r="AM253" s="54">
        <f t="shared" si="123"/>
        <v>0</v>
      </c>
      <c r="AN253" s="54">
        <f t="shared" si="124"/>
        <v>0</v>
      </c>
      <c r="AO253" s="54">
        <f t="shared" si="125"/>
        <v>0</v>
      </c>
      <c r="AP253" s="54">
        <f t="shared" si="126"/>
        <v>0</v>
      </c>
      <c r="AR253" s="32">
        <f t="shared" si="127"/>
        <v>4</v>
      </c>
      <c r="AV253" s="25">
        <v>1</v>
      </c>
      <c r="AW253" s="54">
        <f t="shared" si="128"/>
        <v>0</v>
      </c>
      <c r="AX253" s="54">
        <f t="shared" si="129"/>
        <v>0</v>
      </c>
      <c r="AY253" s="54">
        <f t="shared" si="130"/>
        <v>0</v>
      </c>
      <c r="AZ253" s="54">
        <f t="shared" si="131"/>
        <v>0</v>
      </c>
      <c r="BA253" s="54">
        <f t="shared" si="132"/>
        <v>0</v>
      </c>
      <c r="BC253" s="32">
        <f t="shared" si="133"/>
        <v>3</v>
      </c>
      <c r="BG253" s="25">
        <v>1</v>
      </c>
      <c r="BH253" s="54">
        <f t="shared" si="134"/>
        <v>0</v>
      </c>
      <c r="BI253" s="54">
        <f t="shared" si="135"/>
        <v>0</v>
      </c>
      <c r="BJ253" s="54">
        <f t="shared" si="136"/>
        <v>0</v>
      </c>
      <c r="BK253" s="54">
        <f t="shared" si="137"/>
        <v>0</v>
      </c>
      <c r="BL253" s="54">
        <f t="shared" si="138"/>
        <v>0</v>
      </c>
      <c r="BN253" s="25">
        <f t="shared" si="139"/>
        <v>1</v>
      </c>
      <c r="BS253" s="39"/>
      <c r="BT253" s="39"/>
      <c r="BU253" s="39"/>
      <c r="BV253" s="39"/>
      <c r="BW253" s="39"/>
    </row>
    <row r="254" spans="3:75" x14ac:dyDescent="0.25">
      <c r="C254" s="62" t="str">
        <f t="shared" si="105"/>
        <v>-</v>
      </c>
      <c r="D254" s="62" t="str">
        <f t="shared" si="106"/>
        <v>-</v>
      </c>
      <c r="E254" s="62" t="str">
        <f t="shared" si="107"/>
        <v>-</v>
      </c>
      <c r="F254" s="62" t="str">
        <f t="shared" si="108"/>
        <v>-</v>
      </c>
      <c r="G254" s="62" t="str">
        <f t="shared" si="109"/>
        <v>-</v>
      </c>
      <c r="P254" s="62" t="str">
        <f t="shared" si="110"/>
        <v>-</v>
      </c>
      <c r="Q254" s="62" t="str">
        <f t="shared" si="111"/>
        <v>-</v>
      </c>
      <c r="R254" s="62" t="str">
        <f t="shared" si="112"/>
        <v>-</v>
      </c>
      <c r="S254" s="62" t="str">
        <f t="shared" si="113"/>
        <v>-</v>
      </c>
      <c r="T254" s="62" t="str">
        <f t="shared" si="114"/>
        <v>-</v>
      </c>
      <c r="V254" s="32">
        <f t="shared" si="115"/>
        <v>6</v>
      </c>
      <c r="Z254" s="25">
        <v>1</v>
      </c>
      <c r="AA254" s="54">
        <f t="shared" si="116"/>
        <v>0</v>
      </c>
      <c r="AB254" s="54">
        <f t="shared" si="117"/>
        <v>0</v>
      </c>
      <c r="AC254" s="54">
        <f t="shared" si="118"/>
        <v>0</v>
      </c>
      <c r="AD254" s="54">
        <f t="shared" si="119"/>
        <v>0</v>
      </c>
      <c r="AE254" s="54">
        <f t="shared" si="120"/>
        <v>0</v>
      </c>
      <c r="AG254" s="32">
        <f t="shared" si="121"/>
        <v>5</v>
      </c>
      <c r="AK254" s="25">
        <v>1</v>
      </c>
      <c r="AL254" s="54">
        <f t="shared" si="122"/>
        <v>0</v>
      </c>
      <c r="AM254" s="54">
        <f t="shared" si="123"/>
        <v>0</v>
      </c>
      <c r="AN254" s="54">
        <f t="shared" si="124"/>
        <v>0</v>
      </c>
      <c r="AO254" s="54">
        <f t="shared" si="125"/>
        <v>0</v>
      </c>
      <c r="AP254" s="54">
        <f t="shared" si="126"/>
        <v>0</v>
      </c>
      <c r="AR254" s="32">
        <f t="shared" si="127"/>
        <v>4</v>
      </c>
      <c r="AV254" s="25">
        <v>1</v>
      </c>
      <c r="AW254" s="54">
        <f t="shared" si="128"/>
        <v>0</v>
      </c>
      <c r="AX254" s="54">
        <f t="shared" si="129"/>
        <v>0</v>
      </c>
      <c r="AY254" s="54">
        <f t="shared" si="130"/>
        <v>0</v>
      </c>
      <c r="AZ254" s="54">
        <f t="shared" si="131"/>
        <v>0</v>
      </c>
      <c r="BA254" s="54">
        <f t="shared" si="132"/>
        <v>0</v>
      </c>
      <c r="BC254" s="32">
        <f t="shared" si="133"/>
        <v>3</v>
      </c>
      <c r="BG254" s="25">
        <v>1</v>
      </c>
      <c r="BH254" s="54">
        <f t="shared" si="134"/>
        <v>0</v>
      </c>
      <c r="BI254" s="54">
        <f t="shared" si="135"/>
        <v>0</v>
      </c>
      <c r="BJ254" s="54">
        <f t="shared" si="136"/>
        <v>0</v>
      </c>
      <c r="BK254" s="54">
        <f t="shared" si="137"/>
        <v>0</v>
      </c>
      <c r="BL254" s="54">
        <f t="shared" si="138"/>
        <v>0</v>
      </c>
      <c r="BN254" s="25">
        <f t="shared" si="139"/>
        <v>1</v>
      </c>
      <c r="BS254" s="39"/>
      <c r="BT254" s="39"/>
      <c r="BU254" s="39"/>
      <c r="BV254" s="39"/>
      <c r="BW254" s="39"/>
    </row>
    <row r="255" spans="3:75" x14ac:dyDescent="0.25">
      <c r="C255" s="62" t="str">
        <f t="shared" si="105"/>
        <v>-</v>
      </c>
      <c r="D255" s="62" t="str">
        <f t="shared" si="106"/>
        <v>-</v>
      </c>
      <c r="E255" s="62" t="str">
        <f t="shared" si="107"/>
        <v>-</v>
      </c>
      <c r="F255" s="62" t="str">
        <f t="shared" si="108"/>
        <v>-</v>
      </c>
      <c r="G255" s="62" t="str">
        <f t="shared" si="109"/>
        <v>-</v>
      </c>
      <c r="P255" s="62" t="str">
        <f t="shared" si="110"/>
        <v>-</v>
      </c>
      <c r="Q255" s="62" t="str">
        <f t="shared" si="111"/>
        <v>-</v>
      </c>
      <c r="R255" s="62" t="str">
        <f t="shared" si="112"/>
        <v>-</v>
      </c>
      <c r="S255" s="62" t="str">
        <f t="shared" si="113"/>
        <v>-</v>
      </c>
      <c r="T255" s="62" t="str">
        <f t="shared" si="114"/>
        <v>-</v>
      </c>
      <c r="V255" s="32">
        <f t="shared" si="115"/>
        <v>6</v>
      </c>
      <c r="Z255" s="25">
        <v>1</v>
      </c>
      <c r="AA255" s="54">
        <f t="shared" si="116"/>
        <v>0</v>
      </c>
      <c r="AB255" s="54">
        <f t="shared" si="117"/>
        <v>0</v>
      </c>
      <c r="AC255" s="54">
        <f t="shared" si="118"/>
        <v>0</v>
      </c>
      <c r="AD255" s="54">
        <f t="shared" si="119"/>
        <v>0</v>
      </c>
      <c r="AE255" s="54">
        <f t="shared" si="120"/>
        <v>0</v>
      </c>
      <c r="AG255" s="32">
        <f t="shared" si="121"/>
        <v>5</v>
      </c>
      <c r="AK255" s="25">
        <v>1</v>
      </c>
      <c r="AL255" s="54">
        <f t="shared" si="122"/>
        <v>0</v>
      </c>
      <c r="AM255" s="54">
        <f t="shared" si="123"/>
        <v>0</v>
      </c>
      <c r="AN255" s="54">
        <f t="shared" si="124"/>
        <v>0</v>
      </c>
      <c r="AO255" s="54">
        <f t="shared" si="125"/>
        <v>0</v>
      </c>
      <c r="AP255" s="54">
        <f t="shared" si="126"/>
        <v>0</v>
      </c>
      <c r="AR255" s="32">
        <f t="shared" si="127"/>
        <v>4</v>
      </c>
      <c r="AV255" s="25">
        <v>1</v>
      </c>
      <c r="AW255" s="54">
        <f t="shared" si="128"/>
        <v>0</v>
      </c>
      <c r="AX255" s="54">
        <f t="shared" si="129"/>
        <v>0</v>
      </c>
      <c r="AY255" s="54">
        <f t="shared" si="130"/>
        <v>0</v>
      </c>
      <c r="AZ255" s="54">
        <f t="shared" si="131"/>
        <v>0</v>
      </c>
      <c r="BA255" s="54">
        <f t="shared" si="132"/>
        <v>0</v>
      </c>
      <c r="BC255" s="32">
        <f t="shared" si="133"/>
        <v>3</v>
      </c>
      <c r="BG255" s="25">
        <v>1</v>
      </c>
      <c r="BH255" s="54">
        <f t="shared" si="134"/>
        <v>0</v>
      </c>
      <c r="BI255" s="54">
        <f t="shared" si="135"/>
        <v>0</v>
      </c>
      <c r="BJ255" s="54">
        <f t="shared" si="136"/>
        <v>0</v>
      </c>
      <c r="BK255" s="54">
        <f t="shared" si="137"/>
        <v>0</v>
      </c>
      <c r="BL255" s="54">
        <f t="shared" si="138"/>
        <v>0</v>
      </c>
      <c r="BN255" s="25">
        <f t="shared" si="139"/>
        <v>1</v>
      </c>
      <c r="BS255" s="39"/>
      <c r="BT255" s="39"/>
      <c r="BU255" s="39"/>
      <c r="BV255" s="39"/>
      <c r="BW255" s="39"/>
    </row>
    <row r="256" spans="3:75" x14ac:dyDescent="0.25">
      <c r="C256" s="62" t="str">
        <f t="shared" si="105"/>
        <v>-</v>
      </c>
      <c r="D256" s="62" t="str">
        <f t="shared" si="106"/>
        <v>-</v>
      </c>
      <c r="E256" s="62" t="str">
        <f t="shared" si="107"/>
        <v>-</v>
      </c>
      <c r="F256" s="62" t="str">
        <f t="shared" si="108"/>
        <v>-</v>
      </c>
      <c r="G256" s="62" t="str">
        <f t="shared" si="109"/>
        <v>-</v>
      </c>
      <c r="P256" s="62" t="str">
        <f t="shared" si="110"/>
        <v>-</v>
      </c>
      <c r="Q256" s="62" t="str">
        <f t="shared" si="111"/>
        <v>-</v>
      </c>
      <c r="R256" s="62" t="str">
        <f t="shared" si="112"/>
        <v>-</v>
      </c>
      <c r="S256" s="62" t="str">
        <f t="shared" si="113"/>
        <v>-</v>
      </c>
      <c r="T256" s="62" t="str">
        <f t="shared" si="114"/>
        <v>-</v>
      </c>
      <c r="V256" s="32">
        <f t="shared" si="115"/>
        <v>6</v>
      </c>
      <c r="Z256" s="25">
        <v>1</v>
      </c>
      <c r="AA256" s="54">
        <f t="shared" si="116"/>
        <v>0</v>
      </c>
      <c r="AB256" s="54">
        <f t="shared" si="117"/>
        <v>0</v>
      </c>
      <c r="AC256" s="54">
        <f t="shared" si="118"/>
        <v>0</v>
      </c>
      <c r="AD256" s="54">
        <f t="shared" si="119"/>
        <v>0</v>
      </c>
      <c r="AE256" s="54">
        <f t="shared" si="120"/>
        <v>0</v>
      </c>
      <c r="AG256" s="32">
        <f t="shared" si="121"/>
        <v>5</v>
      </c>
      <c r="AK256" s="25">
        <v>1</v>
      </c>
      <c r="AL256" s="54">
        <f t="shared" si="122"/>
        <v>0</v>
      </c>
      <c r="AM256" s="54">
        <f t="shared" si="123"/>
        <v>0</v>
      </c>
      <c r="AN256" s="54">
        <f t="shared" si="124"/>
        <v>0</v>
      </c>
      <c r="AO256" s="54">
        <f t="shared" si="125"/>
        <v>0</v>
      </c>
      <c r="AP256" s="54">
        <f t="shared" si="126"/>
        <v>0</v>
      </c>
      <c r="AR256" s="32">
        <f t="shared" si="127"/>
        <v>4</v>
      </c>
      <c r="AV256" s="25">
        <v>1</v>
      </c>
      <c r="AW256" s="54">
        <f t="shared" si="128"/>
        <v>0</v>
      </c>
      <c r="AX256" s="54">
        <f t="shared" si="129"/>
        <v>0</v>
      </c>
      <c r="AY256" s="54">
        <f t="shared" si="130"/>
        <v>0</v>
      </c>
      <c r="AZ256" s="54">
        <f t="shared" si="131"/>
        <v>0</v>
      </c>
      <c r="BA256" s="54">
        <f t="shared" si="132"/>
        <v>0</v>
      </c>
      <c r="BC256" s="32">
        <f t="shared" si="133"/>
        <v>3</v>
      </c>
      <c r="BG256" s="25">
        <v>1</v>
      </c>
      <c r="BH256" s="54">
        <f t="shared" si="134"/>
        <v>0</v>
      </c>
      <c r="BI256" s="54">
        <f t="shared" si="135"/>
        <v>0</v>
      </c>
      <c r="BJ256" s="54">
        <f t="shared" si="136"/>
        <v>0</v>
      </c>
      <c r="BK256" s="54">
        <f t="shared" si="137"/>
        <v>0</v>
      </c>
      <c r="BL256" s="54">
        <f t="shared" si="138"/>
        <v>0</v>
      </c>
      <c r="BN256" s="25">
        <f t="shared" si="139"/>
        <v>1</v>
      </c>
      <c r="BS256" s="39"/>
      <c r="BT256" s="39"/>
      <c r="BU256" s="39"/>
      <c r="BV256" s="39"/>
      <c r="BW256" s="39"/>
    </row>
    <row r="257" spans="3:75" x14ac:dyDescent="0.25">
      <c r="C257" s="62" t="str">
        <f t="shared" si="105"/>
        <v>-</v>
      </c>
      <c r="D257" s="62" t="str">
        <f t="shared" si="106"/>
        <v>-</v>
      </c>
      <c r="E257" s="62" t="str">
        <f t="shared" si="107"/>
        <v>-</v>
      </c>
      <c r="F257" s="62" t="str">
        <f t="shared" si="108"/>
        <v>-</v>
      </c>
      <c r="G257" s="62" t="str">
        <f t="shared" si="109"/>
        <v>-</v>
      </c>
      <c r="P257" s="62" t="str">
        <f t="shared" si="110"/>
        <v>-</v>
      </c>
      <c r="Q257" s="62" t="str">
        <f t="shared" si="111"/>
        <v>-</v>
      </c>
      <c r="R257" s="62" t="str">
        <f t="shared" si="112"/>
        <v>-</v>
      </c>
      <c r="S257" s="62" t="str">
        <f t="shared" si="113"/>
        <v>-</v>
      </c>
      <c r="T257" s="62" t="str">
        <f t="shared" si="114"/>
        <v>-</v>
      </c>
      <c r="V257" s="32">
        <f t="shared" si="115"/>
        <v>6</v>
      </c>
      <c r="Z257" s="25">
        <v>1</v>
      </c>
      <c r="AA257" s="54">
        <f t="shared" si="116"/>
        <v>0</v>
      </c>
      <c r="AB257" s="54">
        <f t="shared" si="117"/>
        <v>0</v>
      </c>
      <c r="AC257" s="54">
        <f t="shared" si="118"/>
        <v>0</v>
      </c>
      <c r="AD257" s="54">
        <f t="shared" si="119"/>
        <v>0</v>
      </c>
      <c r="AE257" s="54">
        <f t="shared" si="120"/>
        <v>0</v>
      </c>
      <c r="AG257" s="32">
        <f t="shared" si="121"/>
        <v>5</v>
      </c>
      <c r="AK257" s="25">
        <v>1</v>
      </c>
      <c r="AL257" s="54">
        <f t="shared" si="122"/>
        <v>0</v>
      </c>
      <c r="AM257" s="54">
        <f t="shared" si="123"/>
        <v>0</v>
      </c>
      <c r="AN257" s="54">
        <f t="shared" si="124"/>
        <v>0</v>
      </c>
      <c r="AO257" s="54">
        <f t="shared" si="125"/>
        <v>0</v>
      </c>
      <c r="AP257" s="54">
        <f t="shared" si="126"/>
        <v>0</v>
      </c>
      <c r="AR257" s="32">
        <f t="shared" si="127"/>
        <v>4</v>
      </c>
      <c r="AV257" s="25">
        <v>1</v>
      </c>
      <c r="AW257" s="54">
        <f t="shared" si="128"/>
        <v>0</v>
      </c>
      <c r="AX257" s="54">
        <f t="shared" si="129"/>
        <v>0</v>
      </c>
      <c r="AY257" s="54">
        <f t="shared" si="130"/>
        <v>0</v>
      </c>
      <c r="AZ257" s="54">
        <f t="shared" si="131"/>
        <v>0</v>
      </c>
      <c r="BA257" s="54">
        <f t="shared" si="132"/>
        <v>0</v>
      </c>
      <c r="BC257" s="32">
        <f t="shared" si="133"/>
        <v>3</v>
      </c>
      <c r="BG257" s="25">
        <v>1</v>
      </c>
      <c r="BH257" s="54">
        <f t="shared" si="134"/>
        <v>0</v>
      </c>
      <c r="BI257" s="54">
        <f t="shared" si="135"/>
        <v>0</v>
      </c>
      <c r="BJ257" s="54">
        <f t="shared" si="136"/>
        <v>0</v>
      </c>
      <c r="BK257" s="54">
        <f t="shared" si="137"/>
        <v>0</v>
      </c>
      <c r="BL257" s="54">
        <f t="shared" si="138"/>
        <v>0</v>
      </c>
      <c r="BN257" s="25">
        <f t="shared" si="139"/>
        <v>1</v>
      </c>
      <c r="BS257" s="39"/>
      <c r="BT257" s="39"/>
      <c r="BU257" s="39"/>
      <c r="BV257" s="39"/>
      <c r="BW257" s="39"/>
    </row>
    <row r="258" spans="3:75" x14ac:dyDescent="0.25">
      <c r="C258" s="62" t="str">
        <f t="shared" si="105"/>
        <v>-</v>
      </c>
      <c r="D258" s="62" t="str">
        <f t="shared" si="106"/>
        <v>-</v>
      </c>
      <c r="E258" s="62" t="str">
        <f t="shared" si="107"/>
        <v>-</v>
      </c>
      <c r="F258" s="62" t="str">
        <f t="shared" si="108"/>
        <v>-</v>
      </c>
      <c r="G258" s="62" t="str">
        <f t="shared" si="109"/>
        <v>-</v>
      </c>
      <c r="P258" s="62" t="str">
        <f t="shared" si="110"/>
        <v>-</v>
      </c>
      <c r="Q258" s="62" t="str">
        <f t="shared" si="111"/>
        <v>-</v>
      </c>
      <c r="R258" s="62" t="str">
        <f t="shared" si="112"/>
        <v>-</v>
      </c>
      <c r="S258" s="62" t="str">
        <f t="shared" si="113"/>
        <v>-</v>
      </c>
      <c r="T258" s="62" t="str">
        <f t="shared" si="114"/>
        <v>-</v>
      </c>
      <c r="V258" s="32">
        <f t="shared" si="115"/>
        <v>6</v>
      </c>
      <c r="Z258" s="25">
        <v>1</v>
      </c>
      <c r="AA258" s="54">
        <f t="shared" si="116"/>
        <v>0</v>
      </c>
      <c r="AB258" s="54">
        <f t="shared" si="117"/>
        <v>0</v>
      </c>
      <c r="AC258" s="54">
        <f t="shared" si="118"/>
        <v>0</v>
      </c>
      <c r="AD258" s="54">
        <f t="shared" si="119"/>
        <v>0</v>
      </c>
      <c r="AE258" s="54">
        <f t="shared" si="120"/>
        <v>0</v>
      </c>
      <c r="AG258" s="32">
        <f t="shared" si="121"/>
        <v>5</v>
      </c>
      <c r="AK258" s="25">
        <v>1</v>
      </c>
      <c r="AL258" s="54">
        <f t="shared" si="122"/>
        <v>0</v>
      </c>
      <c r="AM258" s="54">
        <f t="shared" si="123"/>
        <v>0</v>
      </c>
      <c r="AN258" s="54">
        <f t="shared" si="124"/>
        <v>0</v>
      </c>
      <c r="AO258" s="54">
        <f t="shared" si="125"/>
        <v>0</v>
      </c>
      <c r="AP258" s="54">
        <f t="shared" si="126"/>
        <v>0</v>
      </c>
      <c r="AR258" s="32">
        <f t="shared" si="127"/>
        <v>4</v>
      </c>
      <c r="AV258" s="25">
        <v>1</v>
      </c>
      <c r="AW258" s="54">
        <f t="shared" si="128"/>
        <v>0</v>
      </c>
      <c r="AX258" s="54">
        <f t="shared" si="129"/>
        <v>0</v>
      </c>
      <c r="AY258" s="54">
        <f t="shared" si="130"/>
        <v>0</v>
      </c>
      <c r="AZ258" s="54">
        <f t="shared" si="131"/>
        <v>0</v>
      </c>
      <c r="BA258" s="54">
        <f t="shared" si="132"/>
        <v>0</v>
      </c>
      <c r="BC258" s="32">
        <f t="shared" si="133"/>
        <v>3</v>
      </c>
      <c r="BG258" s="25">
        <v>1</v>
      </c>
      <c r="BH258" s="54">
        <f t="shared" si="134"/>
        <v>0</v>
      </c>
      <c r="BI258" s="54">
        <f t="shared" si="135"/>
        <v>0</v>
      </c>
      <c r="BJ258" s="54">
        <f t="shared" si="136"/>
        <v>0</v>
      </c>
      <c r="BK258" s="54">
        <f t="shared" si="137"/>
        <v>0</v>
      </c>
      <c r="BL258" s="54">
        <f t="shared" si="138"/>
        <v>0</v>
      </c>
      <c r="BN258" s="25">
        <f t="shared" si="139"/>
        <v>1</v>
      </c>
      <c r="BS258" s="39"/>
      <c r="BT258" s="39"/>
      <c r="BU258" s="39"/>
      <c r="BV258" s="39"/>
      <c r="BW258" s="39"/>
    </row>
    <row r="259" spans="3:75" x14ac:dyDescent="0.25">
      <c r="C259" s="62" t="str">
        <f t="shared" ref="C259:C301" si="140">IF($B259&lt;&gt;"",SUMIFS(P:P,$J:$J,$B259),"-")</f>
        <v>-</v>
      </c>
      <c r="D259" s="62" t="str">
        <f t="shared" ref="D259:D301" si="141">IF($B259&lt;&gt;"",SUMIFS(Q:Q,$J:$J,$B259),"-")</f>
        <v>-</v>
      </c>
      <c r="E259" s="62" t="str">
        <f t="shared" ref="E259:E301" si="142">IF($B259&lt;&gt;"",SUMIFS(R:R,$J:$J,$B259),"-")</f>
        <v>-</v>
      </c>
      <c r="F259" s="62" t="str">
        <f t="shared" ref="F259:F301" si="143">IF($B259&lt;&gt;"",SUMIFS(S:S,$J:$J,$B259),"-")</f>
        <v>-</v>
      </c>
      <c r="G259" s="62" t="str">
        <f t="shared" ref="G259:G301" si="144">IF($B259&lt;&gt;"",SUMIFS(T:T,$J:$J,$B259),"-")</f>
        <v>-</v>
      </c>
      <c r="P259" s="62" t="str">
        <f t="shared" ref="P259:P301" si="145">IF(SUMIFS(AA:AA,$W:$W,$K259)&gt;0, SUMIFS(AA:AA,$W:$W,$K259)*$O259,"-")</f>
        <v>-</v>
      </c>
      <c r="Q259" s="62" t="str">
        <f t="shared" ref="Q259:Q301" si="146">IF(SUMIFS(AB:AB,$W:$W,$K259)&gt;0, SUMIFS(AB:AB,$W:$W,$K259)*$O259,"-")</f>
        <v>-</v>
      </c>
      <c r="R259" s="62" t="str">
        <f t="shared" ref="R259:R301" si="147">IF(SUMIFS(AC:AC,$W:$W,$K259)&gt;0, SUMIFS(AC:AC,$W:$W,$K259)*$O259,"-")</f>
        <v>-</v>
      </c>
      <c r="S259" s="62" t="str">
        <f t="shared" ref="S259:S301" si="148">IF(SUMIFS(AD:AD,$W:$W,$K259)&gt;0, SUMIFS(AD:AD,$W:$W,$K259)*$O259,"-")</f>
        <v>-</v>
      </c>
      <c r="T259" s="62" t="str">
        <f t="shared" ref="T259:T301" si="149">IF(SUMIFS(AE:AE,$W:$W,$K259)&gt;0, SUMIFS(AE:AE,$W:$W,$K259)*$O259,"-")</f>
        <v>-</v>
      </c>
      <c r="V259" s="32">
        <f t="shared" ref="V259:V301" si="150">IF(ISNA(VLOOKUP(W259,AH:AH,1,FALSE)),V$2+1,V$2)</f>
        <v>6</v>
      </c>
      <c r="Z259" s="25">
        <v>1</v>
      </c>
      <c r="AA259" s="54">
        <f t="shared" ref="AA259:AA301" si="151">SUMIFS(AL:AL,AH:AH,W259)*Z259</f>
        <v>0</v>
      </c>
      <c r="AB259" s="54">
        <f t="shared" ref="AB259:AB301" si="152">SUMIFS(AM:AM,AH:AH,W259)*Z259</f>
        <v>0</v>
      </c>
      <c r="AC259" s="54">
        <f t="shared" ref="AC259:AC301" si="153">SUMIFS(AN:AN,AH:AH,W259)*Z259</f>
        <v>0</v>
      </c>
      <c r="AD259" s="54">
        <f t="shared" ref="AD259:AD301" si="154">SUMIFS(AO:AO,AH:AH,W259)*Z259</f>
        <v>0</v>
      </c>
      <c r="AE259" s="54">
        <f t="shared" ref="AE259:AE301" si="155">SUMIFS(AP:AP,AH:AH,W259)*Z259</f>
        <v>0</v>
      </c>
      <c r="AG259" s="32">
        <f t="shared" ref="AG259:AG301" si="156">IF(ISNA(VLOOKUP(AH259,AS:AS,1,FALSE)),AG$2+1,AG$2)</f>
        <v>5</v>
      </c>
      <c r="AK259" s="25">
        <v>1</v>
      </c>
      <c r="AL259" s="54">
        <f t="shared" ref="AL259:AL301" si="157">SUMIFS(AW:AW,$AS:$AS,$AI259)*$AK259</f>
        <v>0</v>
      </c>
      <c r="AM259" s="54">
        <f t="shared" ref="AM259:AM301" si="158">SUMIFS(AX:AX,$AS:$AS,$AI259)*$AK259</f>
        <v>0</v>
      </c>
      <c r="AN259" s="54">
        <f t="shared" ref="AN259:AN301" si="159">SUMIFS(AY:AY,$AS:$AS,$AI259)*$AK259</f>
        <v>0</v>
      </c>
      <c r="AO259" s="54">
        <f t="shared" ref="AO259:AO301" si="160">SUMIFS(AZ:AZ,$AS:$AS,$AI259)*$AK259</f>
        <v>0</v>
      </c>
      <c r="AP259" s="54">
        <f t="shared" ref="AP259:AP301" si="161">SUMIFS(BA:BA,$AS:$AS,$AI259)*$AK259</f>
        <v>0</v>
      </c>
      <c r="AR259" s="32">
        <f t="shared" ref="AR259:AR301" si="162">IF(ISNA(VLOOKUP(AS259,BD:BD,1,FALSE)),AR$2+1,AR$2)</f>
        <v>4</v>
      </c>
      <c r="AV259" s="25">
        <v>1</v>
      </c>
      <c r="AW259" s="54">
        <f t="shared" ref="AW259:AW301" si="163">SUMIFS(BH:BH,BD:BD,AT259)*AV259</f>
        <v>0</v>
      </c>
      <c r="AX259" s="54">
        <f t="shared" ref="AX259:AX301" si="164">SUMIFS(BI:BI,BD:BD,AT259)*AV259</f>
        <v>0</v>
      </c>
      <c r="AY259" s="54">
        <f t="shared" ref="AY259:AY301" si="165">SUMIFS(BJ:BJ,BD:BD,AT259)*AV259</f>
        <v>0</v>
      </c>
      <c r="AZ259" s="54">
        <f t="shared" ref="AZ259:AZ301" si="166">SUMIFS(BK:BK,BD:BD,AT259)*AV259</f>
        <v>0</v>
      </c>
      <c r="BA259" s="54">
        <f t="shared" ref="BA259:BA301" si="167">SUMIFS(BL:BL,BD:BD,AT259)*AV259</f>
        <v>0</v>
      </c>
      <c r="BC259" s="32">
        <f t="shared" ref="BC259:BC301" si="168">IF(ISNA(VLOOKUP(BD259,BO:BO,1,FALSE)),BC$2+1,BC$2)</f>
        <v>3</v>
      </c>
      <c r="BG259" s="25">
        <v>1</v>
      </c>
      <c r="BH259" s="54">
        <f t="shared" ref="BH259:BH301" si="169">SUMIFS(BS:BS,BO:BO,BE259)*BG259</f>
        <v>0</v>
      </c>
      <c r="BI259" s="54">
        <f t="shared" ref="BI259:BI301" si="170">SUMIFS(BT:BT,BO:BO,BE259)*BG259</f>
        <v>0</v>
      </c>
      <c r="BJ259" s="54">
        <f t="shared" ref="BJ259:BJ301" si="171">SUMIFS(BU:BU,BO:BO,BE259)*BG259</f>
        <v>0</v>
      </c>
      <c r="BK259" s="54">
        <f t="shared" ref="BK259:BK301" si="172">SUMIFS(BV:BV,BO:BO,BE259)*BG259</f>
        <v>0</v>
      </c>
      <c r="BL259" s="54">
        <f t="shared" ref="BL259:BL301" si="173">SUMIFS(BW:BW,BO:BO,BE259)*BG259</f>
        <v>0</v>
      </c>
      <c r="BN259" s="25">
        <f t="shared" si="139"/>
        <v>1</v>
      </c>
      <c r="BS259" s="39"/>
      <c r="BT259" s="39"/>
      <c r="BU259" s="39"/>
      <c r="BV259" s="39"/>
      <c r="BW259" s="39"/>
    </row>
    <row r="260" spans="3:75" x14ac:dyDescent="0.25">
      <c r="C260" s="62" t="str">
        <f t="shared" si="140"/>
        <v>-</v>
      </c>
      <c r="D260" s="62" t="str">
        <f t="shared" si="141"/>
        <v>-</v>
      </c>
      <c r="E260" s="62" t="str">
        <f t="shared" si="142"/>
        <v>-</v>
      </c>
      <c r="F260" s="62" t="str">
        <f t="shared" si="143"/>
        <v>-</v>
      </c>
      <c r="G260" s="62" t="str">
        <f t="shared" si="144"/>
        <v>-</v>
      </c>
      <c r="P260" s="62" t="str">
        <f t="shared" si="145"/>
        <v>-</v>
      </c>
      <c r="Q260" s="62" t="str">
        <f t="shared" si="146"/>
        <v>-</v>
      </c>
      <c r="R260" s="62" t="str">
        <f t="shared" si="147"/>
        <v>-</v>
      </c>
      <c r="S260" s="62" t="str">
        <f t="shared" si="148"/>
        <v>-</v>
      </c>
      <c r="T260" s="62" t="str">
        <f t="shared" si="149"/>
        <v>-</v>
      </c>
      <c r="V260" s="32">
        <f t="shared" si="150"/>
        <v>6</v>
      </c>
      <c r="Z260" s="25">
        <v>1</v>
      </c>
      <c r="AA260" s="54">
        <f t="shared" si="151"/>
        <v>0</v>
      </c>
      <c r="AB260" s="54">
        <f t="shared" si="152"/>
        <v>0</v>
      </c>
      <c r="AC260" s="54">
        <f t="shared" si="153"/>
        <v>0</v>
      </c>
      <c r="AD260" s="54">
        <f t="shared" si="154"/>
        <v>0</v>
      </c>
      <c r="AE260" s="54">
        <f t="shared" si="155"/>
        <v>0</v>
      </c>
      <c r="AG260" s="32">
        <f t="shared" si="156"/>
        <v>5</v>
      </c>
      <c r="AK260" s="25">
        <v>1</v>
      </c>
      <c r="AL260" s="54">
        <f t="shared" si="157"/>
        <v>0</v>
      </c>
      <c r="AM260" s="54">
        <f t="shared" si="158"/>
        <v>0</v>
      </c>
      <c r="AN260" s="54">
        <f t="shared" si="159"/>
        <v>0</v>
      </c>
      <c r="AO260" s="54">
        <f t="shared" si="160"/>
        <v>0</v>
      </c>
      <c r="AP260" s="54">
        <f t="shared" si="161"/>
        <v>0</v>
      </c>
      <c r="AR260" s="32">
        <f t="shared" si="162"/>
        <v>4</v>
      </c>
      <c r="AV260" s="25">
        <v>1</v>
      </c>
      <c r="AW260" s="54">
        <f t="shared" si="163"/>
        <v>0</v>
      </c>
      <c r="AX260" s="54">
        <f t="shared" si="164"/>
        <v>0</v>
      </c>
      <c r="AY260" s="54">
        <f t="shared" si="165"/>
        <v>0</v>
      </c>
      <c r="AZ260" s="54">
        <f t="shared" si="166"/>
        <v>0</v>
      </c>
      <c r="BA260" s="54">
        <f t="shared" si="167"/>
        <v>0</v>
      </c>
      <c r="BC260" s="32">
        <f t="shared" si="168"/>
        <v>3</v>
      </c>
      <c r="BG260" s="25">
        <v>1</v>
      </c>
      <c r="BH260" s="54">
        <f t="shared" si="169"/>
        <v>0</v>
      </c>
      <c r="BI260" s="54">
        <f t="shared" si="170"/>
        <v>0</v>
      </c>
      <c r="BJ260" s="54">
        <f t="shared" si="171"/>
        <v>0</v>
      </c>
      <c r="BK260" s="54">
        <f t="shared" si="172"/>
        <v>0</v>
      </c>
      <c r="BL260" s="54">
        <f t="shared" si="173"/>
        <v>0</v>
      </c>
      <c r="BN260" s="25">
        <f t="shared" ref="BN260:BN301" si="174">BN$2</f>
        <v>1</v>
      </c>
      <c r="BS260" s="39"/>
      <c r="BT260" s="39"/>
      <c r="BU260" s="39"/>
      <c r="BV260" s="39"/>
      <c r="BW260" s="39"/>
    </row>
    <row r="261" spans="3:75" x14ac:dyDescent="0.25">
      <c r="C261" s="62" t="str">
        <f t="shared" si="140"/>
        <v>-</v>
      </c>
      <c r="D261" s="62" t="str">
        <f t="shared" si="141"/>
        <v>-</v>
      </c>
      <c r="E261" s="62" t="str">
        <f t="shared" si="142"/>
        <v>-</v>
      </c>
      <c r="F261" s="62" t="str">
        <f t="shared" si="143"/>
        <v>-</v>
      </c>
      <c r="G261" s="62" t="str">
        <f t="shared" si="144"/>
        <v>-</v>
      </c>
      <c r="P261" s="62" t="str">
        <f t="shared" si="145"/>
        <v>-</v>
      </c>
      <c r="Q261" s="62" t="str">
        <f t="shared" si="146"/>
        <v>-</v>
      </c>
      <c r="R261" s="62" t="str">
        <f t="shared" si="147"/>
        <v>-</v>
      </c>
      <c r="S261" s="62" t="str">
        <f t="shared" si="148"/>
        <v>-</v>
      </c>
      <c r="T261" s="62" t="str">
        <f t="shared" si="149"/>
        <v>-</v>
      </c>
      <c r="V261" s="32">
        <f t="shared" si="150"/>
        <v>6</v>
      </c>
      <c r="Z261" s="25">
        <v>1</v>
      </c>
      <c r="AA261" s="54">
        <f t="shared" si="151"/>
        <v>0</v>
      </c>
      <c r="AB261" s="54">
        <f t="shared" si="152"/>
        <v>0</v>
      </c>
      <c r="AC261" s="54">
        <f t="shared" si="153"/>
        <v>0</v>
      </c>
      <c r="AD261" s="54">
        <f t="shared" si="154"/>
        <v>0</v>
      </c>
      <c r="AE261" s="54">
        <f t="shared" si="155"/>
        <v>0</v>
      </c>
      <c r="AG261" s="32">
        <f t="shared" si="156"/>
        <v>5</v>
      </c>
      <c r="AK261" s="25">
        <v>1</v>
      </c>
      <c r="AL261" s="54">
        <f t="shared" si="157"/>
        <v>0</v>
      </c>
      <c r="AM261" s="54">
        <f t="shared" si="158"/>
        <v>0</v>
      </c>
      <c r="AN261" s="54">
        <f t="shared" si="159"/>
        <v>0</v>
      </c>
      <c r="AO261" s="54">
        <f t="shared" si="160"/>
        <v>0</v>
      </c>
      <c r="AP261" s="54">
        <f t="shared" si="161"/>
        <v>0</v>
      </c>
      <c r="AR261" s="32">
        <f t="shared" si="162"/>
        <v>4</v>
      </c>
      <c r="AV261" s="25">
        <v>1</v>
      </c>
      <c r="AW261" s="54">
        <f t="shared" si="163"/>
        <v>0</v>
      </c>
      <c r="AX261" s="54">
        <f t="shared" si="164"/>
        <v>0</v>
      </c>
      <c r="AY261" s="54">
        <f t="shared" si="165"/>
        <v>0</v>
      </c>
      <c r="AZ261" s="54">
        <f t="shared" si="166"/>
        <v>0</v>
      </c>
      <c r="BA261" s="54">
        <f t="shared" si="167"/>
        <v>0</v>
      </c>
      <c r="BC261" s="32">
        <f t="shared" si="168"/>
        <v>3</v>
      </c>
      <c r="BG261" s="25">
        <v>1</v>
      </c>
      <c r="BH261" s="54">
        <f t="shared" si="169"/>
        <v>0</v>
      </c>
      <c r="BI261" s="54">
        <f t="shared" si="170"/>
        <v>0</v>
      </c>
      <c r="BJ261" s="54">
        <f t="shared" si="171"/>
        <v>0</v>
      </c>
      <c r="BK261" s="54">
        <f t="shared" si="172"/>
        <v>0</v>
      </c>
      <c r="BL261" s="54">
        <f t="shared" si="173"/>
        <v>0</v>
      </c>
      <c r="BN261" s="25">
        <f t="shared" si="174"/>
        <v>1</v>
      </c>
      <c r="BS261" s="39"/>
      <c r="BT261" s="39"/>
      <c r="BU261" s="39"/>
      <c r="BV261" s="39"/>
      <c r="BW261" s="39"/>
    </row>
    <row r="262" spans="3:75" x14ac:dyDescent="0.25">
      <c r="C262" s="62" t="str">
        <f t="shared" si="140"/>
        <v>-</v>
      </c>
      <c r="D262" s="62" t="str">
        <f t="shared" si="141"/>
        <v>-</v>
      </c>
      <c r="E262" s="62" t="str">
        <f t="shared" si="142"/>
        <v>-</v>
      </c>
      <c r="F262" s="62" t="str">
        <f t="shared" si="143"/>
        <v>-</v>
      </c>
      <c r="G262" s="62" t="str">
        <f t="shared" si="144"/>
        <v>-</v>
      </c>
      <c r="P262" s="62" t="str">
        <f t="shared" si="145"/>
        <v>-</v>
      </c>
      <c r="Q262" s="62" t="str">
        <f t="shared" si="146"/>
        <v>-</v>
      </c>
      <c r="R262" s="62" t="str">
        <f t="shared" si="147"/>
        <v>-</v>
      </c>
      <c r="S262" s="62" t="str">
        <f t="shared" si="148"/>
        <v>-</v>
      </c>
      <c r="T262" s="62" t="str">
        <f t="shared" si="149"/>
        <v>-</v>
      </c>
      <c r="V262" s="32">
        <f t="shared" si="150"/>
        <v>6</v>
      </c>
      <c r="Z262" s="25">
        <v>1</v>
      </c>
      <c r="AA262" s="54">
        <f t="shared" si="151"/>
        <v>0</v>
      </c>
      <c r="AB262" s="54">
        <f t="shared" si="152"/>
        <v>0</v>
      </c>
      <c r="AC262" s="54">
        <f t="shared" si="153"/>
        <v>0</v>
      </c>
      <c r="AD262" s="54">
        <f t="shared" si="154"/>
        <v>0</v>
      </c>
      <c r="AE262" s="54">
        <f t="shared" si="155"/>
        <v>0</v>
      </c>
      <c r="AG262" s="32">
        <f t="shared" si="156"/>
        <v>5</v>
      </c>
      <c r="AK262" s="25">
        <v>1</v>
      </c>
      <c r="AL262" s="54">
        <f t="shared" si="157"/>
        <v>0</v>
      </c>
      <c r="AM262" s="54">
        <f t="shared" si="158"/>
        <v>0</v>
      </c>
      <c r="AN262" s="54">
        <f t="shared" si="159"/>
        <v>0</v>
      </c>
      <c r="AO262" s="54">
        <f t="shared" si="160"/>
        <v>0</v>
      </c>
      <c r="AP262" s="54">
        <f t="shared" si="161"/>
        <v>0</v>
      </c>
      <c r="AR262" s="32">
        <f t="shared" si="162"/>
        <v>4</v>
      </c>
      <c r="AV262" s="25">
        <v>1</v>
      </c>
      <c r="AW262" s="54">
        <f t="shared" si="163"/>
        <v>0</v>
      </c>
      <c r="AX262" s="54">
        <f t="shared" si="164"/>
        <v>0</v>
      </c>
      <c r="AY262" s="54">
        <f t="shared" si="165"/>
        <v>0</v>
      </c>
      <c r="AZ262" s="54">
        <f t="shared" si="166"/>
        <v>0</v>
      </c>
      <c r="BA262" s="54">
        <f t="shared" si="167"/>
        <v>0</v>
      </c>
      <c r="BC262" s="32">
        <f t="shared" si="168"/>
        <v>3</v>
      </c>
      <c r="BG262" s="25">
        <v>1</v>
      </c>
      <c r="BH262" s="54">
        <f t="shared" si="169"/>
        <v>0</v>
      </c>
      <c r="BI262" s="54">
        <f t="shared" si="170"/>
        <v>0</v>
      </c>
      <c r="BJ262" s="54">
        <f t="shared" si="171"/>
        <v>0</v>
      </c>
      <c r="BK262" s="54">
        <f t="shared" si="172"/>
        <v>0</v>
      </c>
      <c r="BL262" s="54">
        <f t="shared" si="173"/>
        <v>0</v>
      </c>
      <c r="BN262" s="25">
        <f t="shared" si="174"/>
        <v>1</v>
      </c>
      <c r="BS262" s="39"/>
      <c r="BT262" s="39"/>
      <c r="BU262" s="39"/>
      <c r="BV262" s="39"/>
      <c r="BW262" s="39"/>
    </row>
    <row r="263" spans="3:75" x14ac:dyDescent="0.25">
      <c r="C263" s="62" t="str">
        <f t="shared" si="140"/>
        <v>-</v>
      </c>
      <c r="D263" s="62" t="str">
        <f t="shared" si="141"/>
        <v>-</v>
      </c>
      <c r="E263" s="62" t="str">
        <f t="shared" si="142"/>
        <v>-</v>
      </c>
      <c r="F263" s="62" t="str">
        <f t="shared" si="143"/>
        <v>-</v>
      </c>
      <c r="G263" s="62" t="str">
        <f t="shared" si="144"/>
        <v>-</v>
      </c>
      <c r="P263" s="62" t="str">
        <f t="shared" si="145"/>
        <v>-</v>
      </c>
      <c r="Q263" s="62" t="str">
        <f t="shared" si="146"/>
        <v>-</v>
      </c>
      <c r="R263" s="62" t="str">
        <f t="shared" si="147"/>
        <v>-</v>
      </c>
      <c r="S263" s="62" t="str">
        <f t="shared" si="148"/>
        <v>-</v>
      </c>
      <c r="T263" s="62" t="str">
        <f t="shared" si="149"/>
        <v>-</v>
      </c>
      <c r="V263" s="32">
        <f t="shared" si="150"/>
        <v>6</v>
      </c>
      <c r="Z263" s="25">
        <v>1</v>
      </c>
      <c r="AA263" s="54">
        <f t="shared" si="151"/>
        <v>0</v>
      </c>
      <c r="AB263" s="54">
        <f t="shared" si="152"/>
        <v>0</v>
      </c>
      <c r="AC263" s="54">
        <f t="shared" si="153"/>
        <v>0</v>
      </c>
      <c r="AD263" s="54">
        <f t="shared" si="154"/>
        <v>0</v>
      </c>
      <c r="AE263" s="54">
        <f t="shared" si="155"/>
        <v>0</v>
      </c>
      <c r="AG263" s="32">
        <f t="shared" si="156"/>
        <v>5</v>
      </c>
      <c r="AK263" s="25">
        <v>1</v>
      </c>
      <c r="AL263" s="54">
        <f t="shared" si="157"/>
        <v>0</v>
      </c>
      <c r="AM263" s="54">
        <f t="shared" si="158"/>
        <v>0</v>
      </c>
      <c r="AN263" s="54">
        <f t="shared" si="159"/>
        <v>0</v>
      </c>
      <c r="AO263" s="54">
        <f t="shared" si="160"/>
        <v>0</v>
      </c>
      <c r="AP263" s="54">
        <f t="shared" si="161"/>
        <v>0</v>
      </c>
      <c r="AR263" s="32">
        <f t="shared" si="162"/>
        <v>4</v>
      </c>
      <c r="AV263" s="25">
        <v>1</v>
      </c>
      <c r="AW263" s="54">
        <f t="shared" si="163"/>
        <v>0</v>
      </c>
      <c r="AX263" s="54">
        <f t="shared" si="164"/>
        <v>0</v>
      </c>
      <c r="AY263" s="54">
        <f t="shared" si="165"/>
        <v>0</v>
      </c>
      <c r="AZ263" s="54">
        <f t="shared" si="166"/>
        <v>0</v>
      </c>
      <c r="BA263" s="54">
        <f t="shared" si="167"/>
        <v>0</v>
      </c>
      <c r="BC263" s="32">
        <f t="shared" si="168"/>
        <v>3</v>
      </c>
      <c r="BG263" s="25">
        <v>1</v>
      </c>
      <c r="BH263" s="54">
        <f t="shared" si="169"/>
        <v>0</v>
      </c>
      <c r="BI263" s="54">
        <f t="shared" si="170"/>
        <v>0</v>
      </c>
      <c r="BJ263" s="54">
        <f t="shared" si="171"/>
        <v>0</v>
      </c>
      <c r="BK263" s="54">
        <f t="shared" si="172"/>
        <v>0</v>
      </c>
      <c r="BL263" s="54">
        <f t="shared" si="173"/>
        <v>0</v>
      </c>
      <c r="BN263" s="25">
        <f t="shared" si="174"/>
        <v>1</v>
      </c>
      <c r="BS263" s="39"/>
      <c r="BT263" s="39"/>
      <c r="BU263" s="39"/>
      <c r="BV263" s="39"/>
      <c r="BW263" s="39"/>
    </row>
    <row r="264" spans="3:75" x14ac:dyDescent="0.25">
      <c r="C264" s="62" t="str">
        <f t="shared" si="140"/>
        <v>-</v>
      </c>
      <c r="D264" s="62" t="str">
        <f t="shared" si="141"/>
        <v>-</v>
      </c>
      <c r="E264" s="62" t="str">
        <f t="shared" si="142"/>
        <v>-</v>
      </c>
      <c r="F264" s="62" t="str">
        <f t="shared" si="143"/>
        <v>-</v>
      </c>
      <c r="G264" s="62" t="str">
        <f t="shared" si="144"/>
        <v>-</v>
      </c>
      <c r="P264" s="62" t="str">
        <f t="shared" si="145"/>
        <v>-</v>
      </c>
      <c r="Q264" s="62" t="str">
        <f t="shared" si="146"/>
        <v>-</v>
      </c>
      <c r="R264" s="62" t="str">
        <f t="shared" si="147"/>
        <v>-</v>
      </c>
      <c r="S264" s="62" t="str">
        <f t="shared" si="148"/>
        <v>-</v>
      </c>
      <c r="T264" s="62" t="str">
        <f t="shared" si="149"/>
        <v>-</v>
      </c>
      <c r="V264" s="32">
        <f t="shared" si="150"/>
        <v>6</v>
      </c>
      <c r="Z264" s="25">
        <v>1</v>
      </c>
      <c r="AA264" s="54">
        <f t="shared" si="151"/>
        <v>0</v>
      </c>
      <c r="AB264" s="54">
        <f t="shared" si="152"/>
        <v>0</v>
      </c>
      <c r="AC264" s="54">
        <f t="shared" si="153"/>
        <v>0</v>
      </c>
      <c r="AD264" s="54">
        <f t="shared" si="154"/>
        <v>0</v>
      </c>
      <c r="AE264" s="54">
        <f t="shared" si="155"/>
        <v>0</v>
      </c>
      <c r="AG264" s="32">
        <f t="shared" si="156"/>
        <v>5</v>
      </c>
      <c r="AK264" s="25">
        <v>1</v>
      </c>
      <c r="AL264" s="54">
        <f t="shared" si="157"/>
        <v>0</v>
      </c>
      <c r="AM264" s="54">
        <f t="shared" si="158"/>
        <v>0</v>
      </c>
      <c r="AN264" s="54">
        <f t="shared" si="159"/>
        <v>0</v>
      </c>
      <c r="AO264" s="54">
        <f t="shared" si="160"/>
        <v>0</v>
      </c>
      <c r="AP264" s="54">
        <f t="shared" si="161"/>
        <v>0</v>
      </c>
      <c r="AR264" s="32">
        <f t="shared" si="162"/>
        <v>4</v>
      </c>
      <c r="AV264" s="25">
        <v>1</v>
      </c>
      <c r="AW264" s="54">
        <f t="shared" si="163"/>
        <v>0</v>
      </c>
      <c r="AX264" s="54">
        <f t="shared" si="164"/>
        <v>0</v>
      </c>
      <c r="AY264" s="54">
        <f t="shared" si="165"/>
        <v>0</v>
      </c>
      <c r="AZ264" s="54">
        <f t="shared" si="166"/>
        <v>0</v>
      </c>
      <c r="BA264" s="54">
        <f t="shared" si="167"/>
        <v>0</v>
      </c>
      <c r="BC264" s="32">
        <f t="shared" si="168"/>
        <v>3</v>
      </c>
      <c r="BG264" s="25">
        <v>1</v>
      </c>
      <c r="BH264" s="54">
        <f t="shared" si="169"/>
        <v>0</v>
      </c>
      <c r="BI264" s="54">
        <f t="shared" si="170"/>
        <v>0</v>
      </c>
      <c r="BJ264" s="54">
        <f t="shared" si="171"/>
        <v>0</v>
      </c>
      <c r="BK264" s="54">
        <f t="shared" si="172"/>
        <v>0</v>
      </c>
      <c r="BL264" s="54">
        <f t="shared" si="173"/>
        <v>0</v>
      </c>
      <c r="BN264" s="25">
        <f t="shared" si="174"/>
        <v>1</v>
      </c>
      <c r="BS264" s="39"/>
      <c r="BT264" s="39"/>
      <c r="BU264" s="39"/>
      <c r="BV264" s="39"/>
      <c r="BW264" s="39"/>
    </row>
    <row r="265" spans="3:75" x14ac:dyDescent="0.25">
      <c r="C265" s="62" t="str">
        <f t="shared" si="140"/>
        <v>-</v>
      </c>
      <c r="D265" s="62" t="str">
        <f t="shared" si="141"/>
        <v>-</v>
      </c>
      <c r="E265" s="62" t="str">
        <f t="shared" si="142"/>
        <v>-</v>
      </c>
      <c r="F265" s="62" t="str">
        <f t="shared" si="143"/>
        <v>-</v>
      </c>
      <c r="G265" s="62" t="str">
        <f t="shared" si="144"/>
        <v>-</v>
      </c>
      <c r="P265" s="62" t="str">
        <f t="shared" si="145"/>
        <v>-</v>
      </c>
      <c r="Q265" s="62" t="str">
        <f t="shared" si="146"/>
        <v>-</v>
      </c>
      <c r="R265" s="62" t="str">
        <f t="shared" si="147"/>
        <v>-</v>
      </c>
      <c r="S265" s="62" t="str">
        <f t="shared" si="148"/>
        <v>-</v>
      </c>
      <c r="T265" s="62" t="str">
        <f t="shared" si="149"/>
        <v>-</v>
      </c>
      <c r="V265" s="32">
        <f t="shared" si="150"/>
        <v>6</v>
      </c>
      <c r="Z265" s="25">
        <v>1</v>
      </c>
      <c r="AA265" s="54">
        <f t="shared" si="151"/>
        <v>0</v>
      </c>
      <c r="AB265" s="54">
        <f t="shared" si="152"/>
        <v>0</v>
      </c>
      <c r="AC265" s="54">
        <f t="shared" si="153"/>
        <v>0</v>
      </c>
      <c r="AD265" s="54">
        <f t="shared" si="154"/>
        <v>0</v>
      </c>
      <c r="AE265" s="54">
        <f t="shared" si="155"/>
        <v>0</v>
      </c>
      <c r="AG265" s="32">
        <f t="shared" si="156"/>
        <v>5</v>
      </c>
      <c r="AK265" s="25">
        <v>1</v>
      </c>
      <c r="AL265" s="54">
        <f t="shared" si="157"/>
        <v>0</v>
      </c>
      <c r="AM265" s="54">
        <f t="shared" si="158"/>
        <v>0</v>
      </c>
      <c r="AN265" s="54">
        <f t="shared" si="159"/>
        <v>0</v>
      </c>
      <c r="AO265" s="54">
        <f t="shared" si="160"/>
        <v>0</v>
      </c>
      <c r="AP265" s="54">
        <f t="shared" si="161"/>
        <v>0</v>
      </c>
      <c r="AR265" s="32">
        <f t="shared" si="162"/>
        <v>4</v>
      </c>
      <c r="AV265" s="25">
        <v>1</v>
      </c>
      <c r="AW265" s="54">
        <f t="shared" si="163"/>
        <v>0</v>
      </c>
      <c r="AX265" s="54">
        <f t="shared" si="164"/>
        <v>0</v>
      </c>
      <c r="AY265" s="54">
        <f t="shared" si="165"/>
        <v>0</v>
      </c>
      <c r="AZ265" s="54">
        <f t="shared" si="166"/>
        <v>0</v>
      </c>
      <c r="BA265" s="54">
        <f t="shared" si="167"/>
        <v>0</v>
      </c>
      <c r="BC265" s="32">
        <f t="shared" si="168"/>
        <v>3</v>
      </c>
      <c r="BG265" s="25">
        <v>1</v>
      </c>
      <c r="BH265" s="54">
        <f t="shared" si="169"/>
        <v>0</v>
      </c>
      <c r="BI265" s="54">
        <f t="shared" si="170"/>
        <v>0</v>
      </c>
      <c r="BJ265" s="54">
        <f t="shared" si="171"/>
        <v>0</v>
      </c>
      <c r="BK265" s="54">
        <f t="shared" si="172"/>
        <v>0</v>
      </c>
      <c r="BL265" s="54">
        <f t="shared" si="173"/>
        <v>0</v>
      </c>
      <c r="BN265" s="25">
        <f t="shared" si="174"/>
        <v>1</v>
      </c>
      <c r="BS265" s="39"/>
      <c r="BT265" s="39"/>
      <c r="BU265" s="39"/>
      <c r="BV265" s="39"/>
      <c r="BW265" s="39"/>
    </row>
    <row r="266" spans="3:75" x14ac:dyDescent="0.25">
      <c r="C266" s="62" t="str">
        <f t="shared" si="140"/>
        <v>-</v>
      </c>
      <c r="D266" s="62" t="str">
        <f t="shared" si="141"/>
        <v>-</v>
      </c>
      <c r="E266" s="62" t="str">
        <f t="shared" si="142"/>
        <v>-</v>
      </c>
      <c r="F266" s="62" t="str">
        <f t="shared" si="143"/>
        <v>-</v>
      </c>
      <c r="G266" s="62" t="str">
        <f t="shared" si="144"/>
        <v>-</v>
      </c>
      <c r="P266" s="62" t="str">
        <f t="shared" si="145"/>
        <v>-</v>
      </c>
      <c r="Q266" s="62" t="str">
        <f t="shared" si="146"/>
        <v>-</v>
      </c>
      <c r="R266" s="62" t="str">
        <f t="shared" si="147"/>
        <v>-</v>
      </c>
      <c r="S266" s="62" t="str">
        <f t="shared" si="148"/>
        <v>-</v>
      </c>
      <c r="T266" s="62" t="str">
        <f t="shared" si="149"/>
        <v>-</v>
      </c>
      <c r="V266" s="32">
        <f t="shared" si="150"/>
        <v>6</v>
      </c>
      <c r="Z266" s="25">
        <v>1</v>
      </c>
      <c r="AA266" s="54">
        <f t="shared" si="151"/>
        <v>0</v>
      </c>
      <c r="AB266" s="54">
        <f t="shared" si="152"/>
        <v>0</v>
      </c>
      <c r="AC266" s="54">
        <f t="shared" si="153"/>
        <v>0</v>
      </c>
      <c r="AD266" s="54">
        <f t="shared" si="154"/>
        <v>0</v>
      </c>
      <c r="AE266" s="54">
        <f t="shared" si="155"/>
        <v>0</v>
      </c>
      <c r="AG266" s="32">
        <f t="shared" si="156"/>
        <v>5</v>
      </c>
      <c r="AK266" s="25">
        <v>1</v>
      </c>
      <c r="AL266" s="54">
        <f t="shared" si="157"/>
        <v>0</v>
      </c>
      <c r="AM266" s="54">
        <f t="shared" si="158"/>
        <v>0</v>
      </c>
      <c r="AN266" s="54">
        <f t="shared" si="159"/>
        <v>0</v>
      </c>
      <c r="AO266" s="54">
        <f t="shared" si="160"/>
        <v>0</v>
      </c>
      <c r="AP266" s="54">
        <f t="shared" si="161"/>
        <v>0</v>
      </c>
      <c r="AR266" s="32">
        <f t="shared" si="162"/>
        <v>4</v>
      </c>
      <c r="AV266" s="25">
        <v>1</v>
      </c>
      <c r="AW266" s="54">
        <f t="shared" si="163"/>
        <v>0</v>
      </c>
      <c r="AX266" s="54">
        <f t="shared" si="164"/>
        <v>0</v>
      </c>
      <c r="AY266" s="54">
        <f t="shared" si="165"/>
        <v>0</v>
      </c>
      <c r="AZ266" s="54">
        <f t="shared" si="166"/>
        <v>0</v>
      </c>
      <c r="BA266" s="54">
        <f t="shared" si="167"/>
        <v>0</v>
      </c>
      <c r="BC266" s="32">
        <f t="shared" si="168"/>
        <v>3</v>
      </c>
      <c r="BG266" s="25">
        <v>1</v>
      </c>
      <c r="BH266" s="54">
        <f t="shared" si="169"/>
        <v>0</v>
      </c>
      <c r="BI266" s="54">
        <f t="shared" si="170"/>
        <v>0</v>
      </c>
      <c r="BJ266" s="54">
        <f t="shared" si="171"/>
        <v>0</v>
      </c>
      <c r="BK266" s="54">
        <f t="shared" si="172"/>
        <v>0</v>
      </c>
      <c r="BL266" s="54">
        <f t="shared" si="173"/>
        <v>0</v>
      </c>
      <c r="BN266" s="25">
        <f t="shared" si="174"/>
        <v>1</v>
      </c>
      <c r="BS266" s="39"/>
      <c r="BT266" s="39"/>
      <c r="BU266" s="39"/>
      <c r="BV266" s="39"/>
      <c r="BW266" s="39"/>
    </row>
    <row r="267" spans="3:75" x14ac:dyDescent="0.25">
      <c r="C267" s="62" t="str">
        <f t="shared" si="140"/>
        <v>-</v>
      </c>
      <c r="D267" s="62" t="str">
        <f t="shared" si="141"/>
        <v>-</v>
      </c>
      <c r="E267" s="62" t="str">
        <f t="shared" si="142"/>
        <v>-</v>
      </c>
      <c r="F267" s="62" t="str">
        <f t="shared" si="143"/>
        <v>-</v>
      </c>
      <c r="G267" s="62" t="str">
        <f t="shared" si="144"/>
        <v>-</v>
      </c>
      <c r="P267" s="62" t="str">
        <f t="shared" si="145"/>
        <v>-</v>
      </c>
      <c r="Q267" s="62" t="str">
        <f t="shared" si="146"/>
        <v>-</v>
      </c>
      <c r="R267" s="62" t="str">
        <f t="shared" si="147"/>
        <v>-</v>
      </c>
      <c r="S267" s="62" t="str">
        <f t="shared" si="148"/>
        <v>-</v>
      </c>
      <c r="T267" s="62" t="str">
        <f t="shared" si="149"/>
        <v>-</v>
      </c>
      <c r="V267" s="32">
        <f t="shared" si="150"/>
        <v>6</v>
      </c>
      <c r="Z267" s="25">
        <v>1</v>
      </c>
      <c r="AA267" s="54">
        <f t="shared" si="151"/>
        <v>0</v>
      </c>
      <c r="AB267" s="54">
        <f t="shared" si="152"/>
        <v>0</v>
      </c>
      <c r="AC267" s="54">
        <f t="shared" si="153"/>
        <v>0</v>
      </c>
      <c r="AD267" s="54">
        <f t="shared" si="154"/>
        <v>0</v>
      </c>
      <c r="AE267" s="54">
        <f t="shared" si="155"/>
        <v>0</v>
      </c>
      <c r="AG267" s="32">
        <f t="shared" si="156"/>
        <v>5</v>
      </c>
      <c r="AK267" s="25">
        <v>1</v>
      </c>
      <c r="AL267" s="54">
        <f t="shared" si="157"/>
        <v>0</v>
      </c>
      <c r="AM267" s="54">
        <f t="shared" si="158"/>
        <v>0</v>
      </c>
      <c r="AN267" s="54">
        <f t="shared" si="159"/>
        <v>0</v>
      </c>
      <c r="AO267" s="54">
        <f t="shared" si="160"/>
        <v>0</v>
      </c>
      <c r="AP267" s="54">
        <f t="shared" si="161"/>
        <v>0</v>
      </c>
      <c r="AR267" s="32">
        <f t="shared" si="162"/>
        <v>4</v>
      </c>
      <c r="AV267" s="25">
        <v>1</v>
      </c>
      <c r="AW267" s="54">
        <f t="shared" si="163"/>
        <v>0</v>
      </c>
      <c r="AX267" s="54">
        <f t="shared" si="164"/>
        <v>0</v>
      </c>
      <c r="AY267" s="54">
        <f t="shared" si="165"/>
        <v>0</v>
      </c>
      <c r="AZ267" s="54">
        <f t="shared" si="166"/>
        <v>0</v>
      </c>
      <c r="BA267" s="54">
        <f t="shared" si="167"/>
        <v>0</v>
      </c>
      <c r="BC267" s="32">
        <f t="shared" si="168"/>
        <v>3</v>
      </c>
      <c r="BG267" s="25">
        <v>1</v>
      </c>
      <c r="BH267" s="54">
        <f t="shared" si="169"/>
        <v>0</v>
      </c>
      <c r="BI267" s="54">
        <f t="shared" si="170"/>
        <v>0</v>
      </c>
      <c r="BJ267" s="54">
        <f t="shared" si="171"/>
        <v>0</v>
      </c>
      <c r="BK267" s="54">
        <f t="shared" si="172"/>
        <v>0</v>
      </c>
      <c r="BL267" s="54">
        <f t="shared" si="173"/>
        <v>0</v>
      </c>
      <c r="BN267" s="25">
        <f t="shared" si="174"/>
        <v>1</v>
      </c>
      <c r="BS267" s="39"/>
      <c r="BT267" s="39"/>
      <c r="BU267" s="39"/>
      <c r="BV267" s="39"/>
      <c r="BW267" s="39"/>
    </row>
    <row r="268" spans="3:75" x14ac:dyDescent="0.25">
      <c r="C268" s="62" t="str">
        <f t="shared" si="140"/>
        <v>-</v>
      </c>
      <c r="D268" s="62" t="str">
        <f t="shared" si="141"/>
        <v>-</v>
      </c>
      <c r="E268" s="62" t="str">
        <f t="shared" si="142"/>
        <v>-</v>
      </c>
      <c r="F268" s="62" t="str">
        <f t="shared" si="143"/>
        <v>-</v>
      </c>
      <c r="G268" s="62" t="str">
        <f t="shared" si="144"/>
        <v>-</v>
      </c>
      <c r="P268" s="62" t="str">
        <f t="shared" si="145"/>
        <v>-</v>
      </c>
      <c r="Q268" s="62" t="str">
        <f t="shared" si="146"/>
        <v>-</v>
      </c>
      <c r="R268" s="62" t="str">
        <f t="shared" si="147"/>
        <v>-</v>
      </c>
      <c r="S268" s="62" t="str">
        <f t="shared" si="148"/>
        <v>-</v>
      </c>
      <c r="T268" s="62" t="str">
        <f t="shared" si="149"/>
        <v>-</v>
      </c>
      <c r="V268" s="32">
        <f t="shared" si="150"/>
        <v>6</v>
      </c>
      <c r="Z268" s="25">
        <v>1</v>
      </c>
      <c r="AA268" s="54">
        <f t="shared" si="151"/>
        <v>0</v>
      </c>
      <c r="AB268" s="54">
        <f t="shared" si="152"/>
        <v>0</v>
      </c>
      <c r="AC268" s="54">
        <f t="shared" si="153"/>
        <v>0</v>
      </c>
      <c r="AD268" s="54">
        <f t="shared" si="154"/>
        <v>0</v>
      </c>
      <c r="AE268" s="54">
        <f t="shared" si="155"/>
        <v>0</v>
      </c>
      <c r="AG268" s="32">
        <f t="shared" si="156"/>
        <v>5</v>
      </c>
      <c r="AK268" s="25">
        <v>1</v>
      </c>
      <c r="AL268" s="54">
        <f t="shared" si="157"/>
        <v>0</v>
      </c>
      <c r="AM268" s="54">
        <f t="shared" si="158"/>
        <v>0</v>
      </c>
      <c r="AN268" s="54">
        <f t="shared" si="159"/>
        <v>0</v>
      </c>
      <c r="AO268" s="54">
        <f t="shared" si="160"/>
        <v>0</v>
      </c>
      <c r="AP268" s="54">
        <f t="shared" si="161"/>
        <v>0</v>
      </c>
      <c r="AR268" s="32">
        <f t="shared" si="162"/>
        <v>4</v>
      </c>
      <c r="AV268" s="25">
        <v>1</v>
      </c>
      <c r="AW268" s="54">
        <f t="shared" si="163"/>
        <v>0</v>
      </c>
      <c r="AX268" s="54">
        <f t="shared" si="164"/>
        <v>0</v>
      </c>
      <c r="AY268" s="54">
        <f t="shared" si="165"/>
        <v>0</v>
      </c>
      <c r="AZ268" s="54">
        <f t="shared" si="166"/>
        <v>0</v>
      </c>
      <c r="BA268" s="54">
        <f t="shared" si="167"/>
        <v>0</v>
      </c>
      <c r="BC268" s="32">
        <f t="shared" si="168"/>
        <v>3</v>
      </c>
      <c r="BG268" s="25">
        <v>1</v>
      </c>
      <c r="BH268" s="54">
        <f t="shared" si="169"/>
        <v>0</v>
      </c>
      <c r="BI268" s="54">
        <f t="shared" si="170"/>
        <v>0</v>
      </c>
      <c r="BJ268" s="54">
        <f t="shared" si="171"/>
        <v>0</v>
      </c>
      <c r="BK268" s="54">
        <f t="shared" si="172"/>
        <v>0</v>
      </c>
      <c r="BL268" s="54">
        <f t="shared" si="173"/>
        <v>0</v>
      </c>
      <c r="BN268" s="25">
        <f t="shared" si="174"/>
        <v>1</v>
      </c>
      <c r="BS268" s="39"/>
      <c r="BT268" s="39"/>
      <c r="BU268" s="39"/>
      <c r="BV268" s="39"/>
      <c r="BW268" s="39"/>
    </row>
    <row r="269" spans="3:75" x14ac:dyDescent="0.25">
      <c r="C269" s="62" t="str">
        <f t="shared" si="140"/>
        <v>-</v>
      </c>
      <c r="D269" s="62" t="str">
        <f t="shared" si="141"/>
        <v>-</v>
      </c>
      <c r="E269" s="62" t="str">
        <f t="shared" si="142"/>
        <v>-</v>
      </c>
      <c r="F269" s="62" t="str">
        <f t="shared" si="143"/>
        <v>-</v>
      </c>
      <c r="G269" s="62" t="str">
        <f t="shared" si="144"/>
        <v>-</v>
      </c>
      <c r="P269" s="62" t="str">
        <f t="shared" si="145"/>
        <v>-</v>
      </c>
      <c r="Q269" s="62" t="str">
        <f t="shared" si="146"/>
        <v>-</v>
      </c>
      <c r="R269" s="62" t="str">
        <f t="shared" si="147"/>
        <v>-</v>
      </c>
      <c r="S269" s="62" t="str">
        <f t="shared" si="148"/>
        <v>-</v>
      </c>
      <c r="T269" s="62" t="str">
        <f t="shared" si="149"/>
        <v>-</v>
      </c>
      <c r="V269" s="32">
        <f t="shared" si="150"/>
        <v>6</v>
      </c>
      <c r="Z269" s="25">
        <v>1</v>
      </c>
      <c r="AA269" s="54">
        <f t="shared" si="151"/>
        <v>0</v>
      </c>
      <c r="AB269" s="54">
        <f t="shared" si="152"/>
        <v>0</v>
      </c>
      <c r="AC269" s="54">
        <f t="shared" si="153"/>
        <v>0</v>
      </c>
      <c r="AD269" s="54">
        <f t="shared" si="154"/>
        <v>0</v>
      </c>
      <c r="AE269" s="54">
        <f t="shared" si="155"/>
        <v>0</v>
      </c>
      <c r="AG269" s="32">
        <f t="shared" si="156"/>
        <v>5</v>
      </c>
      <c r="AK269" s="25">
        <v>1</v>
      </c>
      <c r="AL269" s="54">
        <f t="shared" si="157"/>
        <v>0</v>
      </c>
      <c r="AM269" s="54">
        <f t="shared" si="158"/>
        <v>0</v>
      </c>
      <c r="AN269" s="54">
        <f t="shared" si="159"/>
        <v>0</v>
      </c>
      <c r="AO269" s="54">
        <f t="shared" si="160"/>
        <v>0</v>
      </c>
      <c r="AP269" s="54">
        <f t="shared" si="161"/>
        <v>0</v>
      </c>
      <c r="AR269" s="32">
        <f t="shared" si="162"/>
        <v>4</v>
      </c>
      <c r="AV269" s="25">
        <v>1</v>
      </c>
      <c r="AW269" s="54">
        <f t="shared" si="163"/>
        <v>0</v>
      </c>
      <c r="AX269" s="54">
        <f t="shared" si="164"/>
        <v>0</v>
      </c>
      <c r="AY269" s="54">
        <f t="shared" si="165"/>
        <v>0</v>
      </c>
      <c r="AZ269" s="54">
        <f t="shared" si="166"/>
        <v>0</v>
      </c>
      <c r="BA269" s="54">
        <f t="shared" si="167"/>
        <v>0</v>
      </c>
      <c r="BC269" s="32">
        <f t="shared" si="168"/>
        <v>3</v>
      </c>
      <c r="BG269" s="25">
        <v>1</v>
      </c>
      <c r="BH269" s="54">
        <f t="shared" si="169"/>
        <v>0</v>
      </c>
      <c r="BI269" s="54">
        <f t="shared" si="170"/>
        <v>0</v>
      </c>
      <c r="BJ269" s="54">
        <f t="shared" si="171"/>
        <v>0</v>
      </c>
      <c r="BK269" s="54">
        <f t="shared" si="172"/>
        <v>0</v>
      </c>
      <c r="BL269" s="54">
        <f t="shared" si="173"/>
        <v>0</v>
      </c>
      <c r="BN269" s="25">
        <f t="shared" si="174"/>
        <v>1</v>
      </c>
      <c r="BS269" s="39"/>
      <c r="BT269" s="39"/>
      <c r="BU269" s="39"/>
      <c r="BV269" s="39"/>
      <c r="BW269" s="39"/>
    </row>
    <row r="270" spans="3:75" x14ac:dyDescent="0.25">
      <c r="C270" s="62" t="str">
        <f t="shared" si="140"/>
        <v>-</v>
      </c>
      <c r="D270" s="62" t="str">
        <f t="shared" si="141"/>
        <v>-</v>
      </c>
      <c r="E270" s="62" t="str">
        <f t="shared" si="142"/>
        <v>-</v>
      </c>
      <c r="F270" s="62" t="str">
        <f t="shared" si="143"/>
        <v>-</v>
      </c>
      <c r="G270" s="62" t="str">
        <f t="shared" si="144"/>
        <v>-</v>
      </c>
      <c r="P270" s="62" t="str">
        <f t="shared" si="145"/>
        <v>-</v>
      </c>
      <c r="Q270" s="62" t="str">
        <f t="shared" si="146"/>
        <v>-</v>
      </c>
      <c r="R270" s="62" t="str">
        <f t="shared" si="147"/>
        <v>-</v>
      </c>
      <c r="S270" s="62" t="str">
        <f t="shared" si="148"/>
        <v>-</v>
      </c>
      <c r="T270" s="62" t="str">
        <f t="shared" si="149"/>
        <v>-</v>
      </c>
      <c r="V270" s="32">
        <f t="shared" si="150"/>
        <v>6</v>
      </c>
      <c r="Z270" s="25">
        <v>1</v>
      </c>
      <c r="AA270" s="54">
        <f t="shared" si="151"/>
        <v>0</v>
      </c>
      <c r="AB270" s="54">
        <f t="shared" si="152"/>
        <v>0</v>
      </c>
      <c r="AC270" s="54">
        <f t="shared" si="153"/>
        <v>0</v>
      </c>
      <c r="AD270" s="54">
        <f t="shared" si="154"/>
        <v>0</v>
      </c>
      <c r="AE270" s="54">
        <f t="shared" si="155"/>
        <v>0</v>
      </c>
      <c r="AG270" s="32">
        <f t="shared" si="156"/>
        <v>5</v>
      </c>
      <c r="AK270" s="25">
        <v>1</v>
      </c>
      <c r="AL270" s="54">
        <f t="shared" si="157"/>
        <v>0</v>
      </c>
      <c r="AM270" s="54">
        <f t="shared" si="158"/>
        <v>0</v>
      </c>
      <c r="AN270" s="54">
        <f t="shared" si="159"/>
        <v>0</v>
      </c>
      <c r="AO270" s="54">
        <f t="shared" si="160"/>
        <v>0</v>
      </c>
      <c r="AP270" s="54">
        <f t="shared" si="161"/>
        <v>0</v>
      </c>
      <c r="AR270" s="32">
        <f t="shared" si="162"/>
        <v>4</v>
      </c>
      <c r="AV270" s="25">
        <v>1</v>
      </c>
      <c r="AW270" s="54">
        <f t="shared" si="163"/>
        <v>0</v>
      </c>
      <c r="AX270" s="54">
        <f t="shared" si="164"/>
        <v>0</v>
      </c>
      <c r="AY270" s="54">
        <f t="shared" si="165"/>
        <v>0</v>
      </c>
      <c r="AZ270" s="54">
        <f t="shared" si="166"/>
        <v>0</v>
      </c>
      <c r="BA270" s="54">
        <f t="shared" si="167"/>
        <v>0</v>
      </c>
      <c r="BC270" s="32">
        <f t="shared" si="168"/>
        <v>3</v>
      </c>
      <c r="BG270" s="25">
        <v>1</v>
      </c>
      <c r="BH270" s="54">
        <f t="shared" si="169"/>
        <v>0</v>
      </c>
      <c r="BI270" s="54">
        <f t="shared" si="170"/>
        <v>0</v>
      </c>
      <c r="BJ270" s="54">
        <f t="shared" si="171"/>
        <v>0</v>
      </c>
      <c r="BK270" s="54">
        <f t="shared" si="172"/>
        <v>0</v>
      </c>
      <c r="BL270" s="54">
        <f t="shared" si="173"/>
        <v>0</v>
      </c>
      <c r="BN270" s="25">
        <f t="shared" si="174"/>
        <v>1</v>
      </c>
      <c r="BS270" s="39"/>
      <c r="BT270" s="39"/>
      <c r="BU270" s="39"/>
      <c r="BV270" s="39"/>
      <c r="BW270" s="39"/>
    </row>
    <row r="271" spans="3:75" x14ac:dyDescent="0.25">
      <c r="C271" s="62" t="str">
        <f t="shared" si="140"/>
        <v>-</v>
      </c>
      <c r="D271" s="62" t="str">
        <f t="shared" si="141"/>
        <v>-</v>
      </c>
      <c r="E271" s="62" t="str">
        <f t="shared" si="142"/>
        <v>-</v>
      </c>
      <c r="F271" s="62" t="str">
        <f t="shared" si="143"/>
        <v>-</v>
      </c>
      <c r="G271" s="62" t="str">
        <f t="shared" si="144"/>
        <v>-</v>
      </c>
      <c r="P271" s="62" t="str">
        <f t="shared" si="145"/>
        <v>-</v>
      </c>
      <c r="Q271" s="62" t="str">
        <f t="shared" si="146"/>
        <v>-</v>
      </c>
      <c r="R271" s="62" t="str">
        <f t="shared" si="147"/>
        <v>-</v>
      </c>
      <c r="S271" s="62" t="str">
        <f t="shared" si="148"/>
        <v>-</v>
      </c>
      <c r="T271" s="62" t="str">
        <f t="shared" si="149"/>
        <v>-</v>
      </c>
      <c r="V271" s="32">
        <f t="shared" si="150"/>
        <v>6</v>
      </c>
      <c r="Z271" s="25">
        <v>1</v>
      </c>
      <c r="AA271" s="54">
        <f t="shared" si="151"/>
        <v>0</v>
      </c>
      <c r="AB271" s="54">
        <f t="shared" si="152"/>
        <v>0</v>
      </c>
      <c r="AC271" s="54">
        <f t="shared" si="153"/>
        <v>0</v>
      </c>
      <c r="AD271" s="54">
        <f t="shared" si="154"/>
        <v>0</v>
      </c>
      <c r="AE271" s="54">
        <f t="shared" si="155"/>
        <v>0</v>
      </c>
      <c r="AG271" s="32">
        <f t="shared" si="156"/>
        <v>5</v>
      </c>
      <c r="AK271" s="25">
        <v>1</v>
      </c>
      <c r="AL271" s="54">
        <f t="shared" si="157"/>
        <v>0</v>
      </c>
      <c r="AM271" s="54">
        <f t="shared" si="158"/>
        <v>0</v>
      </c>
      <c r="AN271" s="54">
        <f t="shared" si="159"/>
        <v>0</v>
      </c>
      <c r="AO271" s="54">
        <f t="shared" si="160"/>
        <v>0</v>
      </c>
      <c r="AP271" s="54">
        <f t="shared" si="161"/>
        <v>0</v>
      </c>
      <c r="AR271" s="32">
        <f t="shared" si="162"/>
        <v>4</v>
      </c>
      <c r="AV271" s="25">
        <v>1</v>
      </c>
      <c r="AW271" s="54">
        <f t="shared" si="163"/>
        <v>0</v>
      </c>
      <c r="AX271" s="54">
        <f t="shared" si="164"/>
        <v>0</v>
      </c>
      <c r="AY271" s="54">
        <f t="shared" si="165"/>
        <v>0</v>
      </c>
      <c r="AZ271" s="54">
        <f t="shared" si="166"/>
        <v>0</v>
      </c>
      <c r="BA271" s="54">
        <f t="shared" si="167"/>
        <v>0</v>
      </c>
      <c r="BC271" s="32">
        <f t="shared" si="168"/>
        <v>3</v>
      </c>
      <c r="BG271" s="25">
        <v>1</v>
      </c>
      <c r="BH271" s="54">
        <f t="shared" si="169"/>
        <v>0</v>
      </c>
      <c r="BI271" s="54">
        <f t="shared" si="170"/>
        <v>0</v>
      </c>
      <c r="BJ271" s="54">
        <f t="shared" si="171"/>
        <v>0</v>
      </c>
      <c r="BK271" s="54">
        <f t="shared" si="172"/>
        <v>0</v>
      </c>
      <c r="BL271" s="54">
        <f t="shared" si="173"/>
        <v>0</v>
      </c>
      <c r="BN271" s="25">
        <f t="shared" si="174"/>
        <v>1</v>
      </c>
      <c r="BS271" s="39"/>
      <c r="BT271" s="39"/>
      <c r="BU271" s="39"/>
      <c r="BV271" s="39"/>
      <c r="BW271" s="39"/>
    </row>
    <row r="272" spans="3:75" x14ac:dyDescent="0.25">
      <c r="C272" s="62" t="str">
        <f t="shared" si="140"/>
        <v>-</v>
      </c>
      <c r="D272" s="62" t="str">
        <f t="shared" si="141"/>
        <v>-</v>
      </c>
      <c r="E272" s="62" t="str">
        <f t="shared" si="142"/>
        <v>-</v>
      </c>
      <c r="F272" s="62" t="str">
        <f t="shared" si="143"/>
        <v>-</v>
      </c>
      <c r="G272" s="62" t="str">
        <f t="shared" si="144"/>
        <v>-</v>
      </c>
      <c r="P272" s="62" t="str">
        <f t="shared" si="145"/>
        <v>-</v>
      </c>
      <c r="Q272" s="62" t="str">
        <f t="shared" si="146"/>
        <v>-</v>
      </c>
      <c r="R272" s="62" t="str">
        <f t="shared" si="147"/>
        <v>-</v>
      </c>
      <c r="S272" s="62" t="str">
        <f t="shared" si="148"/>
        <v>-</v>
      </c>
      <c r="T272" s="62" t="str">
        <f t="shared" si="149"/>
        <v>-</v>
      </c>
      <c r="V272" s="32">
        <f t="shared" si="150"/>
        <v>6</v>
      </c>
      <c r="Z272" s="25">
        <v>1</v>
      </c>
      <c r="AA272" s="54">
        <f t="shared" si="151"/>
        <v>0</v>
      </c>
      <c r="AB272" s="54">
        <f t="shared" si="152"/>
        <v>0</v>
      </c>
      <c r="AC272" s="54">
        <f t="shared" si="153"/>
        <v>0</v>
      </c>
      <c r="AD272" s="54">
        <f t="shared" si="154"/>
        <v>0</v>
      </c>
      <c r="AE272" s="54">
        <f t="shared" si="155"/>
        <v>0</v>
      </c>
      <c r="AG272" s="32">
        <f t="shared" si="156"/>
        <v>5</v>
      </c>
      <c r="AK272" s="25">
        <v>1</v>
      </c>
      <c r="AL272" s="54">
        <f t="shared" si="157"/>
        <v>0</v>
      </c>
      <c r="AM272" s="54">
        <f t="shared" si="158"/>
        <v>0</v>
      </c>
      <c r="AN272" s="54">
        <f t="shared" si="159"/>
        <v>0</v>
      </c>
      <c r="AO272" s="54">
        <f t="shared" si="160"/>
        <v>0</v>
      </c>
      <c r="AP272" s="54">
        <f t="shared" si="161"/>
        <v>0</v>
      </c>
      <c r="AR272" s="32">
        <f t="shared" si="162"/>
        <v>4</v>
      </c>
      <c r="AV272" s="25">
        <v>1</v>
      </c>
      <c r="AW272" s="54">
        <f t="shared" si="163"/>
        <v>0</v>
      </c>
      <c r="AX272" s="54">
        <f t="shared" si="164"/>
        <v>0</v>
      </c>
      <c r="AY272" s="54">
        <f t="shared" si="165"/>
        <v>0</v>
      </c>
      <c r="AZ272" s="54">
        <f t="shared" si="166"/>
        <v>0</v>
      </c>
      <c r="BA272" s="54">
        <f t="shared" si="167"/>
        <v>0</v>
      </c>
      <c r="BC272" s="32">
        <f t="shared" si="168"/>
        <v>3</v>
      </c>
      <c r="BG272" s="25">
        <v>1</v>
      </c>
      <c r="BH272" s="54">
        <f t="shared" si="169"/>
        <v>0</v>
      </c>
      <c r="BI272" s="54">
        <f t="shared" si="170"/>
        <v>0</v>
      </c>
      <c r="BJ272" s="54">
        <f t="shared" si="171"/>
        <v>0</v>
      </c>
      <c r="BK272" s="54">
        <f t="shared" si="172"/>
        <v>0</v>
      </c>
      <c r="BL272" s="54">
        <f t="shared" si="173"/>
        <v>0</v>
      </c>
      <c r="BN272" s="25">
        <f t="shared" si="174"/>
        <v>1</v>
      </c>
      <c r="BS272" s="39"/>
      <c r="BT272" s="39"/>
      <c r="BU272" s="39"/>
      <c r="BV272" s="39"/>
      <c r="BW272" s="39"/>
    </row>
    <row r="273" spans="3:75" x14ac:dyDescent="0.25">
      <c r="C273" s="62" t="str">
        <f t="shared" si="140"/>
        <v>-</v>
      </c>
      <c r="D273" s="62" t="str">
        <f t="shared" si="141"/>
        <v>-</v>
      </c>
      <c r="E273" s="62" t="str">
        <f t="shared" si="142"/>
        <v>-</v>
      </c>
      <c r="F273" s="62" t="str">
        <f t="shared" si="143"/>
        <v>-</v>
      </c>
      <c r="G273" s="62" t="str">
        <f t="shared" si="144"/>
        <v>-</v>
      </c>
      <c r="P273" s="62" t="str">
        <f t="shared" si="145"/>
        <v>-</v>
      </c>
      <c r="Q273" s="62" t="str">
        <f t="shared" si="146"/>
        <v>-</v>
      </c>
      <c r="R273" s="62" t="str">
        <f t="shared" si="147"/>
        <v>-</v>
      </c>
      <c r="S273" s="62" t="str">
        <f t="shared" si="148"/>
        <v>-</v>
      </c>
      <c r="T273" s="62" t="str">
        <f t="shared" si="149"/>
        <v>-</v>
      </c>
      <c r="V273" s="32">
        <f t="shared" si="150"/>
        <v>6</v>
      </c>
      <c r="Z273" s="25">
        <v>1</v>
      </c>
      <c r="AA273" s="54">
        <f t="shared" si="151"/>
        <v>0</v>
      </c>
      <c r="AB273" s="54">
        <f t="shared" si="152"/>
        <v>0</v>
      </c>
      <c r="AC273" s="54">
        <f t="shared" si="153"/>
        <v>0</v>
      </c>
      <c r="AD273" s="54">
        <f t="shared" si="154"/>
        <v>0</v>
      </c>
      <c r="AE273" s="54">
        <f t="shared" si="155"/>
        <v>0</v>
      </c>
      <c r="AG273" s="32">
        <f t="shared" si="156"/>
        <v>5</v>
      </c>
      <c r="AK273" s="25">
        <v>1</v>
      </c>
      <c r="AL273" s="54">
        <f t="shared" si="157"/>
        <v>0</v>
      </c>
      <c r="AM273" s="54">
        <f t="shared" si="158"/>
        <v>0</v>
      </c>
      <c r="AN273" s="54">
        <f t="shared" si="159"/>
        <v>0</v>
      </c>
      <c r="AO273" s="54">
        <f t="shared" si="160"/>
        <v>0</v>
      </c>
      <c r="AP273" s="54">
        <f t="shared" si="161"/>
        <v>0</v>
      </c>
      <c r="AR273" s="32">
        <f t="shared" si="162"/>
        <v>4</v>
      </c>
      <c r="AV273" s="25">
        <v>1</v>
      </c>
      <c r="AW273" s="54">
        <f t="shared" si="163"/>
        <v>0</v>
      </c>
      <c r="AX273" s="54">
        <f t="shared" si="164"/>
        <v>0</v>
      </c>
      <c r="AY273" s="54">
        <f t="shared" si="165"/>
        <v>0</v>
      </c>
      <c r="AZ273" s="54">
        <f t="shared" si="166"/>
        <v>0</v>
      </c>
      <c r="BA273" s="54">
        <f t="shared" si="167"/>
        <v>0</v>
      </c>
      <c r="BC273" s="32">
        <f t="shared" si="168"/>
        <v>3</v>
      </c>
      <c r="BG273" s="25">
        <v>1</v>
      </c>
      <c r="BH273" s="54">
        <f t="shared" si="169"/>
        <v>0</v>
      </c>
      <c r="BI273" s="54">
        <f t="shared" si="170"/>
        <v>0</v>
      </c>
      <c r="BJ273" s="54">
        <f t="shared" si="171"/>
        <v>0</v>
      </c>
      <c r="BK273" s="54">
        <f t="shared" si="172"/>
        <v>0</v>
      </c>
      <c r="BL273" s="54">
        <f t="shared" si="173"/>
        <v>0</v>
      </c>
      <c r="BN273" s="25">
        <f t="shared" si="174"/>
        <v>1</v>
      </c>
      <c r="BS273" s="39"/>
      <c r="BT273" s="39"/>
      <c r="BU273" s="39"/>
      <c r="BV273" s="39"/>
      <c r="BW273" s="39"/>
    </row>
    <row r="274" spans="3:75" x14ac:dyDescent="0.25">
      <c r="C274" s="62" t="str">
        <f t="shared" si="140"/>
        <v>-</v>
      </c>
      <c r="D274" s="62" t="str">
        <f t="shared" si="141"/>
        <v>-</v>
      </c>
      <c r="E274" s="62" t="str">
        <f t="shared" si="142"/>
        <v>-</v>
      </c>
      <c r="F274" s="62" t="str">
        <f t="shared" si="143"/>
        <v>-</v>
      </c>
      <c r="G274" s="62" t="str">
        <f t="shared" si="144"/>
        <v>-</v>
      </c>
      <c r="P274" s="62" t="str">
        <f t="shared" si="145"/>
        <v>-</v>
      </c>
      <c r="Q274" s="62" t="str">
        <f t="shared" si="146"/>
        <v>-</v>
      </c>
      <c r="R274" s="62" t="str">
        <f t="shared" si="147"/>
        <v>-</v>
      </c>
      <c r="S274" s="62" t="str">
        <f t="shared" si="148"/>
        <v>-</v>
      </c>
      <c r="T274" s="62" t="str">
        <f t="shared" si="149"/>
        <v>-</v>
      </c>
      <c r="V274" s="32">
        <f t="shared" si="150"/>
        <v>6</v>
      </c>
      <c r="Z274" s="25">
        <v>1</v>
      </c>
      <c r="AA274" s="54">
        <f t="shared" si="151"/>
        <v>0</v>
      </c>
      <c r="AB274" s="54">
        <f t="shared" si="152"/>
        <v>0</v>
      </c>
      <c r="AC274" s="54">
        <f t="shared" si="153"/>
        <v>0</v>
      </c>
      <c r="AD274" s="54">
        <f t="shared" si="154"/>
        <v>0</v>
      </c>
      <c r="AE274" s="54">
        <f t="shared" si="155"/>
        <v>0</v>
      </c>
      <c r="AG274" s="32">
        <f t="shared" si="156"/>
        <v>5</v>
      </c>
      <c r="AK274" s="25">
        <v>1</v>
      </c>
      <c r="AL274" s="54">
        <f t="shared" si="157"/>
        <v>0</v>
      </c>
      <c r="AM274" s="54">
        <f t="shared" si="158"/>
        <v>0</v>
      </c>
      <c r="AN274" s="54">
        <f t="shared" si="159"/>
        <v>0</v>
      </c>
      <c r="AO274" s="54">
        <f t="shared" si="160"/>
        <v>0</v>
      </c>
      <c r="AP274" s="54">
        <f t="shared" si="161"/>
        <v>0</v>
      </c>
      <c r="AR274" s="32">
        <f t="shared" si="162"/>
        <v>4</v>
      </c>
      <c r="AV274" s="25">
        <v>1</v>
      </c>
      <c r="AW274" s="54">
        <f t="shared" si="163"/>
        <v>0</v>
      </c>
      <c r="AX274" s="54">
        <f t="shared" si="164"/>
        <v>0</v>
      </c>
      <c r="AY274" s="54">
        <f t="shared" si="165"/>
        <v>0</v>
      </c>
      <c r="AZ274" s="54">
        <f t="shared" si="166"/>
        <v>0</v>
      </c>
      <c r="BA274" s="54">
        <f t="shared" si="167"/>
        <v>0</v>
      </c>
      <c r="BC274" s="32">
        <f t="shared" si="168"/>
        <v>3</v>
      </c>
      <c r="BG274" s="25">
        <v>1</v>
      </c>
      <c r="BH274" s="54">
        <f t="shared" si="169"/>
        <v>0</v>
      </c>
      <c r="BI274" s="54">
        <f t="shared" si="170"/>
        <v>0</v>
      </c>
      <c r="BJ274" s="54">
        <f t="shared" si="171"/>
        <v>0</v>
      </c>
      <c r="BK274" s="54">
        <f t="shared" si="172"/>
        <v>0</v>
      </c>
      <c r="BL274" s="54">
        <f t="shared" si="173"/>
        <v>0</v>
      </c>
      <c r="BN274" s="25">
        <f t="shared" si="174"/>
        <v>1</v>
      </c>
      <c r="BS274" s="39"/>
      <c r="BT274" s="39"/>
      <c r="BU274" s="39"/>
      <c r="BV274" s="39"/>
      <c r="BW274" s="39"/>
    </row>
    <row r="275" spans="3:75" x14ac:dyDescent="0.25">
      <c r="C275" s="62" t="str">
        <f t="shared" si="140"/>
        <v>-</v>
      </c>
      <c r="D275" s="62" t="str">
        <f t="shared" si="141"/>
        <v>-</v>
      </c>
      <c r="E275" s="62" t="str">
        <f t="shared" si="142"/>
        <v>-</v>
      </c>
      <c r="F275" s="62" t="str">
        <f t="shared" si="143"/>
        <v>-</v>
      </c>
      <c r="G275" s="62" t="str">
        <f t="shared" si="144"/>
        <v>-</v>
      </c>
      <c r="P275" s="62" t="str">
        <f t="shared" si="145"/>
        <v>-</v>
      </c>
      <c r="Q275" s="62" t="str">
        <f t="shared" si="146"/>
        <v>-</v>
      </c>
      <c r="R275" s="62" t="str">
        <f t="shared" si="147"/>
        <v>-</v>
      </c>
      <c r="S275" s="62" t="str">
        <f t="shared" si="148"/>
        <v>-</v>
      </c>
      <c r="T275" s="62" t="str">
        <f t="shared" si="149"/>
        <v>-</v>
      </c>
      <c r="V275" s="32">
        <f t="shared" si="150"/>
        <v>6</v>
      </c>
      <c r="Z275" s="25">
        <v>1</v>
      </c>
      <c r="AA275" s="54">
        <f t="shared" si="151"/>
        <v>0</v>
      </c>
      <c r="AB275" s="54">
        <f t="shared" si="152"/>
        <v>0</v>
      </c>
      <c r="AC275" s="54">
        <f t="shared" si="153"/>
        <v>0</v>
      </c>
      <c r="AD275" s="54">
        <f t="shared" si="154"/>
        <v>0</v>
      </c>
      <c r="AE275" s="54">
        <f t="shared" si="155"/>
        <v>0</v>
      </c>
      <c r="AG275" s="32">
        <f t="shared" si="156"/>
        <v>5</v>
      </c>
      <c r="AK275" s="25">
        <v>1</v>
      </c>
      <c r="AL275" s="54">
        <f t="shared" si="157"/>
        <v>0</v>
      </c>
      <c r="AM275" s="54">
        <f t="shared" si="158"/>
        <v>0</v>
      </c>
      <c r="AN275" s="54">
        <f t="shared" si="159"/>
        <v>0</v>
      </c>
      <c r="AO275" s="54">
        <f t="shared" si="160"/>
        <v>0</v>
      </c>
      <c r="AP275" s="54">
        <f t="shared" si="161"/>
        <v>0</v>
      </c>
      <c r="AR275" s="32">
        <f t="shared" si="162"/>
        <v>4</v>
      </c>
      <c r="AV275" s="25">
        <v>1</v>
      </c>
      <c r="AW275" s="54">
        <f t="shared" si="163"/>
        <v>0</v>
      </c>
      <c r="AX275" s="54">
        <f t="shared" si="164"/>
        <v>0</v>
      </c>
      <c r="AY275" s="54">
        <f t="shared" si="165"/>
        <v>0</v>
      </c>
      <c r="AZ275" s="54">
        <f t="shared" si="166"/>
        <v>0</v>
      </c>
      <c r="BA275" s="54">
        <f t="shared" si="167"/>
        <v>0</v>
      </c>
      <c r="BC275" s="32">
        <f t="shared" si="168"/>
        <v>3</v>
      </c>
      <c r="BG275" s="25">
        <v>1</v>
      </c>
      <c r="BH275" s="54">
        <f t="shared" si="169"/>
        <v>0</v>
      </c>
      <c r="BI275" s="54">
        <f t="shared" si="170"/>
        <v>0</v>
      </c>
      <c r="BJ275" s="54">
        <f t="shared" si="171"/>
        <v>0</v>
      </c>
      <c r="BK275" s="54">
        <f t="shared" si="172"/>
        <v>0</v>
      </c>
      <c r="BL275" s="54">
        <f t="shared" si="173"/>
        <v>0</v>
      </c>
      <c r="BN275" s="25">
        <f t="shared" si="174"/>
        <v>1</v>
      </c>
      <c r="BS275" s="39"/>
      <c r="BT275" s="39"/>
      <c r="BU275" s="39"/>
      <c r="BV275" s="39"/>
      <c r="BW275" s="39"/>
    </row>
    <row r="276" spans="3:75" x14ac:dyDescent="0.25">
      <c r="C276" s="62" t="str">
        <f t="shared" si="140"/>
        <v>-</v>
      </c>
      <c r="D276" s="62" t="str">
        <f t="shared" si="141"/>
        <v>-</v>
      </c>
      <c r="E276" s="62" t="str">
        <f t="shared" si="142"/>
        <v>-</v>
      </c>
      <c r="F276" s="62" t="str">
        <f t="shared" si="143"/>
        <v>-</v>
      </c>
      <c r="G276" s="62" t="str">
        <f t="shared" si="144"/>
        <v>-</v>
      </c>
      <c r="P276" s="62" t="str">
        <f t="shared" si="145"/>
        <v>-</v>
      </c>
      <c r="Q276" s="62" t="str">
        <f t="shared" si="146"/>
        <v>-</v>
      </c>
      <c r="R276" s="62" t="str">
        <f t="shared" si="147"/>
        <v>-</v>
      </c>
      <c r="S276" s="62" t="str">
        <f t="shared" si="148"/>
        <v>-</v>
      </c>
      <c r="T276" s="62" t="str">
        <f t="shared" si="149"/>
        <v>-</v>
      </c>
      <c r="V276" s="32">
        <f t="shared" si="150"/>
        <v>6</v>
      </c>
      <c r="Z276" s="25">
        <v>1</v>
      </c>
      <c r="AA276" s="54">
        <f t="shared" si="151"/>
        <v>0</v>
      </c>
      <c r="AB276" s="54">
        <f t="shared" si="152"/>
        <v>0</v>
      </c>
      <c r="AC276" s="54">
        <f t="shared" si="153"/>
        <v>0</v>
      </c>
      <c r="AD276" s="54">
        <f t="shared" si="154"/>
        <v>0</v>
      </c>
      <c r="AE276" s="54">
        <f t="shared" si="155"/>
        <v>0</v>
      </c>
      <c r="AG276" s="32">
        <f t="shared" si="156"/>
        <v>5</v>
      </c>
      <c r="AK276" s="25">
        <v>1</v>
      </c>
      <c r="AL276" s="54">
        <f t="shared" si="157"/>
        <v>0</v>
      </c>
      <c r="AM276" s="54">
        <f t="shared" si="158"/>
        <v>0</v>
      </c>
      <c r="AN276" s="54">
        <f t="shared" si="159"/>
        <v>0</v>
      </c>
      <c r="AO276" s="54">
        <f t="shared" si="160"/>
        <v>0</v>
      </c>
      <c r="AP276" s="54">
        <f t="shared" si="161"/>
        <v>0</v>
      </c>
      <c r="AR276" s="32">
        <f t="shared" si="162"/>
        <v>4</v>
      </c>
      <c r="AV276" s="25">
        <v>1</v>
      </c>
      <c r="AW276" s="54">
        <f t="shared" si="163"/>
        <v>0</v>
      </c>
      <c r="AX276" s="54">
        <f t="shared" si="164"/>
        <v>0</v>
      </c>
      <c r="AY276" s="54">
        <f t="shared" si="165"/>
        <v>0</v>
      </c>
      <c r="AZ276" s="54">
        <f t="shared" si="166"/>
        <v>0</v>
      </c>
      <c r="BA276" s="54">
        <f t="shared" si="167"/>
        <v>0</v>
      </c>
      <c r="BC276" s="32">
        <f t="shared" si="168"/>
        <v>3</v>
      </c>
      <c r="BG276" s="25">
        <v>1</v>
      </c>
      <c r="BH276" s="54">
        <f t="shared" si="169"/>
        <v>0</v>
      </c>
      <c r="BI276" s="54">
        <f t="shared" si="170"/>
        <v>0</v>
      </c>
      <c r="BJ276" s="54">
        <f t="shared" si="171"/>
        <v>0</v>
      </c>
      <c r="BK276" s="54">
        <f t="shared" si="172"/>
        <v>0</v>
      </c>
      <c r="BL276" s="54">
        <f t="shared" si="173"/>
        <v>0</v>
      </c>
      <c r="BN276" s="25">
        <f t="shared" si="174"/>
        <v>1</v>
      </c>
      <c r="BS276" s="39"/>
      <c r="BT276" s="39"/>
      <c r="BU276" s="39"/>
      <c r="BV276" s="39"/>
      <c r="BW276" s="39"/>
    </row>
    <row r="277" spans="3:75" x14ac:dyDescent="0.25">
      <c r="C277" s="62" t="str">
        <f t="shared" si="140"/>
        <v>-</v>
      </c>
      <c r="D277" s="62" t="str">
        <f t="shared" si="141"/>
        <v>-</v>
      </c>
      <c r="E277" s="62" t="str">
        <f t="shared" si="142"/>
        <v>-</v>
      </c>
      <c r="F277" s="62" t="str">
        <f t="shared" si="143"/>
        <v>-</v>
      </c>
      <c r="G277" s="62" t="str">
        <f t="shared" si="144"/>
        <v>-</v>
      </c>
      <c r="P277" s="62" t="str">
        <f t="shared" si="145"/>
        <v>-</v>
      </c>
      <c r="Q277" s="62" t="str">
        <f t="shared" si="146"/>
        <v>-</v>
      </c>
      <c r="R277" s="62" t="str">
        <f t="shared" si="147"/>
        <v>-</v>
      </c>
      <c r="S277" s="62" t="str">
        <f t="shared" si="148"/>
        <v>-</v>
      </c>
      <c r="T277" s="62" t="str">
        <f t="shared" si="149"/>
        <v>-</v>
      </c>
      <c r="V277" s="32">
        <f t="shared" si="150"/>
        <v>6</v>
      </c>
      <c r="Z277" s="25">
        <v>1</v>
      </c>
      <c r="AA277" s="54">
        <f t="shared" si="151"/>
        <v>0</v>
      </c>
      <c r="AB277" s="54">
        <f t="shared" si="152"/>
        <v>0</v>
      </c>
      <c r="AC277" s="54">
        <f t="shared" si="153"/>
        <v>0</v>
      </c>
      <c r="AD277" s="54">
        <f t="shared" si="154"/>
        <v>0</v>
      </c>
      <c r="AE277" s="54">
        <f t="shared" si="155"/>
        <v>0</v>
      </c>
      <c r="AG277" s="32">
        <f t="shared" si="156"/>
        <v>5</v>
      </c>
      <c r="AK277" s="25">
        <v>1</v>
      </c>
      <c r="AL277" s="54">
        <f t="shared" si="157"/>
        <v>0</v>
      </c>
      <c r="AM277" s="54">
        <f t="shared" si="158"/>
        <v>0</v>
      </c>
      <c r="AN277" s="54">
        <f t="shared" si="159"/>
        <v>0</v>
      </c>
      <c r="AO277" s="54">
        <f t="shared" si="160"/>
        <v>0</v>
      </c>
      <c r="AP277" s="54">
        <f t="shared" si="161"/>
        <v>0</v>
      </c>
      <c r="AR277" s="32">
        <f t="shared" si="162"/>
        <v>4</v>
      </c>
      <c r="AV277" s="25">
        <v>1</v>
      </c>
      <c r="AW277" s="54">
        <f t="shared" si="163"/>
        <v>0</v>
      </c>
      <c r="AX277" s="54">
        <f t="shared" si="164"/>
        <v>0</v>
      </c>
      <c r="AY277" s="54">
        <f t="shared" si="165"/>
        <v>0</v>
      </c>
      <c r="AZ277" s="54">
        <f t="shared" si="166"/>
        <v>0</v>
      </c>
      <c r="BA277" s="54">
        <f t="shared" si="167"/>
        <v>0</v>
      </c>
      <c r="BC277" s="32">
        <f t="shared" si="168"/>
        <v>3</v>
      </c>
      <c r="BG277" s="25">
        <v>1</v>
      </c>
      <c r="BH277" s="54">
        <f t="shared" si="169"/>
        <v>0</v>
      </c>
      <c r="BI277" s="54">
        <f t="shared" si="170"/>
        <v>0</v>
      </c>
      <c r="BJ277" s="54">
        <f t="shared" si="171"/>
        <v>0</v>
      </c>
      <c r="BK277" s="54">
        <f t="shared" si="172"/>
        <v>0</v>
      </c>
      <c r="BL277" s="54">
        <f t="shared" si="173"/>
        <v>0</v>
      </c>
      <c r="BN277" s="25">
        <f t="shared" si="174"/>
        <v>1</v>
      </c>
      <c r="BS277" s="39"/>
      <c r="BT277" s="39"/>
      <c r="BU277" s="39"/>
      <c r="BV277" s="39"/>
      <c r="BW277" s="39"/>
    </row>
    <row r="278" spans="3:75" x14ac:dyDescent="0.25">
      <c r="C278" s="62" t="str">
        <f t="shared" si="140"/>
        <v>-</v>
      </c>
      <c r="D278" s="62" t="str">
        <f t="shared" si="141"/>
        <v>-</v>
      </c>
      <c r="E278" s="62" t="str">
        <f t="shared" si="142"/>
        <v>-</v>
      </c>
      <c r="F278" s="62" t="str">
        <f t="shared" si="143"/>
        <v>-</v>
      </c>
      <c r="G278" s="62" t="str">
        <f t="shared" si="144"/>
        <v>-</v>
      </c>
      <c r="P278" s="62" t="str">
        <f t="shared" si="145"/>
        <v>-</v>
      </c>
      <c r="Q278" s="62" t="str">
        <f t="shared" si="146"/>
        <v>-</v>
      </c>
      <c r="R278" s="62" t="str">
        <f t="shared" si="147"/>
        <v>-</v>
      </c>
      <c r="S278" s="62" t="str">
        <f t="shared" si="148"/>
        <v>-</v>
      </c>
      <c r="T278" s="62" t="str">
        <f t="shared" si="149"/>
        <v>-</v>
      </c>
      <c r="V278" s="32">
        <f t="shared" si="150"/>
        <v>6</v>
      </c>
      <c r="Z278" s="25">
        <v>1</v>
      </c>
      <c r="AA278" s="54">
        <f t="shared" si="151"/>
        <v>0</v>
      </c>
      <c r="AB278" s="54">
        <f t="shared" si="152"/>
        <v>0</v>
      </c>
      <c r="AC278" s="54">
        <f t="shared" si="153"/>
        <v>0</v>
      </c>
      <c r="AD278" s="54">
        <f t="shared" si="154"/>
        <v>0</v>
      </c>
      <c r="AE278" s="54">
        <f t="shared" si="155"/>
        <v>0</v>
      </c>
      <c r="AG278" s="32">
        <f t="shared" si="156"/>
        <v>5</v>
      </c>
      <c r="AK278" s="25">
        <v>1</v>
      </c>
      <c r="AL278" s="54">
        <f t="shared" si="157"/>
        <v>0</v>
      </c>
      <c r="AM278" s="54">
        <f t="shared" si="158"/>
        <v>0</v>
      </c>
      <c r="AN278" s="54">
        <f t="shared" si="159"/>
        <v>0</v>
      </c>
      <c r="AO278" s="54">
        <f t="shared" si="160"/>
        <v>0</v>
      </c>
      <c r="AP278" s="54">
        <f t="shared" si="161"/>
        <v>0</v>
      </c>
      <c r="AR278" s="32">
        <f t="shared" si="162"/>
        <v>4</v>
      </c>
      <c r="AV278" s="25">
        <v>1</v>
      </c>
      <c r="AW278" s="54">
        <f t="shared" si="163"/>
        <v>0</v>
      </c>
      <c r="AX278" s="54">
        <f t="shared" si="164"/>
        <v>0</v>
      </c>
      <c r="AY278" s="54">
        <f t="shared" si="165"/>
        <v>0</v>
      </c>
      <c r="AZ278" s="54">
        <f t="shared" si="166"/>
        <v>0</v>
      </c>
      <c r="BA278" s="54">
        <f t="shared" si="167"/>
        <v>0</v>
      </c>
      <c r="BC278" s="32">
        <f t="shared" si="168"/>
        <v>3</v>
      </c>
      <c r="BG278" s="25">
        <v>1</v>
      </c>
      <c r="BH278" s="54">
        <f t="shared" si="169"/>
        <v>0</v>
      </c>
      <c r="BI278" s="54">
        <f t="shared" si="170"/>
        <v>0</v>
      </c>
      <c r="BJ278" s="54">
        <f t="shared" si="171"/>
        <v>0</v>
      </c>
      <c r="BK278" s="54">
        <f t="shared" si="172"/>
        <v>0</v>
      </c>
      <c r="BL278" s="54">
        <f t="shared" si="173"/>
        <v>0</v>
      </c>
      <c r="BN278" s="25">
        <f t="shared" si="174"/>
        <v>1</v>
      </c>
      <c r="BS278" s="39"/>
      <c r="BT278" s="39"/>
      <c r="BU278" s="39"/>
      <c r="BV278" s="39"/>
      <c r="BW278" s="39"/>
    </row>
    <row r="279" spans="3:75" x14ac:dyDescent="0.25">
      <c r="C279" s="62" t="str">
        <f t="shared" si="140"/>
        <v>-</v>
      </c>
      <c r="D279" s="62" t="str">
        <f t="shared" si="141"/>
        <v>-</v>
      </c>
      <c r="E279" s="62" t="str">
        <f t="shared" si="142"/>
        <v>-</v>
      </c>
      <c r="F279" s="62" t="str">
        <f t="shared" si="143"/>
        <v>-</v>
      </c>
      <c r="G279" s="62" t="str">
        <f t="shared" si="144"/>
        <v>-</v>
      </c>
      <c r="P279" s="62" t="str">
        <f t="shared" si="145"/>
        <v>-</v>
      </c>
      <c r="Q279" s="62" t="str">
        <f t="shared" si="146"/>
        <v>-</v>
      </c>
      <c r="R279" s="62" t="str">
        <f t="shared" si="147"/>
        <v>-</v>
      </c>
      <c r="S279" s="62" t="str">
        <f t="shared" si="148"/>
        <v>-</v>
      </c>
      <c r="T279" s="62" t="str">
        <f t="shared" si="149"/>
        <v>-</v>
      </c>
      <c r="V279" s="32">
        <f t="shared" si="150"/>
        <v>6</v>
      </c>
      <c r="Z279" s="25">
        <v>1</v>
      </c>
      <c r="AA279" s="54">
        <f t="shared" si="151"/>
        <v>0</v>
      </c>
      <c r="AB279" s="54">
        <f t="shared" si="152"/>
        <v>0</v>
      </c>
      <c r="AC279" s="54">
        <f t="shared" si="153"/>
        <v>0</v>
      </c>
      <c r="AD279" s="54">
        <f t="shared" si="154"/>
        <v>0</v>
      </c>
      <c r="AE279" s="54">
        <f t="shared" si="155"/>
        <v>0</v>
      </c>
      <c r="AG279" s="32">
        <f t="shared" si="156"/>
        <v>5</v>
      </c>
      <c r="AK279" s="25">
        <v>1</v>
      </c>
      <c r="AL279" s="54">
        <f t="shared" si="157"/>
        <v>0</v>
      </c>
      <c r="AM279" s="54">
        <f t="shared" si="158"/>
        <v>0</v>
      </c>
      <c r="AN279" s="54">
        <f t="shared" si="159"/>
        <v>0</v>
      </c>
      <c r="AO279" s="54">
        <f t="shared" si="160"/>
        <v>0</v>
      </c>
      <c r="AP279" s="54">
        <f t="shared" si="161"/>
        <v>0</v>
      </c>
      <c r="AR279" s="32">
        <f t="shared" si="162"/>
        <v>4</v>
      </c>
      <c r="AV279" s="25">
        <v>1</v>
      </c>
      <c r="AW279" s="54">
        <f t="shared" si="163"/>
        <v>0</v>
      </c>
      <c r="AX279" s="54">
        <f t="shared" si="164"/>
        <v>0</v>
      </c>
      <c r="AY279" s="54">
        <f t="shared" si="165"/>
        <v>0</v>
      </c>
      <c r="AZ279" s="54">
        <f t="shared" si="166"/>
        <v>0</v>
      </c>
      <c r="BA279" s="54">
        <f t="shared" si="167"/>
        <v>0</v>
      </c>
      <c r="BC279" s="32">
        <f t="shared" si="168"/>
        <v>3</v>
      </c>
      <c r="BG279" s="25">
        <v>1</v>
      </c>
      <c r="BH279" s="54">
        <f t="shared" si="169"/>
        <v>0</v>
      </c>
      <c r="BI279" s="54">
        <f t="shared" si="170"/>
        <v>0</v>
      </c>
      <c r="BJ279" s="54">
        <f t="shared" si="171"/>
        <v>0</v>
      </c>
      <c r="BK279" s="54">
        <f t="shared" si="172"/>
        <v>0</v>
      </c>
      <c r="BL279" s="54">
        <f t="shared" si="173"/>
        <v>0</v>
      </c>
      <c r="BN279" s="25">
        <f t="shared" si="174"/>
        <v>1</v>
      </c>
      <c r="BS279" s="39"/>
      <c r="BT279" s="39"/>
      <c r="BU279" s="39"/>
      <c r="BV279" s="39"/>
      <c r="BW279" s="39"/>
    </row>
    <row r="280" spans="3:75" x14ac:dyDescent="0.25">
      <c r="C280" s="62" t="str">
        <f t="shared" si="140"/>
        <v>-</v>
      </c>
      <c r="D280" s="62" t="str">
        <f t="shared" si="141"/>
        <v>-</v>
      </c>
      <c r="E280" s="62" t="str">
        <f t="shared" si="142"/>
        <v>-</v>
      </c>
      <c r="F280" s="62" t="str">
        <f t="shared" si="143"/>
        <v>-</v>
      </c>
      <c r="G280" s="62" t="str">
        <f t="shared" si="144"/>
        <v>-</v>
      </c>
      <c r="P280" s="62" t="str">
        <f t="shared" si="145"/>
        <v>-</v>
      </c>
      <c r="Q280" s="62" t="str">
        <f t="shared" si="146"/>
        <v>-</v>
      </c>
      <c r="R280" s="62" t="str">
        <f t="shared" si="147"/>
        <v>-</v>
      </c>
      <c r="S280" s="62" t="str">
        <f t="shared" si="148"/>
        <v>-</v>
      </c>
      <c r="T280" s="62" t="str">
        <f t="shared" si="149"/>
        <v>-</v>
      </c>
      <c r="V280" s="32">
        <f t="shared" si="150"/>
        <v>6</v>
      </c>
      <c r="Z280" s="25">
        <v>1</v>
      </c>
      <c r="AA280" s="54">
        <f t="shared" si="151"/>
        <v>0</v>
      </c>
      <c r="AB280" s="54">
        <f t="shared" si="152"/>
        <v>0</v>
      </c>
      <c r="AC280" s="54">
        <f t="shared" si="153"/>
        <v>0</v>
      </c>
      <c r="AD280" s="54">
        <f t="shared" si="154"/>
        <v>0</v>
      </c>
      <c r="AE280" s="54">
        <f t="shared" si="155"/>
        <v>0</v>
      </c>
      <c r="AG280" s="32">
        <f t="shared" si="156"/>
        <v>5</v>
      </c>
      <c r="AK280" s="25">
        <v>1</v>
      </c>
      <c r="AL280" s="54">
        <f t="shared" si="157"/>
        <v>0</v>
      </c>
      <c r="AM280" s="54">
        <f t="shared" si="158"/>
        <v>0</v>
      </c>
      <c r="AN280" s="54">
        <f t="shared" si="159"/>
        <v>0</v>
      </c>
      <c r="AO280" s="54">
        <f t="shared" si="160"/>
        <v>0</v>
      </c>
      <c r="AP280" s="54">
        <f t="shared" si="161"/>
        <v>0</v>
      </c>
      <c r="AR280" s="32">
        <f t="shared" si="162"/>
        <v>4</v>
      </c>
      <c r="AV280" s="25">
        <v>1</v>
      </c>
      <c r="AW280" s="54">
        <f t="shared" si="163"/>
        <v>0</v>
      </c>
      <c r="AX280" s="54">
        <f t="shared" si="164"/>
        <v>0</v>
      </c>
      <c r="AY280" s="54">
        <f t="shared" si="165"/>
        <v>0</v>
      </c>
      <c r="AZ280" s="54">
        <f t="shared" si="166"/>
        <v>0</v>
      </c>
      <c r="BA280" s="54">
        <f t="shared" si="167"/>
        <v>0</v>
      </c>
      <c r="BC280" s="32">
        <f t="shared" si="168"/>
        <v>3</v>
      </c>
      <c r="BG280" s="25">
        <v>1</v>
      </c>
      <c r="BH280" s="54">
        <f t="shared" si="169"/>
        <v>0</v>
      </c>
      <c r="BI280" s="54">
        <f t="shared" si="170"/>
        <v>0</v>
      </c>
      <c r="BJ280" s="54">
        <f t="shared" si="171"/>
        <v>0</v>
      </c>
      <c r="BK280" s="54">
        <f t="shared" si="172"/>
        <v>0</v>
      </c>
      <c r="BL280" s="54">
        <f t="shared" si="173"/>
        <v>0</v>
      </c>
      <c r="BN280" s="25">
        <f t="shared" si="174"/>
        <v>1</v>
      </c>
      <c r="BS280" s="39"/>
      <c r="BT280" s="39"/>
      <c r="BU280" s="39"/>
      <c r="BV280" s="39"/>
      <c r="BW280" s="39"/>
    </row>
    <row r="281" spans="3:75" x14ac:dyDescent="0.25">
      <c r="C281" s="62" t="str">
        <f t="shared" si="140"/>
        <v>-</v>
      </c>
      <c r="D281" s="62" t="str">
        <f t="shared" si="141"/>
        <v>-</v>
      </c>
      <c r="E281" s="62" t="str">
        <f t="shared" si="142"/>
        <v>-</v>
      </c>
      <c r="F281" s="62" t="str">
        <f t="shared" si="143"/>
        <v>-</v>
      </c>
      <c r="G281" s="62" t="str">
        <f t="shared" si="144"/>
        <v>-</v>
      </c>
      <c r="P281" s="62" t="str">
        <f t="shared" si="145"/>
        <v>-</v>
      </c>
      <c r="Q281" s="62" t="str">
        <f t="shared" si="146"/>
        <v>-</v>
      </c>
      <c r="R281" s="62" t="str">
        <f t="shared" si="147"/>
        <v>-</v>
      </c>
      <c r="S281" s="62" t="str">
        <f t="shared" si="148"/>
        <v>-</v>
      </c>
      <c r="T281" s="62" t="str">
        <f t="shared" si="149"/>
        <v>-</v>
      </c>
      <c r="V281" s="32">
        <f t="shared" si="150"/>
        <v>6</v>
      </c>
      <c r="Z281" s="25">
        <v>1</v>
      </c>
      <c r="AA281" s="54">
        <f t="shared" si="151"/>
        <v>0</v>
      </c>
      <c r="AB281" s="54">
        <f t="shared" si="152"/>
        <v>0</v>
      </c>
      <c r="AC281" s="54">
        <f t="shared" si="153"/>
        <v>0</v>
      </c>
      <c r="AD281" s="54">
        <f t="shared" si="154"/>
        <v>0</v>
      </c>
      <c r="AE281" s="54">
        <f t="shared" si="155"/>
        <v>0</v>
      </c>
      <c r="AG281" s="32">
        <f t="shared" si="156"/>
        <v>5</v>
      </c>
      <c r="AK281" s="25">
        <v>1</v>
      </c>
      <c r="AL281" s="54">
        <f t="shared" si="157"/>
        <v>0</v>
      </c>
      <c r="AM281" s="54">
        <f t="shared" si="158"/>
        <v>0</v>
      </c>
      <c r="AN281" s="54">
        <f t="shared" si="159"/>
        <v>0</v>
      </c>
      <c r="AO281" s="54">
        <f t="shared" si="160"/>
        <v>0</v>
      </c>
      <c r="AP281" s="54">
        <f t="shared" si="161"/>
        <v>0</v>
      </c>
      <c r="AR281" s="32">
        <f t="shared" si="162"/>
        <v>4</v>
      </c>
      <c r="AV281" s="25">
        <v>1</v>
      </c>
      <c r="AW281" s="54">
        <f t="shared" si="163"/>
        <v>0</v>
      </c>
      <c r="AX281" s="54">
        <f t="shared" si="164"/>
        <v>0</v>
      </c>
      <c r="AY281" s="54">
        <f t="shared" si="165"/>
        <v>0</v>
      </c>
      <c r="AZ281" s="54">
        <f t="shared" si="166"/>
        <v>0</v>
      </c>
      <c r="BA281" s="54">
        <f t="shared" si="167"/>
        <v>0</v>
      </c>
      <c r="BC281" s="32">
        <f t="shared" si="168"/>
        <v>3</v>
      </c>
      <c r="BG281" s="25">
        <v>1</v>
      </c>
      <c r="BH281" s="54">
        <f t="shared" si="169"/>
        <v>0</v>
      </c>
      <c r="BI281" s="54">
        <f t="shared" si="170"/>
        <v>0</v>
      </c>
      <c r="BJ281" s="54">
        <f t="shared" si="171"/>
        <v>0</v>
      </c>
      <c r="BK281" s="54">
        <f t="shared" si="172"/>
        <v>0</v>
      </c>
      <c r="BL281" s="54">
        <f t="shared" si="173"/>
        <v>0</v>
      </c>
      <c r="BN281" s="25">
        <f t="shared" si="174"/>
        <v>1</v>
      </c>
      <c r="BS281" s="39"/>
      <c r="BT281" s="39"/>
      <c r="BU281" s="39"/>
      <c r="BV281" s="39"/>
      <c r="BW281" s="39"/>
    </row>
    <row r="282" spans="3:75" x14ac:dyDescent="0.25">
      <c r="C282" s="62" t="str">
        <f t="shared" si="140"/>
        <v>-</v>
      </c>
      <c r="D282" s="62" t="str">
        <f t="shared" si="141"/>
        <v>-</v>
      </c>
      <c r="E282" s="62" t="str">
        <f t="shared" si="142"/>
        <v>-</v>
      </c>
      <c r="F282" s="62" t="str">
        <f t="shared" si="143"/>
        <v>-</v>
      </c>
      <c r="G282" s="62" t="str">
        <f t="shared" si="144"/>
        <v>-</v>
      </c>
      <c r="P282" s="62" t="str">
        <f t="shared" si="145"/>
        <v>-</v>
      </c>
      <c r="Q282" s="62" t="str">
        <f t="shared" si="146"/>
        <v>-</v>
      </c>
      <c r="R282" s="62" t="str">
        <f t="shared" si="147"/>
        <v>-</v>
      </c>
      <c r="S282" s="62" t="str">
        <f t="shared" si="148"/>
        <v>-</v>
      </c>
      <c r="T282" s="62" t="str">
        <f t="shared" si="149"/>
        <v>-</v>
      </c>
      <c r="V282" s="32">
        <f t="shared" si="150"/>
        <v>6</v>
      </c>
      <c r="Z282" s="25">
        <v>1</v>
      </c>
      <c r="AA282" s="54">
        <f t="shared" si="151"/>
        <v>0</v>
      </c>
      <c r="AB282" s="54">
        <f t="shared" si="152"/>
        <v>0</v>
      </c>
      <c r="AC282" s="54">
        <f t="shared" si="153"/>
        <v>0</v>
      </c>
      <c r="AD282" s="54">
        <f t="shared" si="154"/>
        <v>0</v>
      </c>
      <c r="AE282" s="54">
        <f t="shared" si="155"/>
        <v>0</v>
      </c>
      <c r="AG282" s="32">
        <f t="shared" si="156"/>
        <v>5</v>
      </c>
      <c r="AK282" s="25">
        <v>1</v>
      </c>
      <c r="AL282" s="54">
        <f t="shared" si="157"/>
        <v>0</v>
      </c>
      <c r="AM282" s="54">
        <f t="shared" si="158"/>
        <v>0</v>
      </c>
      <c r="AN282" s="54">
        <f t="shared" si="159"/>
        <v>0</v>
      </c>
      <c r="AO282" s="54">
        <f t="shared" si="160"/>
        <v>0</v>
      </c>
      <c r="AP282" s="54">
        <f t="shared" si="161"/>
        <v>0</v>
      </c>
      <c r="AR282" s="32">
        <f t="shared" si="162"/>
        <v>4</v>
      </c>
      <c r="AV282" s="25">
        <v>1</v>
      </c>
      <c r="AW282" s="54">
        <f t="shared" si="163"/>
        <v>0</v>
      </c>
      <c r="AX282" s="54">
        <f t="shared" si="164"/>
        <v>0</v>
      </c>
      <c r="AY282" s="54">
        <f t="shared" si="165"/>
        <v>0</v>
      </c>
      <c r="AZ282" s="54">
        <f t="shared" si="166"/>
        <v>0</v>
      </c>
      <c r="BA282" s="54">
        <f t="shared" si="167"/>
        <v>0</v>
      </c>
      <c r="BC282" s="32">
        <f t="shared" si="168"/>
        <v>3</v>
      </c>
      <c r="BG282" s="25">
        <v>1</v>
      </c>
      <c r="BH282" s="54">
        <f t="shared" si="169"/>
        <v>0</v>
      </c>
      <c r="BI282" s="54">
        <f t="shared" si="170"/>
        <v>0</v>
      </c>
      <c r="BJ282" s="54">
        <f t="shared" si="171"/>
        <v>0</v>
      </c>
      <c r="BK282" s="54">
        <f t="shared" si="172"/>
        <v>0</v>
      </c>
      <c r="BL282" s="54">
        <f t="shared" si="173"/>
        <v>0</v>
      </c>
      <c r="BN282" s="25">
        <f t="shared" si="174"/>
        <v>1</v>
      </c>
      <c r="BS282" s="39"/>
      <c r="BT282" s="39"/>
      <c r="BU282" s="39"/>
      <c r="BV282" s="39"/>
      <c r="BW282" s="39"/>
    </row>
    <row r="283" spans="3:75" x14ac:dyDescent="0.25">
      <c r="C283" s="62" t="str">
        <f t="shared" si="140"/>
        <v>-</v>
      </c>
      <c r="D283" s="62" t="str">
        <f t="shared" si="141"/>
        <v>-</v>
      </c>
      <c r="E283" s="62" t="str">
        <f t="shared" si="142"/>
        <v>-</v>
      </c>
      <c r="F283" s="62" t="str">
        <f t="shared" si="143"/>
        <v>-</v>
      </c>
      <c r="G283" s="62" t="str">
        <f t="shared" si="144"/>
        <v>-</v>
      </c>
      <c r="P283" s="62" t="str">
        <f t="shared" si="145"/>
        <v>-</v>
      </c>
      <c r="Q283" s="62" t="str">
        <f t="shared" si="146"/>
        <v>-</v>
      </c>
      <c r="R283" s="62" t="str">
        <f t="shared" si="147"/>
        <v>-</v>
      </c>
      <c r="S283" s="62" t="str">
        <f t="shared" si="148"/>
        <v>-</v>
      </c>
      <c r="T283" s="62" t="str">
        <f t="shared" si="149"/>
        <v>-</v>
      </c>
      <c r="V283" s="32">
        <f t="shared" si="150"/>
        <v>6</v>
      </c>
      <c r="Z283" s="25">
        <v>1</v>
      </c>
      <c r="AA283" s="54">
        <f t="shared" si="151"/>
        <v>0</v>
      </c>
      <c r="AB283" s="54">
        <f t="shared" si="152"/>
        <v>0</v>
      </c>
      <c r="AC283" s="54">
        <f t="shared" si="153"/>
        <v>0</v>
      </c>
      <c r="AD283" s="54">
        <f t="shared" si="154"/>
        <v>0</v>
      </c>
      <c r="AE283" s="54">
        <f t="shared" si="155"/>
        <v>0</v>
      </c>
      <c r="AG283" s="32">
        <f t="shared" si="156"/>
        <v>5</v>
      </c>
      <c r="AK283" s="25">
        <v>1</v>
      </c>
      <c r="AL283" s="54">
        <f t="shared" si="157"/>
        <v>0</v>
      </c>
      <c r="AM283" s="54">
        <f t="shared" si="158"/>
        <v>0</v>
      </c>
      <c r="AN283" s="54">
        <f t="shared" si="159"/>
        <v>0</v>
      </c>
      <c r="AO283" s="54">
        <f t="shared" si="160"/>
        <v>0</v>
      </c>
      <c r="AP283" s="54">
        <f t="shared" si="161"/>
        <v>0</v>
      </c>
      <c r="AR283" s="32">
        <f t="shared" si="162"/>
        <v>4</v>
      </c>
      <c r="AV283" s="25">
        <v>1</v>
      </c>
      <c r="AW283" s="54">
        <f t="shared" si="163"/>
        <v>0</v>
      </c>
      <c r="AX283" s="54">
        <f t="shared" si="164"/>
        <v>0</v>
      </c>
      <c r="AY283" s="54">
        <f t="shared" si="165"/>
        <v>0</v>
      </c>
      <c r="AZ283" s="54">
        <f t="shared" si="166"/>
        <v>0</v>
      </c>
      <c r="BA283" s="54">
        <f t="shared" si="167"/>
        <v>0</v>
      </c>
      <c r="BC283" s="32">
        <f t="shared" si="168"/>
        <v>3</v>
      </c>
      <c r="BG283" s="25">
        <v>1</v>
      </c>
      <c r="BH283" s="54">
        <f t="shared" si="169"/>
        <v>0</v>
      </c>
      <c r="BI283" s="54">
        <f t="shared" si="170"/>
        <v>0</v>
      </c>
      <c r="BJ283" s="54">
        <f t="shared" si="171"/>
        <v>0</v>
      </c>
      <c r="BK283" s="54">
        <f t="shared" si="172"/>
        <v>0</v>
      </c>
      <c r="BL283" s="54">
        <f t="shared" si="173"/>
        <v>0</v>
      </c>
      <c r="BN283" s="25">
        <f t="shared" si="174"/>
        <v>1</v>
      </c>
      <c r="BS283" s="39"/>
      <c r="BT283" s="39"/>
      <c r="BU283" s="39"/>
      <c r="BV283" s="39"/>
      <c r="BW283" s="39"/>
    </row>
    <row r="284" spans="3:75" x14ac:dyDescent="0.25">
      <c r="C284" s="62" t="str">
        <f t="shared" si="140"/>
        <v>-</v>
      </c>
      <c r="D284" s="62" t="str">
        <f t="shared" si="141"/>
        <v>-</v>
      </c>
      <c r="E284" s="62" t="str">
        <f t="shared" si="142"/>
        <v>-</v>
      </c>
      <c r="F284" s="62" t="str">
        <f t="shared" si="143"/>
        <v>-</v>
      </c>
      <c r="G284" s="62" t="str">
        <f t="shared" si="144"/>
        <v>-</v>
      </c>
      <c r="P284" s="62" t="str">
        <f t="shared" si="145"/>
        <v>-</v>
      </c>
      <c r="Q284" s="62" t="str">
        <f t="shared" si="146"/>
        <v>-</v>
      </c>
      <c r="R284" s="62" t="str">
        <f t="shared" si="147"/>
        <v>-</v>
      </c>
      <c r="S284" s="62" t="str">
        <f t="shared" si="148"/>
        <v>-</v>
      </c>
      <c r="T284" s="62" t="str">
        <f t="shared" si="149"/>
        <v>-</v>
      </c>
      <c r="V284" s="32">
        <f t="shared" si="150"/>
        <v>6</v>
      </c>
      <c r="Z284" s="25">
        <v>1</v>
      </c>
      <c r="AA284" s="54">
        <f t="shared" si="151"/>
        <v>0</v>
      </c>
      <c r="AB284" s="54">
        <f t="shared" si="152"/>
        <v>0</v>
      </c>
      <c r="AC284" s="54">
        <f t="shared" si="153"/>
        <v>0</v>
      </c>
      <c r="AD284" s="54">
        <f t="shared" si="154"/>
        <v>0</v>
      </c>
      <c r="AE284" s="54">
        <f t="shared" si="155"/>
        <v>0</v>
      </c>
      <c r="AG284" s="32">
        <f t="shared" si="156"/>
        <v>5</v>
      </c>
      <c r="AK284" s="25">
        <v>1</v>
      </c>
      <c r="AL284" s="54">
        <f t="shared" si="157"/>
        <v>0</v>
      </c>
      <c r="AM284" s="54">
        <f t="shared" si="158"/>
        <v>0</v>
      </c>
      <c r="AN284" s="54">
        <f t="shared" si="159"/>
        <v>0</v>
      </c>
      <c r="AO284" s="54">
        <f t="shared" si="160"/>
        <v>0</v>
      </c>
      <c r="AP284" s="54">
        <f t="shared" si="161"/>
        <v>0</v>
      </c>
      <c r="AR284" s="32">
        <f t="shared" si="162"/>
        <v>4</v>
      </c>
      <c r="AV284" s="25">
        <v>1</v>
      </c>
      <c r="AW284" s="54">
        <f t="shared" si="163"/>
        <v>0</v>
      </c>
      <c r="AX284" s="54">
        <f t="shared" si="164"/>
        <v>0</v>
      </c>
      <c r="AY284" s="54">
        <f t="shared" si="165"/>
        <v>0</v>
      </c>
      <c r="AZ284" s="54">
        <f t="shared" si="166"/>
        <v>0</v>
      </c>
      <c r="BA284" s="54">
        <f t="shared" si="167"/>
        <v>0</v>
      </c>
      <c r="BC284" s="32">
        <f t="shared" si="168"/>
        <v>3</v>
      </c>
      <c r="BG284" s="25">
        <v>1</v>
      </c>
      <c r="BH284" s="54">
        <f t="shared" si="169"/>
        <v>0</v>
      </c>
      <c r="BI284" s="54">
        <f t="shared" si="170"/>
        <v>0</v>
      </c>
      <c r="BJ284" s="54">
        <f t="shared" si="171"/>
        <v>0</v>
      </c>
      <c r="BK284" s="54">
        <f t="shared" si="172"/>
        <v>0</v>
      </c>
      <c r="BL284" s="54">
        <f t="shared" si="173"/>
        <v>0</v>
      </c>
      <c r="BN284" s="25">
        <f t="shared" si="174"/>
        <v>1</v>
      </c>
      <c r="BS284" s="39"/>
      <c r="BT284" s="39"/>
      <c r="BU284" s="39"/>
      <c r="BV284" s="39"/>
      <c r="BW284" s="39"/>
    </row>
    <row r="285" spans="3:75" x14ac:dyDescent="0.25">
      <c r="C285" s="62" t="str">
        <f t="shared" si="140"/>
        <v>-</v>
      </c>
      <c r="D285" s="62" t="str">
        <f t="shared" si="141"/>
        <v>-</v>
      </c>
      <c r="E285" s="62" t="str">
        <f t="shared" si="142"/>
        <v>-</v>
      </c>
      <c r="F285" s="62" t="str">
        <f t="shared" si="143"/>
        <v>-</v>
      </c>
      <c r="G285" s="62" t="str">
        <f t="shared" si="144"/>
        <v>-</v>
      </c>
      <c r="P285" s="62" t="str">
        <f t="shared" si="145"/>
        <v>-</v>
      </c>
      <c r="Q285" s="62" t="str">
        <f t="shared" si="146"/>
        <v>-</v>
      </c>
      <c r="R285" s="62" t="str">
        <f t="shared" si="147"/>
        <v>-</v>
      </c>
      <c r="S285" s="62" t="str">
        <f t="shared" si="148"/>
        <v>-</v>
      </c>
      <c r="T285" s="62" t="str">
        <f t="shared" si="149"/>
        <v>-</v>
      </c>
      <c r="V285" s="32">
        <f t="shared" si="150"/>
        <v>6</v>
      </c>
      <c r="Z285" s="25">
        <v>1</v>
      </c>
      <c r="AA285" s="54">
        <f t="shared" si="151"/>
        <v>0</v>
      </c>
      <c r="AB285" s="54">
        <f t="shared" si="152"/>
        <v>0</v>
      </c>
      <c r="AC285" s="54">
        <f t="shared" si="153"/>
        <v>0</v>
      </c>
      <c r="AD285" s="54">
        <f t="shared" si="154"/>
        <v>0</v>
      </c>
      <c r="AE285" s="54">
        <f t="shared" si="155"/>
        <v>0</v>
      </c>
      <c r="AG285" s="32">
        <f t="shared" si="156"/>
        <v>5</v>
      </c>
      <c r="AK285" s="25">
        <v>1</v>
      </c>
      <c r="AL285" s="54">
        <f t="shared" si="157"/>
        <v>0</v>
      </c>
      <c r="AM285" s="54">
        <f t="shared" si="158"/>
        <v>0</v>
      </c>
      <c r="AN285" s="54">
        <f t="shared" si="159"/>
        <v>0</v>
      </c>
      <c r="AO285" s="54">
        <f t="shared" si="160"/>
        <v>0</v>
      </c>
      <c r="AP285" s="54">
        <f t="shared" si="161"/>
        <v>0</v>
      </c>
      <c r="AR285" s="32">
        <f t="shared" si="162"/>
        <v>4</v>
      </c>
      <c r="AV285" s="25">
        <v>1</v>
      </c>
      <c r="AW285" s="54">
        <f t="shared" si="163"/>
        <v>0</v>
      </c>
      <c r="AX285" s="54">
        <f t="shared" si="164"/>
        <v>0</v>
      </c>
      <c r="AY285" s="54">
        <f t="shared" si="165"/>
        <v>0</v>
      </c>
      <c r="AZ285" s="54">
        <f t="shared" si="166"/>
        <v>0</v>
      </c>
      <c r="BA285" s="54">
        <f t="shared" si="167"/>
        <v>0</v>
      </c>
      <c r="BC285" s="32">
        <f t="shared" si="168"/>
        <v>3</v>
      </c>
      <c r="BG285" s="25">
        <v>1</v>
      </c>
      <c r="BH285" s="54">
        <f t="shared" si="169"/>
        <v>0</v>
      </c>
      <c r="BI285" s="54">
        <f t="shared" si="170"/>
        <v>0</v>
      </c>
      <c r="BJ285" s="54">
        <f t="shared" si="171"/>
        <v>0</v>
      </c>
      <c r="BK285" s="54">
        <f t="shared" si="172"/>
        <v>0</v>
      </c>
      <c r="BL285" s="54">
        <f t="shared" si="173"/>
        <v>0</v>
      </c>
      <c r="BN285" s="25">
        <f t="shared" si="174"/>
        <v>1</v>
      </c>
      <c r="BS285" s="39"/>
      <c r="BT285" s="39"/>
      <c r="BU285" s="39"/>
      <c r="BV285" s="39"/>
      <c r="BW285" s="39"/>
    </row>
    <row r="286" spans="3:75" x14ac:dyDescent="0.25">
      <c r="C286" s="62" t="str">
        <f t="shared" si="140"/>
        <v>-</v>
      </c>
      <c r="D286" s="62" t="str">
        <f t="shared" si="141"/>
        <v>-</v>
      </c>
      <c r="E286" s="62" t="str">
        <f t="shared" si="142"/>
        <v>-</v>
      </c>
      <c r="F286" s="62" t="str">
        <f t="shared" si="143"/>
        <v>-</v>
      </c>
      <c r="G286" s="62" t="str">
        <f t="shared" si="144"/>
        <v>-</v>
      </c>
      <c r="P286" s="62" t="str">
        <f t="shared" si="145"/>
        <v>-</v>
      </c>
      <c r="Q286" s="62" t="str">
        <f t="shared" si="146"/>
        <v>-</v>
      </c>
      <c r="R286" s="62" t="str">
        <f t="shared" si="147"/>
        <v>-</v>
      </c>
      <c r="S286" s="62" t="str">
        <f t="shared" si="148"/>
        <v>-</v>
      </c>
      <c r="T286" s="62" t="str">
        <f t="shared" si="149"/>
        <v>-</v>
      </c>
      <c r="V286" s="32">
        <f t="shared" si="150"/>
        <v>6</v>
      </c>
      <c r="Z286" s="25">
        <v>1</v>
      </c>
      <c r="AA286" s="54">
        <f t="shared" si="151"/>
        <v>0</v>
      </c>
      <c r="AB286" s="54">
        <f t="shared" si="152"/>
        <v>0</v>
      </c>
      <c r="AC286" s="54">
        <f t="shared" si="153"/>
        <v>0</v>
      </c>
      <c r="AD286" s="54">
        <f t="shared" si="154"/>
        <v>0</v>
      </c>
      <c r="AE286" s="54">
        <f t="shared" si="155"/>
        <v>0</v>
      </c>
      <c r="AG286" s="32">
        <f t="shared" si="156"/>
        <v>5</v>
      </c>
      <c r="AK286" s="25">
        <v>1</v>
      </c>
      <c r="AL286" s="54">
        <f t="shared" si="157"/>
        <v>0</v>
      </c>
      <c r="AM286" s="54">
        <f t="shared" si="158"/>
        <v>0</v>
      </c>
      <c r="AN286" s="54">
        <f t="shared" si="159"/>
        <v>0</v>
      </c>
      <c r="AO286" s="54">
        <f t="shared" si="160"/>
        <v>0</v>
      </c>
      <c r="AP286" s="54">
        <f t="shared" si="161"/>
        <v>0</v>
      </c>
      <c r="AR286" s="32">
        <f t="shared" si="162"/>
        <v>4</v>
      </c>
      <c r="AV286" s="25">
        <v>1</v>
      </c>
      <c r="AW286" s="54">
        <f t="shared" si="163"/>
        <v>0</v>
      </c>
      <c r="AX286" s="54">
        <f t="shared" si="164"/>
        <v>0</v>
      </c>
      <c r="AY286" s="54">
        <f t="shared" si="165"/>
        <v>0</v>
      </c>
      <c r="AZ286" s="54">
        <f t="shared" si="166"/>
        <v>0</v>
      </c>
      <c r="BA286" s="54">
        <f t="shared" si="167"/>
        <v>0</v>
      </c>
      <c r="BC286" s="32">
        <f t="shared" si="168"/>
        <v>3</v>
      </c>
      <c r="BG286" s="25">
        <v>1</v>
      </c>
      <c r="BH286" s="54">
        <f t="shared" si="169"/>
        <v>0</v>
      </c>
      <c r="BI286" s="54">
        <f t="shared" si="170"/>
        <v>0</v>
      </c>
      <c r="BJ286" s="54">
        <f t="shared" si="171"/>
        <v>0</v>
      </c>
      <c r="BK286" s="54">
        <f t="shared" si="172"/>
        <v>0</v>
      </c>
      <c r="BL286" s="54">
        <f t="shared" si="173"/>
        <v>0</v>
      </c>
      <c r="BN286" s="25">
        <f t="shared" si="174"/>
        <v>1</v>
      </c>
      <c r="BS286" s="39"/>
      <c r="BT286" s="39"/>
      <c r="BU286" s="39"/>
      <c r="BV286" s="39"/>
      <c r="BW286" s="39"/>
    </row>
    <row r="287" spans="3:75" x14ac:dyDescent="0.25">
      <c r="C287" s="62" t="str">
        <f t="shared" si="140"/>
        <v>-</v>
      </c>
      <c r="D287" s="62" t="str">
        <f t="shared" si="141"/>
        <v>-</v>
      </c>
      <c r="E287" s="62" t="str">
        <f t="shared" si="142"/>
        <v>-</v>
      </c>
      <c r="F287" s="62" t="str">
        <f t="shared" si="143"/>
        <v>-</v>
      </c>
      <c r="G287" s="62" t="str">
        <f t="shared" si="144"/>
        <v>-</v>
      </c>
      <c r="P287" s="62" t="str">
        <f t="shared" si="145"/>
        <v>-</v>
      </c>
      <c r="Q287" s="62" t="str">
        <f t="shared" si="146"/>
        <v>-</v>
      </c>
      <c r="R287" s="62" t="str">
        <f t="shared" si="147"/>
        <v>-</v>
      </c>
      <c r="S287" s="62" t="str">
        <f t="shared" si="148"/>
        <v>-</v>
      </c>
      <c r="T287" s="62" t="str">
        <f t="shared" si="149"/>
        <v>-</v>
      </c>
      <c r="V287" s="32">
        <f t="shared" si="150"/>
        <v>6</v>
      </c>
      <c r="Z287" s="25">
        <v>1</v>
      </c>
      <c r="AA287" s="54">
        <f t="shared" si="151"/>
        <v>0</v>
      </c>
      <c r="AB287" s="54">
        <f t="shared" si="152"/>
        <v>0</v>
      </c>
      <c r="AC287" s="54">
        <f t="shared" si="153"/>
        <v>0</v>
      </c>
      <c r="AD287" s="54">
        <f t="shared" si="154"/>
        <v>0</v>
      </c>
      <c r="AE287" s="54">
        <f t="shared" si="155"/>
        <v>0</v>
      </c>
      <c r="AG287" s="32">
        <f t="shared" si="156"/>
        <v>5</v>
      </c>
      <c r="AK287" s="25">
        <v>1</v>
      </c>
      <c r="AL287" s="54">
        <f t="shared" si="157"/>
        <v>0</v>
      </c>
      <c r="AM287" s="54">
        <f t="shared" si="158"/>
        <v>0</v>
      </c>
      <c r="AN287" s="54">
        <f t="shared" si="159"/>
        <v>0</v>
      </c>
      <c r="AO287" s="54">
        <f t="shared" si="160"/>
        <v>0</v>
      </c>
      <c r="AP287" s="54">
        <f t="shared" si="161"/>
        <v>0</v>
      </c>
      <c r="AR287" s="32">
        <f t="shared" si="162"/>
        <v>4</v>
      </c>
      <c r="AV287" s="25">
        <v>1</v>
      </c>
      <c r="AW287" s="54">
        <f t="shared" si="163"/>
        <v>0</v>
      </c>
      <c r="AX287" s="54">
        <f t="shared" si="164"/>
        <v>0</v>
      </c>
      <c r="AY287" s="54">
        <f t="shared" si="165"/>
        <v>0</v>
      </c>
      <c r="AZ287" s="54">
        <f t="shared" si="166"/>
        <v>0</v>
      </c>
      <c r="BA287" s="54">
        <f t="shared" si="167"/>
        <v>0</v>
      </c>
      <c r="BC287" s="32">
        <f t="shared" si="168"/>
        <v>3</v>
      </c>
      <c r="BG287" s="25">
        <v>1</v>
      </c>
      <c r="BH287" s="54">
        <f t="shared" si="169"/>
        <v>0</v>
      </c>
      <c r="BI287" s="54">
        <f t="shared" si="170"/>
        <v>0</v>
      </c>
      <c r="BJ287" s="54">
        <f t="shared" si="171"/>
        <v>0</v>
      </c>
      <c r="BK287" s="54">
        <f t="shared" si="172"/>
        <v>0</v>
      </c>
      <c r="BL287" s="54">
        <f t="shared" si="173"/>
        <v>0</v>
      </c>
      <c r="BN287" s="25">
        <f t="shared" si="174"/>
        <v>1</v>
      </c>
      <c r="BS287" s="39"/>
      <c r="BT287" s="39"/>
      <c r="BU287" s="39"/>
      <c r="BV287" s="39"/>
      <c r="BW287" s="39"/>
    </row>
    <row r="288" spans="3:75" x14ac:dyDescent="0.25">
      <c r="C288" s="62" t="str">
        <f t="shared" si="140"/>
        <v>-</v>
      </c>
      <c r="D288" s="62" t="str">
        <f t="shared" si="141"/>
        <v>-</v>
      </c>
      <c r="E288" s="62" t="str">
        <f t="shared" si="142"/>
        <v>-</v>
      </c>
      <c r="F288" s="62" t="str">
        <f t="shared" si="143"/>
        <v>-</v>
      </c>
      <c r="G288" s="62" t="str">
        <f t="shared" si="144"/>
        <v>-</v>
      </c>
      <c r="P288" s="62" t="str">
        <f t="shared" si="145"/>
        <v>-</v>
      </c>
      <c r="Q288" s="62" t="str">
        <f t="shared" si="146"/>
        <v>-</v>
      </c>
      <c r="R288" s="62" t="str">
        <f t="shared" si="147"/>
        <v>-</v>
      </c>
      <c r="S288" s="62" t="str">
        <f t="shared" si="148"/>
        <v>-</v>
      </c>
      <c r="T288" s="62" t="str">
        <f t="shared" si="149"/>
        <v>-</v>
      </c>
      <c r="V288" s="32">
        <f t="shared" si="150"/>
        <v>6</v>
      </c>
      <c r="Z288" s="25">
        <v>1</v>
      </c>
      <c r="AA288" s="54">
        <f t="shared" si="151"/>
        <v>0</v>
      </c>
      <c r="AB288" s="54">
        <f t="shared" si="152"/>
        <v>0</v>
      </c>
      <c r="AC288" s="54">
        <f t="shared" si="153"/>
        <v>0</v>
      </c>
      <c r="AD288" s="54">
        <f t="shared" si="154"/>
        <v>0</v>
      </c>
      <c r="AE288" s="54">
        <f t="shared" si="155"/>
        <v>0</v>
      </c>
      <c r="AG288" s="32">
        <f t="shared" si="156"/>
        <v>5</v>
      </c>
      <c r="AK288" s="25">
        <v>1</v>
      </c>
      <c r="AL288" s="54">
        <f t="shared" si="157"/>
        <v>0</v>
      </c>
      <c r="AM288" s="54">
        <f t="shared" si="158"/>
        <v>0</v>
      </c>
      <c r="AN288" s="54">
        <f t="shared" si="159"/>
        <v>0</v>
      </c>
      <c r="AO288" s="54">
        <f t="shared" si="160"/>
        <v>0</v>
      </c>
      <c r="AP288" s="54">
        <f t="shared" si="161"/>
        <v>0</v>
      </c>
      <c r="AR288" s="32">
        <f t="shared" si="162"/>
        <v>4</v>
      </c>
      <c r="AV288" s="25">
        <v>1</v>
      </c>
      <c r="AW288" s="54">
        <f t="shared" si="163"/>
        <v>0</v>
      </c>
      <c r="AX288" s="54">
        <f t="shared" si="164"/>
        <v>0</v>
      </c>
      <c r="AY288" s="54">
        <f t="shared" si="165"/>
        <v>0</v>
      </c>
      <c r="AZ288" s="54">
        <f t="shared" si="166"/>
        <v>0</v>
      </c>
      <c r="BA288" s="54">
        <f t="shared" si="167"/>
        <v>0</v>
      </c>
      <c r="BC288" s="32">
        <f t="shared" si="168"/>
        <v>3</v>
      </c>
      <c r="BG288" s="25">
        <v>1</v>
      </c>
      <c r="BH288" s="54">
        <f t="shared" si="169"/>
        <v>0</v>
      </c>
      <c r="BI288" s="54">
        <f t="shared" si="170"/>
        <v>0</v>
      </c>
      <c r="BJ288" s="54">
        <f t="shared" si="171"/>
        <v>0</v>
      </c>
      <c r="BK288" s="54">
        <f t="shared" si="172"/>
        <v>0</v>
      </c>
      <c r="BL288" s="54">
        <f t="shared" si="173"/>
        <v>0</v>
      </c>
      <c r="BN288" s="25">
        <f t="shared" si="174"/>
        <v>1</v>
      </c>
      <c r="BS288" s="39"/>
      <c r="BT288" s="39"/>
      <c r="BU288" s="39"/>
      <c r="BV288" s="39"/>
      <c r="BW288" s="39"/>
    </row>
    <row r="289" spans="3:75" x14ac:dyDescent="0.25">
      <c r="C289" s="62" t="str">
        <f t="shared" si="140"/>
        <v>-</v>
      </c>
      <c r="D289" s="62" t="str">
        <f t="shared" si="141"/>
        <v>-</v>
      </c>
      <c r="E289" s="62" t="str">
        <f t="shared" si="142"/>
        <v>-</v>
      </c>
      <c r="F289" s="62" t="str">
        <f t="shared" si="143"/>
        <v>-</v>
      </c>
      <c r="G289" s="62" t="str">
        <f t="shared" si="144"/>
        <v>-</v>
      </c>
      <c r="P289" s="62" t="str">
        <f t="shared" si="145"/>
        <v>-</v>
      </c>
      <c r="Q289" s="62" t="str">
        <f t="shared" si="146"/>
        <v>-</v>
      </c>
      <c r="R289" s="62" t="str">
        <f t="shared" si="147"/>
        <v>-</v>
      </c>
      <c r="S289" s="62" t="str">
        <f t="shared" si="148"/>
        <v>-</v>
      </c>
      <c r="T289" s="62" t="str">
        <f t="shared" si="149"/>
        <v>-</v>
      </c>
      <c r="V289" s="32">
        <f t="shared" si="150"/>
        <v>6</v>
      </c>
      <c r="Z289" s="25">
        <v>1</v>
      </c>
      <c r="AA289" s="54">
        <f t="shared" si="151"/>
        <v>0</v>
      </c>
      <c r="AB289" s="54">
        <f t="shared" si="152"/>
        <v>0</v>
      </c>
      <c r="AC289" s="54">
        <f t="shared" si="153"/>
        <v>0</v>
      </c>
      <c r="AD289" s="54">
        <f t="shared" si="154"/>
        <v>0</v>
      </c>
      <c r="AE289" s="54">
        <f t="shared" si="155"/>
        <v>0</v>
      </c>
      <c r="AG289" s="32">
        <f t="shared" si="156"/>
        <v>5</v>
      </c>
      <c r="AK289" s="25">
        <v>1</v>
      </c>
      <c r="AL289" s="54">
        <f t="shared" si="157"/>
        <v>0</v>
      </c>
      <c r="AM289" s="54">
        <f t="shared" si="158"/>
        <v>0</v>
      </c>
      <c r="AN289" s="54">
        <f t="shared" si="159"/>
        <v>0</v>
      </c>
      <c r="AO289" s="54">
        <f t="shared" si="160"/>
        <v>0</v>
      </c>
      <c r="AP289" s="54">
        <f t="shared" si="161"/>
        <v>0</v>
      </c>
      <c r="AR289" s="32">
        <f t="shared" si="162"/>
        <v>4</v>
      </c>
      <c r="AV289" s="25">
        <v>1</v>
      </c>
      <c r="AW289" s="54">
        <f t="shared" si="163"/>
        <v>0</v>
      </c>
      <c r="AX289" s="54">
        <f t="shared" si="164"/>
        <v>0</v>
      </c>
      <c r="AY289" s="54">
        <f t="shared" si="165"/>
        <v>0</v>
      </c>
      <c r="AZ289" s="54">
        <f t="shared" si="166"/>
        <v>0</v>
      </c>
      <c r="BA289" s="54">
        <f t="shared" si="167"/>
        <v>0</v>
      </c>
      <c r="BC289" s="32">
        <f t="shared" si="168"/>
        <v>3</v>
      </c>
      <c r="BG289" s="25">
        <v>1</v>
      </c>
      <c r="BH289" s="54">
        <f t="shared" si="169"/>
        <v>0</v>
      </c>
      <c r="BI289" s="54">
        <f t="shared" si="170"/>
        <v>0</v>
      </c>
      <c r="BJ289" s="54">
        <f t="shared" si="171"/>
        <v>0</v>
      </c>
      <c r="BK289" s="54">
        <f t="shared" si="172"/>
        <v>0</v>
      </c>
      <c r="BL289" s="54">
        <f t="shared" si="173"/>
        <v>0</v>
      </c>
      <c r="BN289" s="25">
        <f t="shared" si="174"/>
        <v>1</v>
      </c>
      <c r="BS289" s="39"/>
      <c r="BT289" s="39"/>
      <c r="BU289" s="39"/>
      <c r="BV289" s="39"/>
      <c r="BW289" s="39"/>
    </row>
    <row r="290" spans="3:75" x14ac:dyDescent="0.25">
      <c r="C290" s="62" t="str">
        <f t="shared" si="140"/>
        <v>-</v>
      </c>
      <c r="D290" s="62" t="str">
        <f t="shared" si="141"/>
        <v>-</v>
      </c>
      <c r="E290" s="62" t="str">
        <f t="shared" si="142"/>
        <v>-</v>
      </c>
      <c r="F290" s="62" t="str">
        <f t="shared" si="143"/>
        <v>-</v>
      </c>
      <c r="G290" s="62" t="str">
        <f t="shared" si="144"/>
        <v>-</v>
      </c>
      <c r="P290" s="62" t="str">
        <f t="shared" si="145"/>
        <v>-</v>
      </c>
      <c r="Q290" s="62" t="str">
        <f t="shared" si="146"/>
        <v>-</v>
      </c>
      <c r="R290" s="62" t="str">
        <f t="shared" si="147"/>
        <v>-</v>
      </c>
      <c r="S290" s="62" t="str">
        <f t="shared" si="148"/>
        <v>-</v>
      </c>
      <c r="T290" s="62" t="str">
        <f t="shared" si="149"/>
        <v>-</v>
      </c>
      <c r="V290" s="32">
        <f t="shared" si="150"/>
        <v>6</v>
      </c>
      <c r="Z290" s="25">
        <v>1</v>
      </c>
      <c r="AA290" s="54">
        <f t="shared" si="151"/>
        <v>0</v>
      </c>
      <c r="AB290" s="54">
        <f t="shared" si="152"/>
        <v>0</v>
      </c>
      <c r="AC290" s="54">
        <f t="shared" si="153"/>
        <v>0</v>
      </c>
      <c r="AD290" s="54">
        <f t="shared" si="154"/>
        <v>0</v>
      </c>
      <c r="AE290" s="54">
        <f t="shared" si="155"/>
        <v>0</v>
      </c>
      <c r="AG290" s="32">
        <f t="shared" si="156"/>
        <v>5</v>
      </c>
      <c r="AK290" s="25">
        <v>1</v>
      </c>
      <c r="AL290" s="54">
        <f t="shared" si="157"/>
        <v>0</v>
      </c>
      <c r="AM290" s="54">
        <f t="shared" si="158"/>
        <v>0</v>
      </c>
      <c r="AN290" s="54">
        <f t="shared" si="159"/>
        <v>0</v>
      </c>
      <c r="AO290" s="54">
        <f t="shared" si="160"/>
        <v>0</v>
      </c>
      <c r="AP290" s="54">
        <f t="shared" si="161"/>
        <v>0</v>
      </c>
      <c r="AR290" s="32">
        <f t="shared" si="162"/>
        <v>4</v>
      </c>
      <c r="AV290" s="25">
        <v>1</v>
      </c>
      <c r="AW290" s="54">
        <f t="shared" si="163"/>
        <v>0</v>
      </c>
      <c r="AX290" s="54">
        <f t="shared" si="164"/>
        <v>0</v>
      </c>
      <c r="AY290" s="54">
        <f t="shared" si="165"/>
        <v>0</v>
      </c>
      <c r="AZ290" s="54">
        <f t="shared" si="166"/>
        <v>0</v>
      </c>
      <c r="BA290" s="54">
        <f t="shared" si="167"/>
        <v>0</v>
      </c>
      <c r="BC290" s="32">
        <f t="shared" si="168"/>
        <v>3</v>
      </c>
      <c r="BG290" s="25">
        <v>1</v>
      </c>
      <c r="BH290" s="54">
        <f t="shared" si="169"/>
        <v>0</v>
      </c>
      <c r="BI290" s="54">
        <f t="shared" si="170"/>
        <v>0</v>
      </c>
      <c r="BJ290" s="54">
        <f t="shared" si="171"/>
        <v>0</v>
      </c>
      <c r="BK290" s="54">
        <f t="shared" si="172"/>
        <v>0</v>
      </c>
      <c r="BL290" s="54">
        <f t="shared" si="173"/>
        <v>0</v>
      </c>
      <c r="BN290" s="25">
        <f t="shared" si="174"/>
        <v>1</v>
      </c>
      <c r="BS290" s="39"/>
      <c r="BT290" s="39"/>
      <c r="BU290" s="39"/>
      <c r="BV290" s="39"/>
      <c r="BW290" s="39"/>
    </row>
    <row r="291" spans="3:75" x14ac:dyDescent="0.25">
      <c r="C291" s="62" t="str">
        <f t="shared" si="140"/>
        <v>-</v>
      </c>
      <c r="D291" s="62" t="str">
        <f t="shared" si="141"/>
        <v>-</v>
      </c>
      <c r="E291" s="62" t="str">
        <f t="shared" si="142"/>
        <v>-</v>
      </c>
      <c r="F291" s="62" t="str">
        <f t="shared" si="143"/>
        <v>-</v>
      </c>
      <c r="G291" s="62" t="str">
        <f t="shared" si="144"/>
        <v>-</v>
      </c>
      <c r="P291" s="62" t="str">
        <f t="shared" si="145"/>
        <v>-</v>
      </c>
      <c r="Q291" s="62" t="str">
        <f t="shared" si="146"/>
        <v>-</v>
      </c>
      <c r="R291" s="62" t="str">
        <f t="shared" si="147"/>
        <v>-</v>
      </c>
      <c r="S291" s="62" t="str">
        <f t="shared" si="148"/>
        <v>-</v>
      </c>
      <c r="T291" s="62" t="str">
        <f t="shared" si="149"/>
        <v>-</v>
      </c>
      <c r="V291" s="32">
        <f t="shared" si="150"/>
        <v>6</v>
      </c>
      <c r="Z291" s="25">
        <v>1</v>
      </c>
      <c r="AA291" s="54">
        <f t="shared" si="151"/>
        <v>0</v>
      </c>
      <c r="AB291" s="54">
        <f t="shared" si="152"/>
        <v>0</v>
      </c>
      <c r="AC291" s="54">
        <f t="shared" si="153"/>
        <v>0</v>
      </c>
      <c r="AD291" s="54">
        <f t="shared" si="154"/>
        <v>0</v>
      </c>
      <c r="AE291" s="54">
        <f t="shared" si="155"/>
        <v>0</v>
      </c>
      <c r="AG291" s="32">
        <f t="shared" si="156"/>
        <v>5</v>
      </c>
      <c r="AK291" s="25">
        <v>1</v>
      </c>
      <c r="AL291" s="54">
        <f t="shared" si="157"/>
        <v>0</v>
      </c>
      <c r="AM291" s="54">
        <f t="shared" si="158"/>
        <v>0</v>
      </c>
      <c r="AN291" s="54">
        <f t="shared" si="159"/>
        <v>0</v>
      </c>
      <c r="AO291" s="54">
        <f t="shared" si="160"/>
        <v>0</v>
      </c>
      <c r="AP291" s="54">
        <f t="shared" si="161"/>
        <v>0</v>
      </c>
      <c r="AR291" s="32">
        <f t="shared" si="162"/>
        <v>4</v>
      </c>
      <c r="AV291" s="25">
        <v>1</v>
      </c>
      <c r="AW291" s="54">
        <f t="shared" si="163"/>
        <v>0</v>
      </c>
      <c r="AX291" s="54">
        <f t="shared" si="164"/>
        <v>0</v>
      </c>
      <c r="AY291" s="54">
        <f t="shared" si="165"/>
        <v>0</v>
      </c>
      <c r="AZ291" s="54">
        <f t="shared" si="166"/>
        <v>0</v>
      </c>
      <c r="BA291" s="54">
        <f t="shared" si="167"/>
        <v>0</v>
      </c>
      <c r="BC291" s="32">
        <f t="shared" si="168"/>
        <v>3</v>
      </c>
      <c r="BG291" s="25">
        <v>1</v>
      </c>
      <c r="BH291" s="54">
        <f t="shared" si="169"/>
        <v>0</v>
      </c>
      <c r="BI291" s="54">
        <f t="shared" si="170"/>
        <v>0</v>
      </c>
      <c r="BJ291" s="54">
        <f t="shared" si="171"/>
        <v>0</v>
      </c>
      <c r="BK291" s="54">
        <f t="shared" si="172"/>
        <v>0</v>
      </c>
      <c r="BL291" s="54">
        <f t="shared" si="173"/>
        <v>0</v>
      </c>
      <c r="BN291" s="25">
        <f t="shared" si="174"/>
        <v>1</v>
      </c>
      <c r="BS291" s="39"/>
      <c r="BT291" s="39"/>
      <c r="BU291" s="39"/>
      <c r="BV291" s="39"/>
      <c r="BW291" s="39"/>
    </row>
    <row r="292" spans="3:75" x14ac:dyDescent="0.25">
      <c r="C292" s="62" t="str">
        <f t="shared" si="140"/>
        <v>-</v>
      </c>
      <c r="D292" s="62" t="str">
        <f t="shared" si="141"/>
        <v>-</v>
      </c>
      <c r="E292" s="62" t="str">
        <f t="shared" si="142"/>
        <v>-</v>
      </c>
      <c r="F292" s="62" t="str">
        <f t="shared" si="143"/>
        <v>-</v>
      </c>
      <c r="G292" s="62" t="str">
        <f t="shared" si="144"/>
        <v>-</v>
      </c>
      <c r="P292" s="62" t="str">
        <f t="shared" si="145"/>
        <v>-</v>
      </c>
      <c r="Q292" s="62" t="str">
        <f t="shared" si="146"/>
        <v>-</v>
      </c>
      <c r="R292" s="62" t="str">
        <f t="shared" si="147"/>
        <v>-</v>
      </c>
      <c r="S292" s="62" t="str">
        <f t="shared" si="148"/>
        <v>-</v>
      </c>
      <c r="T292" s="62" t="str">
        <f t="shared" si="149"/>
        <v>-</v>
      </c>
      <c r="V292" s="32">
        <f t="shared" si="150"/>
        <v>6</v>
      </c>
      <c r="Z292" s="25">
        <v>1</v>
      </c>
      <c r="AA292" s="54">
        <f t="shared" si="151"/>
        <v>0</v>
      </c>
      <c r="AB292" s="54">
        <f t="shared" si="152"/>
        <v>0</v>
      </c>
      <c r="AC292" s="54">
        <f t="shared" si="153"/>
        <v>0</v>
      </c>
      <c r="AD292" s="54">
        <f t="shared" si="154"/>
        <v>0</v>
      </c>
      <c r="AE292" s="54">
        <f t="shared" si="155"/>
        <v>0</v>
      </c>
      <c r="AG292" s="32">
        <f t="shared" si="156"/>
        <v>5</v>
      </c>
      <c r="AK292" s="25">
        <v>1</v>
      </c>
      <c r="AL292" s="54">
        <f t="shared" si="157"/>
        <v>0</v>
      </c>
      <c r="AM292" s="54">
        <f t="shared" si="158"/>
        <v>0</v>
      </c>
      <c r="AN292" s="54">
        <f t="shared" si="159"/>
        <v>0</v>
      </c>
      <c r="AO292" s="54">
        <f t="shared" si="160"/>
        <v>0</v>
      </c>
      <c r="AP292" s="54">
        <f t="shared" si="161"/>
        <v>0</v>
      </c>
      <c r="AR292" s="32">
        <f t="shared" si="162"/>
        <v>4</v>
      </c>
      <c r="AV292" s="25">
        <v>1</v>
      </c>
      <c r="AW292" s="54">
        <f t="shared" si="163"/>
        <v>0</v>
      </c>
      <c r="AX292" s="54">
        <f t="shared" si="164"/>
        <v>0</v>
      </c>
      <c r="AY292" s="54">
        <f t="shared" si="165"/>
        <v>0</v>
      </c>
      <c r="AZ292" s="54">
        <f t="shared" si="166"/>
        <v>0</v>
      </c>
      <c r="BA292" s="54">
        <f t="shared" si="167"/>
        <v>0</v>
      </c>
      <c r="BC292" s="32">
        <f t="shared" si="168"/>
        <v>3</v>
      </c>
      <c r="BG292" s="25">
        <v>1</v>
      </c>
      <c r="BH292" s="54">
        <f t="shared" si="169"/>
        <v>0</v>
      </c>
      <c r="BI292" s="54">
        <f t="shared" si="170"/>
        <v>0</v>
      </c>
      <c r="BJ292" s="54">
        <f t="shared" si="171"/>
        <v>0</v>
      </c>
      <c r="BK292" s="54">
        <f t="shared" si="172"/>
        <v>0</v>
      </c>
      <c r="BL292" s="54">
        <f t="shared" si="173"/>
        <v>0</v>
      </c>
      <c r="BN292" s="25">
        <f t="shared" si="174"/>
        <v>1</v>
      </c>
      <c r="BS292" s="39"/>
      <c r="BT292" s="39"/>
      <c r="BU292" s="39"/>
      <c r="BV292" s="39"/>
      <c r="BW292" s="39"/>
    </row>
    <row r="293" spans="3:75" x14ac:dyDescent="0.25">
      <c r="C293" s="62" t="str">
        <f t="shared" si="140"/>
        <v>-</v>
      </c>
      <c r="D293" s="62" t="str">
        <f t="shared" si="141"/>
        <v>-</v>
      </c>
      <c r="E293" s="62" t="str">
        <f t="shared" si="142"/>
        <v>-</v>
      </c>
      <c r="F293" s="62" t="str">
        <f t="shared" si="143"/>
        <v>-</v>
      </c>
      <c r="G293" s="62" t="str">
        <f t="shared" si="144"/>
        <v>-</v>
      </c>
      <c r="P293" s="62" t="str">
        <f t="shared" si="145"/>
        <v>-</v>
      </c>
      <c r="Q293" s="62" t="str">
        <f t="shared" si="146"/>
        <v>-</v>
      </c>
      <c r="R293" s="62" t="str">
        <f t="shared" si="147"/>
        <v>-</v>
      </c>
      <c r="S293" s="62" t="str">
        <f t="shared" si="148"/>
        <v>-</v>
      </c>
      <c r="T293" s="62" t="str">
        <f t="shared" si="149"/>
        <v>-</v>
      </c>
      <c r="V293" s="32">
        <f t="shared" si="150"/>
        <v>6</v>
      </c>
      <c r="Z293" s="25">
        <v>1</v>
      </c>
      <c r="AA293" s="54">
        <f t="shared" si="151"/>
        <v>0</v>
      </c>
      <c r="AB293" s="54">
        <f t="shared" si="152"/>
        <v>0</v>
      </c>
      <c r="AC293" s="54">
        <f t="shared" si="153"/>
        <v>0</v>
      </c>
      <c r="AD293" s="54">
        <f t="shared" si="154"/>
        <v>0</v>
      </c>
      <c r="AE293" s="54">
        <f t="shared" si="155"/>
        <v>0</v>
      </c>
      <c r="AG293" s="32">
        <f t="shared" si="156"/>
        <v>5</v>
      </c>
      <c r="AK293" s="25">
        <v>1</v>
      </c>
      <c r="AL293" s="54">
        <f t="shared" si="157"/>
        <v>0</v>
      </c>
      <c r="AM293" s="54">
        <f t="shared" si="158"/>
        <v>0</v>
      </c>
      <c r="AN293" s="54">
        <f t="shared" si="159"/>
        <v>0</v>
      </c>
      <c r="AO293" s="54">
        <f t="shared" si="160"/>
        <v>0</v>
      </c>
      <c r="AP293" s="54">
        <f t="shared" si="161"/>
        <v>0</v>
      </c>
      <c r="AR293" s="32">
        <f t="shared" si="162"/>
        <v>4</v>
      </c>
      <c r="AV293" s="25">
        <v>1</v>
      </c>
      <c r="AW293" s="54">
        <f t="shared" si="163"/>
        <v>0</v>
      </c>
      <c r="AX293" s="54">
        <f t="shared" si="164"/>
        <v>0</v>
      </c>
      <c r="AY293" s="54">
        <f t="shared" si="165"/>
        <v>0</v>
      </c>
      <c r="AZ293" s="54">
        <f t="shared" si="166"/>
        <v>0</v>
      </c>
      <c r="BA293" s="54">
        <f t="shared" si="167"/>
        <v>0</v>
      </c>
      <c r="BC293" s="32">
        <f t="shared" si="168"/>
        <v>3</v>
      </c>
      <c r="BG293" s="25">
        <v>1</v>
      </c>
      <c r="BH293" s="54">
        <f t="shared" si="169"/>
        <v>0</v>
      </c>
      <c r="BI293" s="54">
        <f t="shared" si="170"/>
        <v>0</v>
      </c>
      <c r="BJ293" s="54">
        <f t="shared" si="171"/>
        <v>0</v>
      </c>
      <c r="BK293" s="54">
        <f t="shared" si="172"/>
        <v>0</v>
      </c>
      <c r="BL293" s="54">
        <f t="shared" si="173"/>
        <v>0</v>
      </c>
      <c r="BN293" s="25">
        <f t="shared" si="174"/>
        <v>1</v>
      </c>
      <c r="BS293" s="39"/>
      <c r="BT293" s="39"/>
      <c r="BU293" s="39"/>
      <c r="BV293" s="39"/>
      <c r="BW293" s="39"/>
    </row>
    <row r="294" spans="3:75" x14ac:dyDescent="0.25">
      <c r="C294" s="62" t="str">
        <f t="shared" si="140"/>
        <v>-</v>
      </c>
      <c r="D294" s="62" t="str">
        <f t="shared" si="141"/>
        <v>-</v>
      </c>
      <c r="E294" s="62" t="str">
        <f t="shared" si="142"/>
        <v>-</v>
      </c>
      <c r="F294" s="62" t="str">
        <f t="shared" si="143"/>
        <v>-</v>
      </c>
      <c r="G294" s="62" t="str">
        <f t="shared" si="144"/>
        <v>-</v>
      </c>
      <c r="P294" s="62" t="str">
        <f t="shared" si="145"/>
        <v>-</v>
      </c>
      <c r="Q294" s="62" t="str">
        <f t="shared" si="146"/>
        <v>-</v>
      </c>
      <c r="R294" s="62" t="str">
        <f t="shared" si="147"/>
        <v>-</v>
      </c>
      <c r="S294" s="62" t="str">
        <f t="shared" si="148"/>
        <v>-</v>
      </c>
      <c r="T294" s="62" t="str">
        <f t="shared" si="149"/>
        <v>-</v>
      </c>
      <c r="V294" s="32">
        <f t="shared" si="150"/>
        <v>6</v>
      </c>
      <c r="Z294" s="25">
        <v>1</v>
      </c>
      <c r="AA294" s="54">
        <f t="shared" si="151"/>
        <v>0</v>
      </c>
      <c r="AB294" s="54">
        <f t="shared" si="152"/>
        <v>0</v>
      </c>
      <c r="AC294" s="54">
        <f t="shared" si="153"/>
        <v>0</v>
      </c>
      <c r="AD294" s="54">
        <f t="shared" si="154"/>
        <v>0</v>
      </c>
      <c r="AE294" s="54">
        <f t="shared" si="155"/>
        <v>0</v>
      </c>
      <c r="AG294" s="32">
        <f t="shared" si="156"/>
        <v>5</v>
      </c>
      <c r="AK294" s="25">
        <v>1</v>
      </c>
      <c r="AL294" s="54">
        <f t="shared" si="157"/>
        <v>0</v>
      </c>
      <c r="AM294" s="54">
        <f t="shared" si="158"/>
        <v>0</v>
      </c>
      <c r="AN294" s="54">
        <f t="shared" si="159"/>
        <v>0</v>
      </c>
      <c r="AO294" s="54">
        <f t="shared" si="160"/>
        <v>0</v>
      </c>
      <c r="AP294" s="54">
        <f t="shared" si="161"/>
        <v>0</v>
      </c>
      <c r="AR294" s="32">
        <f t="shared" si="162"/>
        <v>4</v>
      </c>
      <c r="AV294" s="25">
        <v>1</v>
      </c>
      <c r="AW294" s="54">
        <f t="shared" si="163"/>
        <v>0</v>
      </c>
      <c r="AX294" s="54">
        <f t="shared" si="164"/>
        <v>0</v>
      </c>
      <c r="AY294" s="54">
        <f t="shared" si="165"/>
        <v>0</v>
      </c>
      <c r="AZ294" s="54">
        <f t="shared" si="166"/>
        <v>0</v>
      </c>
      <c r="BA294" s="54">
        <f t="shared" si="167"/>
        <v>0</v>
      </c>
      <c r="BC294" s="32">
        <f t="shared" si="168"/>
        <v>3</v>
      </c>
      <c r="BG294" s="25">
        <v>1</v>
      </c>
      <c r="BH294" s="54">
        <f t="shared" si="169"/>
        <v>0</v>
      </c>
      <c r="BI294" s="54">
        <f t="shared" si="170"/>
        <v>0</v>
      </c>
      <c r="BJ294" s="54">
        <f t="shared" si="171"/>
        <v>0</v>
      </c>
      <c r="BK294" s="54">
        <f t="shared" si="172"/>
        <v>0</v>
      </c>
      <c r="BL294" s="54">
        <f t="shared" si="173"/>
        <v>0</v>
      </c>
      <c r="BN294" s="25">
        <f t="shared" si="174"/>
        <v>1</v>
      </c>
      <c r="BS294" s="39"/>
      <c r="BT294" s="39"/>
      <c r="BU294" s="39"/>
      <c r="BV294" s="39"/>
      <c r="BW294" s="39"/>
    </row>
    <row r="295" spans="3:75" x14ac:dyDescent="0.25">
      <c r="C295" s="62" t="str">
        <f t="shared" si="140"/>
        <v>-</v>
      </c>
      <c r="D295" s="62" t="str">
        <f t="shared" si="141"/>
        <v>-</v>
      </c>
      <c r="E295" s="62" t="str">
        <f t="shared" si="142"/>
        <v>-</v>
      </c>
      <c r="F295" s="62" t="str">
        <f t="shared" si="143"/>
        <v>-</v>
      </c>
      <c r="G295" s="62" t="str">
        <f t="shared" si="144"/>
        <v>-</v>
      </c>
      <c r="P295" s="62" t="str">
        <f t="shared" si="145"/>
        <v>-</v>
      </c>
      <c r="Q295" s="62" t="str">
        <f t="shared" si="146"/>
        <v>-</v>
      </c>
      <c r="R295" s="62" t="str">
        <f t="shared" si="147"/>
        <v>-</v>
      </c>
      <c r="S295" s="62" t="str">
        <f t="shared" si="148"/>
        <v>-</v>
      </c>
      <c r="T295" s="62" t="str">
        <f t="shared" si="149"/>
        <v>-</v>
      </c>
      <c r="V295" s="32">
        <f t="shared" si="150"/>
        <v>6</v>
      </c>
      <c r="Z295" s="25">
        <v>1</v>
      </c>
      <c r="AA295" s="54">
        <f t="shared" si="151"/>
        <v>0</v>
      </c>
      <c r="AB295" s="54">
        <f t="shared" si="152"/>
        <v>0</v>
      </c>
      <c r="AC295" s="54">
        <f t="shared" si="153"/>
        <v>0</v>
      </c>
      <c r="AD295" s="54">
        <f t="shared" si="154"/>
        <v>0</v>
      </c>
      <c r="AE295" s="54">
        <f t="shared" si="155"/>
        <v>0</v>
      </c>
      <c r="AG295" s="32">
        <f t="shared" si="156"/>
        <v>5</v>
      </c>
      <c r="AK295" s="25">
        <v>1</v>
      </c>
      <c r="AL295" s="54">
        <f t="shared" si="157"/>
        <v>0</v>
      </c>
      <c r="AM295" s="54">
        <f t="shared" si="158"/>
        <v>0</v>
      </c>
      <c r="AN295" s="54">
        <f t="shared" si="159"/>
        <v>0</v>
      </c>
      <c r="AO295" s="54">
        <f t="shared" si="160"/>
        <v>0</v>
      </c>
      <c r="AP295" s="54">
        <f t="shared" si="161"/>
        <v>0</v>
      </c>
      <c r="AR295" s="32">
        <f t="shared" si="162"/>
        <v>4</v>
      </c>
      <c r="AV295" s="25">
        <v>1</v>
      </c>
      <c r="AW295" s="54">
        <f t="shared" si="163"/>
        <v>0</v>
      </c>
      <c r="AX295" s="54">
        <f t="shared" si="164"/>
        <v>0</v>
      </c>
      <c r="AY295" s="54">
        <f t="shared" si="165"/>
        <v>0</v>
      </c>
      <c r="AZ295" s="54">
        <f t="shared" si="166"/>
        <v>0</v>
      </c>
      <c r="BA295" s="54">
        <f t="shared" si="167"/>
        <v>0</v>
      </c>
      <c r="BC295" s="32">
        <f t="shared" si="168"/>
        <v>3</v>
      </c>
      <c r="BG295" s="25">
        <v>1</v>
      </c>
      <c r="BH295" s="54">
        <f t="shared" si="169"/>
        <v>0</v>
      </c>
      <c r="BI295" s="54">
        <f t="shared" si="170"/>
        <v>0</v>
      </c>
      <c r="BJ295" s="54">
        <f t="shared" si="171"/>
        <v>0</v>
      </c>
      <c r="BK295" s="54">
        <f t="shared" si="172"/>
        <v>0</v>
      </c>
      <c r="BL295" s="54">
        <f t="shared" si="173"/>
        <v>0</v>
      </c>
      <c r="BN295" s="25">
        <f t="shared" si="174"/>
        <v>1</v>
      </c>
      <c r="BS295" s="39"/>
      <c r="BT295" s="39"/>
      <c r="BU295" s="39"/>
      <c r="BV295" s="39"/>
      <c r="BW295" s="39"/>
    </row>
    <row r="296" spans="3:75" x14ac:dyDescent="0.25">
      <c r="C296" s="62" t="str">
        <f t="shared" si="140"/>
        <v>-</v>
      </c>
      <c r="D296" s="62" t="str">
        <f t="shared" si="141"/>
        <v>-</v>
      </c>
      <c r="E296" s="62" t="str">
        <f t="shared" si="142"/>
        <v>-</v>
      </c>
      <c r="F296" s="62" t="str">
        <f t="shared" si="143"/>
        <v>-</v>
      </c>
      <c r="G296" s="62" t="str">
        <f t="shared" si="144"/>
        <v>-</v>
      </c>
      <c r="P296" s="62" t="str">
        <f t="shared" si="145"/>
        <v>-</v>
      </c>
      <c r="Q296" s="62" t="str">
        <f t="shared" si="146"/>
        <v>-</v>
      </c>
      <c r="R296" s="62" t="str">
        <f t="shared" si="147"/>
        <v>-</v>
      </c>
      <c r="S296" s="62" t="str">
        <f t="shared" si="148"/>
        <v>-</v>
      </c>
      <c r="T296" s="62" t="str">
        <f t="shared" si="149"/>
        <v>-</v>
      </c>
      <c r="V296" s="32">
        <f t="shared" si="150"/>
        <v>6</v>
      </c>
      <c r="Z296" s="25">
        <v>1</v>
      </c>
      <c r="AA296" s="54">
        <f t="shared" si="151"/>
        <v>0</v>
      </c>
      <c r="AB296" s="54">
        <f t="shared" si="152"/>
        <v>0</v>
      </c>
      <c r="AC296" s="54">
        <f t="shared" si="153"/>
        <v>0</v>
      </c>
      <c r="AD296" s="54">
        <f t="shared" si="154"/>
        <v>0</v>
      </c>
      <c r="AE296" s="54">
        <f t="shared" si="155"/>
        <v>0</v>
      </c>
      <c r="AG296" s="32">
        <f t="shared" si="156"/>
        <v>5</v>
      </c>
      <c r="AK296" s="25">
        <v>1</v>
      </c>
      <c r="AL296" s="54">
        <f t="shared" si="157"/>
        <v>0</v>
      </c>
      <c r="AM296" s="54">
        <f t="shared" si="158"/>
        <v>0</v>
      </c>
      <c r="AN296" s="54">
        <f t="shared" si="159"/>
        <v>0</v>
      </c>
      <c r="AO296" s="54">
        <f t="shared" si="160"/>
        <v>0</v>
      </c>
      <c r="AP296" s="54">
        <f t="shared" si="161"/>
        <v>0</v>
      </c>
      <c r="AR296" s="32">
        <f t="shared" si="162"/>
        <v>4</v>
      </c>
      <c r="AV296" s="25">
        <v>1</v>
      </c>
      <c r="AW296" s="54">
        <f t="shared" si="163"/>
        <v>0</v>
      </c>
      <c r="AX296" s="54">
        <f t="shared" si="164"/>
        <v>0</v>
      </c>
      <c r="AY296" s="54">
        <f t="shared" si="165"/>
        <v>0</v>
      </c>
      <c r="AZ296" s="54">
        <f t="shared" si="166"/>
        <v>0</v>
      </c>
      <c r="BA296" s="54">
        <f t="shared" si="167"/>
        <v>0</v>
      </c>
      <c r="BC296" s="32">
        <f t="shared" si="168"/>
        <v>3</v>
      </c>
      <c r="BG296" s="25">
        <v>1</v>
      </c>
      <c r="BH296" s="54">
        <f t="shared" si="169"/>
        <v>0</v>
      </c>
      <c r="BI296" s="54">
        <f t="shared" si="170"/>
        <v>0</v>
      </c>
      <c r="BJ296" s="54">
        <f t="shared" si="171"/>
        <v>0</v>
      </c>
      <c r="BK296" s="54">
        <f t="shared" si="172"/>
        <v>0</v>
      </c>
      <c r="BL296" s="54">
        <f t="shared" si="173"/>
        <v>0</v>
      </c>
      <c r="BN296" s="25">
        <f t="shared" si="174"/>
        <v>1</v>
      </c>
      <c r="BS296" s="39"/>
      <c r="BT296" s="39"/>
      <c r="BU296" s="39"/>
      <c r="BV296" s="39"/>
      <c r="BW296" s="39"/>
    </row>
    <row r="297" spans="3:75" x14ac:dyDescent="0.25">
      <c r="C297" s="62" t="str">
        <f t="shared" si="140"/>
        <v>-</v>
      </c>
      <c r="D297" s="62" t="str">
        <f t="shared" si="141"/>
        <v>-</v>
      </c>
      <c r="E297" s="62" t="str">
        <f t="shared" si="142"/>
        <v>-</v>
      </c>
      <c r="F297" s="62" t="str">
        <f t="shared" si="143"/>
        <v>-</v>
      </c>
      <c r="G297" s="62" t="str">
        <f t="shared" si="144"/>
        <v>-</v>
      </c>
      <c r="P297" s="62" t="str">
        <f t="shared" si="145"/>
        <v>-</v>
      </c>
      <c r="Q297" s="62" t="str">
        <f t="shared" si="146"/>
        <v>-</v>
      </c>
      <c r="R297" s="62" t="str">
        <f t="shared" si="147"/>
        <v>-</v>
      </c>
      <c r="S297" s="62" t="str">
        <f t="shared" si="148"/>
        <v>-</v>
      </c>
      <c r="T297" s="62" t="str">
        <f t="shared" si="149"/>
        <v>-</v>
      </c>
      <c r="V297" s="32">
        <f t="shared" si="150"/>
        <v>6</v>
      </c>
      <c r="Z297" s="25">
        <v>1</v>
      </c>
      <c r="AA297" s="54">
        <f t="shared" si="151"/>
        <v>0</v>
      </c>
      <c r="AB297" s="54">
        <f t="shared" si="152"/>
        <v>0</v>
      </c>
      <c r="AC297" s="54">
        <f t="shared" si="153"/>
        <v>0</v>
      </c>
      <c r="AD297" s="54">
        <f t="shared" si="154"/>
        <v>0</v>
      </c>
      <c r="AE297" s="54">
        <f t="shared" si="155"/>
        <v>0</v>
      </c>
      <c r="AG297" s="32">
        <f t="shared" si="156"/>
        <v>5</v>
      </c>
      <c r="AK297" s="25">
        <v>1</v>
      </c>
      <c r="AL297" s="54">
        <f t="shared" si="157"/>
        <v>0</v>
      </c>
      <c r="AM297" s="54">
        <f t="shared" si="158"/>
        <v>0</v>
      </c>
      <c r="AN297" s="54">
        <f t="shared" si="159"/>
        <v>0</v>
      </c>
      <c r="AO297" s="54">
        <f t="shared" si="160"/>
        <v>0</v>
      </c>
      <c r="AP297" s="54">
        <f t="shared" si="161"/>
        <v>0</v>
      </c>
      <c r="AR297" s="32">
        <f t="shared" si="162"/>
        <v>4</v>
      </c>
      <c r="AV297" s="25">
        <v>1</v>
      </c>
      <c r="AW297" s="54">
        <f t="shared" si="163"/>
        <v>0</v>
      </c>
      <c r="AX297" s="54">
        <f t="shared" si="164"/>
        <v>0</v>
      </c>
      <c r="AY297" s="54">
        <f t="shared" si="165"/>
        <v>0</v>
      </c>
      <c r="AZ297" s="54">
        <f t="shared" si="166"/>
        <v>0</v>
      </c>
      <c r="BA297" s="54">
        <f t="shared" si="167"/>
        <v>0</v>
      </c>
      <c r="BC297" s="32">
        <f t="shared" si="168"/>
        <v>3</v>
      </c>
      <c r="BG297" s="25">
        <v>1</v>
      </c>
      <c r="BH297" s="54">
        <f t="shared" si="169"/>
        <v>0</v>
      </c>
      <c r="BI297" s="54">
        <f t="shared" si="170"/>
        <v>0</v>
      </c>
      <c r="BJ297" s="54">
        <f t="shared" si="171"/>
        <v>0</v>
      </c>
      <c r="BK297" s="54">
        <f t="shared" si="172"/>
        <v>0</v>
      </c>
      <c r="BL297" s="54">
        <f t="shared" si="173"/>
        <v>0</v>
      </c>
      <c r="BN297" s="25">
        <f t="shared" si="174"/>
        <v>1</v>
      </c>
      <c r="BS297" s="39"/>
      <c r="BT297" s="39"/>
      <c r="BU297" s="39"/>
      <c r="BV297" s="39"/>
      <c r="BW297" s="39"/>
    </row>
    <row r="298" spans="3:75" x14ac:dyDescent="0.25">
      <c r="C298" s="62" t="str">
        <f t="shared" si="140"/>
        <v>-</v>
      </c>
      <c r="D298" s="62" t="str">
        <f t="shared" si="141"/>
        <v>-</v>
      </c>
      <c r="E298" s="62" t="str">
        <f t="shared" si="142"/>
        <v>-</v>
      </c>
      <c r="F298" s="62" t="str">
        <f t="shared" si="143"/>
        <v>-</v>
      </c>
      <c r="G298" s="62" t="str">
        <f t="shared" si="144"/>
        <v>-</v>
      </c>
      <c r="P298" s="62" t="str">
        <f t="shared" si="145"/>
        <v>-</v>
      </c>
      <c r="Q298" s="62" t="str">
        <f t="shared" si="146"/>
        <v>-</v>
      </c>
      <c r="R298" s="62" t="str">
        <f t="shared" si="147"/>
        <v>-</v>
      </c>
      <c r="S298" s="62" t="str">
        <f t="shared" si="148"/>
        <v>-</v>
      </c>
      <c r="T298" s="62" t="str">
        <f t="shared" si="149"/>
        <v>-</v>
      </c>
      <c r="V298" s="32">
        <f t="shared" si="150"/>
        <v>6</v>
      </c>
      <c r="Z298" s="25">
        <v>1</v>
      </c>
      <c r="AA298" s="54">
        <f t="shared" si="151"/>
        <v>0</v>
      </c>
      <c r="AB298" s="54">
        <f t="shared" si="152"/>
        <v>0</v>
      </c>
      <c r="AC298" s="54">
        <f t="shared" si="153"/>
        <v>0</v>
      </c>
      <c r="AD298" s="54">
        <f t="shared" si="154"/>
        <v>0</v>
      </c>
      <c r="AE298" s="54">
        <f t="shared" si="155"/>
        <v>0</v>
      </c>
      <c r="AG298" s="32">
        <f t="shared" si="156"/>
        <v>5</v>
      </c>
      <c r="AK298" s="25">
        <v>1</v>
      </c>
      <c r="AL298" s="54">
        <f t="shared" si="157"/>
        <v>0</v>
      </c>
      <c r="AM298" s="54">
        <f t="shared" si="158"/>
        <v>0</v>
      </c>
      <c r="AN298" s="54">
        <f t="shared" si="159"/>
        <v>0</v>
      </c>
      <c r="AO298" s="54">
        <f t="shared" si="160"/>
        <v>0</v>
      </c>
      <c r="AP298" s="54">
        <f t="shared" si="161"/>
        <v>0</v>
      </c>
      <c r="AR298" s="32">
        <f t="shared" si="162"/>
        <v>4</v>
      </c>
      <c r="AV298" s="25">
        <v>1</v>
      </c>
      <c r="AW298" s="54">
        <f t="shared" si="163"/>
        <v>0</v>
      </c>
      <c r="AX298" s="54">
        <f t="shared" si="164"/>
        <v>0</v>
      </c>
      <c r="AY298" s="54">
        <f t="shared" si="165"/>
        <v>0</v>
      </c>
      <c r="AZ298" s="54">
        <f t="shared" si="166"/>
        <v>0</v>
      </c>
      <c r="BA298" s="54">
        <f t="shared" si="167"/>
        <v>0</v>
      </c>
      <c r="BC298" s="32">
        <f t="shared" si="168"/>
        <v>3</v>
      </c>
      <c r="BG298" s="25">
        <v>1</v>
      </c>
      <c r="BH298" s="54">
        <f t="shared" si="169"/>
        <v>0</v>
      </c>
      <c r="BI298" s="54">
        <f t="shared" si="170"/>
        <v>0</v>
      </c>
      <c r="BJ298" s="54">
        <f t="shared" si="171"/>
        <v>0</v>
      </c>
      <c r="BK298" s="54">
        <f t="shared" si="172"/>
        <v>0</v>
      </c>
      <c r="BL298" s="54">
        <f t="shared" si="173"/>
        <v>0</v>
      </c>
      <c r="BN298" s="25">
        <f t="shared" si="174"/>
        <v>1</v>
      </c>
      <c r="BS298" s="39"/>
      <c r="BT298" s="39"/>
      <c r="BU298" s="39"/>
      <c r="BV298" s="39"/>
      <c r="BW298" s="39"/>
    </row>
    <row r="299" spans="3:75" x14ac:dyDescent="0.25">
      <c r="C299" s="62" t="str">
        <f t="shared" si="140"/>
        <v>-</v>
      </c>
      <c r="D299" s="62" t="str">
        <f t="shared" si="141"/>
        <v>-</v>
      </c>
      <c r="E299" s="62" t="str">
        <f t="shared" si="142"/>
        <v>-</v>
      </c>
      <c r="F299" s="62" t="str">
        <f t="shared" si="143"/>
        <v>-</v>
      </c>
      <c r="G299" s="62" t="str">
        <f t="shared" si="144"/>
        <v>-</v>
      </c>
      <c r="P299" s="62" t="str">
        <f t="shared" si="145"/>
        <v>-</v>
      </c>
      <c r="Q299" s="62" t="str">
        <f t="shared" si="146"/>
        <v>-</v>
      </c>
      <c r="R299" s="62" t="str">
        <f t="shared" si="147"/>
        <v>-</v>
      </c>
      <c r="S299" s="62" t="str">
        <f t="shared" si="148"/>
        <v>-</v>
      </c>
      <c r="T299" s="62" t="str">
        <f t="shared" si="149"/>
        <v>-</v>
      </c>
      <c r="V299" s="32">
        <f t="shared" si="150"/>
        <v>6</v>
      </c>
      <c r="Z299" s="25">
        <v>1</v>
      </c>
      <c r="AA299" s="54">
        <f t="shared" si="151"/>
        <v>0</v>
      </c>
      <c r="AB299" s="54">
        <f t="shared" si="152"/>
        <v>0</v>
      </c>
      <c r="AC299" s="54">
        <f t="shared" si="153"/>
        <v>0</v>
      </c>
      <c r="AD299" s="54">
        <f t="shared" si="154"/>
        <v>0</v>
      </c>
      <c r="AE299" s="54">
        <f t="shared" si="155"/>
        <v>0</v>
      </c>
      <c r="AG299" s="32">
        <f t="shared" si="156"/>
        <v>5</v>
      </c>
      <c r="AK299" s="25">
        <v>1</v>
      </c>
      <c r="AL299" s="54">
        <f t="shared" si="157"/>
        <v>0</v>
      </c>
      <c r="AM299" s="54">
        <f t="shared" si="158"/>
        <v>0</v>
      </c>
      <c r="AN299" s="54">
        <f t="shared" si="159"/>
        <v>0</v>
      </c>
      <c r="AO299" s="54">
        <f t="shared" si="160"/>
        <v>0</v>
      </c>
      <c r="AP299" s="54">
        <f t="shared" si="161"/>
        <v>0</v>
      </c>
      <c r="AR299" s="32">
        <f t="shared" si="162"/>
        <v>4</v>
      </c>
      <c r="AV299" s="25">
        <v>1</v>
      </c>
      <c r="AW299" s="54">
        <f t="shared" si="163"/>
        <v>0</v>
      </c>
      <c r="AX299" s="54">
        <f t="shared" si="164"/>
        <v>0</v>
      </c>
      <c r="AY299" s="54">
        <f t="shared" si="165"/>
        <v>0</v>
      </c>
      <c r="AZ299" s="54">
        <f t="shared" si="166"/>
        <v>0</v>
      </c>
      <c r="BA299" s="54">
        <f t="shared" si="167"/>
        <v>0</v>
      </c>
      <c r="BC299" s="32">
        <f t="shared" si="168"/>
        <v>3</v>
      </c>
      <c r="BG299" s="25">
        <v>1</v>
      </c>
      <c r="BH299" s="54">
        <f t="shared" si="169"/>
        <v>0</v>
      </c>
      <c r="BI299" s="54">
        <f t="shared" si="170"/>
        <v>0</v>
      </c>
      <c r="BJ299" s="54">
        <f t="shared" si="171"/>
        <v>0</v>
      </c>
      <c r="BK299" s="54">
        <f t="shared" si="172"/>
        <v>0</v>
      </c>
      <c r="BL299" s="54">
        <f t="shared" si="173"/>
        <v>0</v>
      </c>
      <c r="BN299" s="25">
        <f t="shared" si="174"/>
        <v>1</v>
      </c>
      <c r="BS299" s="39"/>
      <c r="BT299" s="39"/>
      <c r="BU299" s="39"/>
      <c r="BV299" s="39"/>
      <c r="BW299" s="39"/>
    </row>
    <row r="300" spans="3:75" x14ac:dyDescent="0.25">
      <c r="C300" s="62" t="str">
        <f t="shared" si="140"/>
        <v>-</v>
      </c>
      <c r="D300" s="62" t="str">
        <f t="shared" si="141"/>
        <v>-</v>
      </c>
      <c r="E300" s="62" t="str">
        <f t="shared" si="142"/>
        <v>-</v>
      </c>
      <c r="F300" s="62" t="str">
        <f t="shared" si="143"/>
        <v>-</v>
      </c>
      <c r="G300" s="62" t="str">
        <f t="shared" si="144"/>
        <v>-</v>
      </c>
      <c r="P300" s="62" t="str">
        <f t="shared" si="145"/>
        <v>-</v>
      </c>
      <c r="Q300" s="62" t="str">
        <f t="shared" si="146"/>
        <v>-</v>
      </c>
      <c r="R300" s="62" t="str">
        <f t="shared" si="147"/>
        <v>-</v>
      </c>
      <c r="S300" s="62" t="str">
        <f t="shared" si="148"/>
        <v>-</v>
      </c>
      <c r="T300" s="62" t="str">
        <f t="shared" si="149"/>
        <v>-</v>
      </c>
      <c r="V300" s="32">
        <f t="shared" si="150"/>
        <v>6</v>
      </c>
      <c r="Z300" s="25">
        <v>1</v>
      </c>
      <c r="AA300" s="54">
        <f t="shared" si="151"/>
        <v>0</v>
      </c>
      <c r="AB300" s="54">
        <f t="shared" si="152"/>
        <v>0</v>
      </c>
      <c r="AC300" s="54">
        <f t="shared" si="153"/>
        <v>0</v>
      </c>
      <c r="AD300" s="54">
        <f t="shared" si="154"/>
        <v>0</v>
      </c>
      <c r="AE300" s="54">
        <f t="shared" si="155"/>
        <v>0</v>
      </c>
      <c r="AG300" s="32">
        <f t="shared" si="156"/>
        <v>5</v>
      </c>
      <c r="AK300" s="25">
        <v>1</v>
      </c>
      <c r="AL300" s="54">
        <f t="shared" si="157"/>
        <v>0</v>
      </c>
      <c r="AM300" s="54">
        <f t="shared" si="158"/>
        <v>0</v>
      </c>
      <c r="AN300" s="54">
        <f t="shared" si="159"/>
        <v>0</v>
      </c>
      <c r="AO300" s="54">
        <f t="shared" si="160"/>
        <v>0</v>
      </c>
      <c r="AP300" s="54">
        <f t="shared" si="161"/>
        <v>0</v>
      </c>
      <c r="AR300" s="32">
        <f t="shared" si="162"/>
        <v>4</v>
      </c>
      <c r="AV300" s="25">
        <v>1</v>
      </c>
      <c r="AW300" s="54">
        <f t="shared" si="163"/>
        <v>0</v>
      </c>
      <c r="AX300" s="54">
        <f t="shared" si="164"/>
        <v>0</v>
      </c>
      <c r="AY300" s="54">
        <f t="shared" si="165"/>
        <v>0</v>
      </c>
      <c r="AZ300" s="54">
        <f t="shared" si="166"/>
        <v>0</v>
      </c>
      <c r="BA300" s="54">
        <f t="shared" si="167"/>
        <v>0</v>
      </c>
      <c r="BC300" s="32">
        <f t="shared" si="168"/>
        <v>3</v>
      </c>
      <c r="BG300" s="25">
        <v>1</v>
      </c>
      <c r="BH300" s="54">
        <f t="shared" si="169"/>
        <v>0</v>
      </c>
      <c r="BI300" s="54">
        <f t="shared" si="170"/>
        <v>0</v>
      </c>
      <c r="BJ300" s="54">
        <f t="shared" si="171"/>
        <v>0</v>
      </c>
      <c r="BK300" s="54">
        <f t="shared" si="172"/>
        <v>0</v>
      </c>
      <c r="BL300" s="54">
        <f t="shared" si="173"/>
        <v>0</v>
      </c>
      <c r="BN300" s="25">
        <f t="shared" si="174"/>
        <v>1</v>
      </c>
      <c r="BS300" s="39"/>
      <c r="BT300" s="39"/>
      <c r="BU300" s="39"/>
      <c r="BV300" s="39"/>
      <c r="BW300" s="39"/>
    </row>
    <row r="301" spans="3:75" x14ac:dyDescent="0.25">
      <c r="C301" s="62" t="str">
        <f t="shared" si="140"/>
        <v>-</v>
      </c>
      <c r="D301" s="62" t="str">
        <f t="shared" si="141"/>
        <v>-</v>
      </c>
      <c r="E301" s="62" t="str">
        <f t="shared" si="142"/>
        <v>-</v>
      </c>
      <c r="F301" s="62" t="str">
        <f t="shared" si="143"/>
        <v>-</v>
      </c>
      <c r="G301" s="62" t="str">
        <f t="shared" si="144"/>
        <v>-</v>
      </c>
      <c r="P301" s="62" t="str">
        <f t="shared" si="145"/>
        <v>-</v>
      </c>
      <c r="Q301" s="62" t="str">
        <f t="shared" si="146"/>
        <v>-</v>
      </c>
      <c r="R301" s="62" t="str">
        <f t="shared" si="147"/>
        <v>-</v>
      </c>
      <c r="S301" s="62" t="str">
        <f t="shared" si="148"/>
        <v>-</v>
      </c>
      <c r="T301" s="62" t="str">
        <f t="shared" si="149"/>
        <v>-</v>
      </c>
      <c r="V301" s="32">
        <f t="shared" si="150"/>
        <v>6</v>
      </c>
      <c r="Z301" s="25">
        <v>1</v>
      </c>
      <c r="AA301" s="54">
        <f t="shared" si="151"/>
        <v>0</v>
      </c>
      <c r="AB301" s="54">
        <f t="shared" si="152"/>
        <v>0</v>
      </c>
      <c r="AC301" s="54">
        <f t="shared" si="153"/>
        <v>0</v>
      </c>
      <c r="AD301" s="54">
        <f t="shared" si="154"/>
        <v>0</v>
      </c>
      <c r="AE301" s="54">
        <f t="shared" si="155"/>
        <v>0</v>
      </c>
      <c r="AG301" s="32">
        <f t="shared" si="156"/>
        <v>5</v>
      </c>
      <c r="AK301" s="25">
        <v>1</v>
      </c>
      <c r="AL301" s="54">
        <f t="shared" si="157"/>
        <v>0</v>
      </c>
      <c r="AM301" s="54">
        <f t="shared" si="158"/>
        <v>0</v>
      </c>
      <c r="AN301" s="54">
        <f t="shared" si="159"/>
        <v>0</v>
      </c>
      <c r="AO301" s="54">
        <f t="shared" si="160"/>
        <v>0</v>
      </c>
      <c r="AP301" s="54">
        <f t="shared" si="161"/>
        <v>0</v>
      </c>
      <c r="AR301" s="32">
        <f t="shared" si="162"/>
        <v>4</v>
      </c>
      <c r="AV301" s="25">
        <v>1</v>
      </c>
      <c r="AW301" s="54">
        <f t="shared" si="163"/>
        <v>0</v>
      </c>
      <c r="AX301" s="54">
        <f t="shared" si="164"/>
        <v>0</v>
      </c>
      <c r="AY301" s="54">
        <f t="shared" si="165"/>
        <v>0</v>
      </c>
      <c r="AZ301" s="54">
        <f t="shared" si="166"/>
        <v>0</v>
      </c>
      <c r="BA301" s="54">
        <f t="shared" si="167"/>
        <v>0</v>
      </c>
      <c r="BC301" s="32">
        <f t="shared" si="168"/>
        <v>3</v>
      </c>
      <c r="BG301" s="25">
        <v>1</v>
      </c>
      <c r="BH301" s="54">
        <f t="shared" si="169"/>
        <v>0</v>
      </c>
      <c r="BI301" s="54">
        <f t="shared" si="170"/>
        <v>0</v>
      </c>
      <c r="BJ301" s="54">
        <f t="shared" si="171"/>
        <v>0</v>
      </c>
      <c r="BK301" s="54">
        <f t="shared" si="172"/>
        <v>0</v>
      </c>
      <c r="BL301" s="54">
        <f t="shared" si="173"/>
        <v>0</v>
      </c>
      <c r="BN301" s="25">
        <f t="shared" si="174"/>
        <v>1</v>
      </c>
      <c r="BS301" s="39"/>
      <c r="BT301" s="39"/>
      <c r="BU301" s="39"/>
      <c r="BV301" s="39"/>
      <c r="BW301" s="39"/>
    </row>
  </sheetData>
  <mergeCells count="7">
    <mergeCell ref="BN1:BW1"/>
    <mergeCell ref="BC1:BL1"/>
    <mergeCell ref="B1:H1"/>
    <mergeCell ref="J1:T1"/>
    <mergeCell ref="AR1:BA1"/>
    <mergeCell ref="AG1:AP1"/>
    <mergeCell ref="V1:AE1"/>
  </mergeCells>
  <phoneticPr fontId="7" type="noConversion"/>
  <conditionalFormatting sqref="O2:O1048576">
    <cfRule type="cellIs" dxfId="8" priority="3" operator="equal">
      <formula>0</formula>
    </cfRule>
  </conditionalFormatting>
  <dataValidations count="6">
    <dataValidation type="list" allowBlank="1" showInputMessage="1" showErrorMessage="1" sqref="K3:K301" xr:uid="{F8E5FBBE-12D9-477E-8F13-8356F4014BB4}">
      <formula1>$W:$W</formula1>
    </dataValidation>
    <dataValidation type="list" allowBlank="1" showInputMessage="1" showErrorMessage="1" sqref="AT21 AI2:AI1048576" xr:uid="{E839742C-CCBA-4F2D-B950-32D0676C2FBF}">
      <formula1>$AS:$AS</formula1>
    </dataValidation>
    <dataValidation type="list" allowBlank="1" showInputMessage="1" showErrorMessage="1" sqref="W15:W1048576 W2:W13" xr:uid="{EE20B148-C8ED-42B9-A48C-7609FD50A44B}">
      <formula1>$AH:$AH</formula1>
    </dataValidation>
    <dataValidation type="list" allowBlank="1" showInputMessage="1" showErrorMessage="1" sqref="AT3:AT20 AT22:AT301" xr:uid="{38143B16-13FE-41B3-9ADB-39262F9457C4}">
      <formula1>$BD$3:$BD$301</formula1>
    </dataValidation>
    <dataValidation type="list" allowBlank="1" showInputMessage="1" showErrorMessage="1" sqref="BE3:BE301" xr:uid="{C7839F85-283E-446A-BEB4-1C6FA7944302}">
      <formula1>$BO$3:$BO$301</formula1>
    </dataValidation>
    <dataValidation type="list" allowBlank="1" showInputMessage="1" showErrorMessage="1" sqref="B3:B28 B43:B1048576 B41 B31:B38" xr:uid="{45F9B3DD-F8DC-4618-91B3-355BD28173D4}">
      <formula1>$J:$J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3CE05-D4ED-4101-9820-AA532894DB1D}">
  <sheetPr>
    <tabColor theme="7" tint="0.79998168889431442"/>
  </sheetPr>
  <dimension ref="A1:T68"/>
  <sheetViews>
    <sheetView workbookViewId="0">
      <pane ySplit="2" topLeftCell="A40" activePane="bottomLeft" state="frozen"/>
      <selection pane="bottomLeft" activeCell="D57" sqref="D57:H66"/>
    </sheetView>
  </sheetViews>
  <sheetFormatPr defaultRowHeight="15" x14ac:dyDescent="0.25"/>
  <cols>
    <col min="1" max="1" width="12.85546875" style="17" bestFit="1" customWidth="1"/>
    <col min="2" max="2" width="5.28515625" style="18" bestFit="1" customWidth="1"/>
    <col min="3" max="3" width="14" bestFit="1" customWidth="1"/>
    <col min="4" max="4" width="37.140625" bestFit="1" customWidth="1"/>
    <col min="5" max="5" width="5.5703125" bestFit="1" customWidth="1"/>
    <col min="6" max="6" width="34" bestFit="1" customWidth="1"/>
    <col min="7" max="7" width="24.42578125" style="40" bestFit="1" customWidth="1"/>
    <col min="8" max="8" width="25.28515625" style="17" bestFit="1" customWidth="1"/>
    <col min="9" max="9" width="4.42578125" style="18" bestFit="1" customWidth="1"/>
    <col min="10" max="10" width="4" bestFit="1" customWidth="1"/>
    <col min="11" max="11" width="3.7109375" bestFit="1" customWidth="1"/>
    <col min="12" max="13" width="4" bestFit="1" customWidth="1"/>
    <col min="14" max="14" width="4" customWidth="1"/>
    <col min="15" max="15" width="1.140625" style="37" customWidth="1"/>
    <col min="16" max="16" width="14" bestFit="1" customWidth="1"/>
    <col min="17" max="17" width="37" bestFit="1" customWidth="1"/>
    <col min="18" max="18" width="1.140625" style="21" customWidth="1"/>
    <col min="19" max="19" width="5.5703125" bestFit="1" customWidth="1"/>
    <col min="20" max="20" width="34" bestFit="1" customWidth="1"/>
  </cols>
  <sheetData>
    <row r="1" spans="1:20" x14ac:dyDescent="0.25">
      <c r="A1" s="41"/>
      <c r="B1" s="42"/>
      <c r="C1" s="126" t="s">
        <v>9</v>
      </c>
      <c r="D1" s="127"/>
      <c r="E1" s="127"/>
      <c r="F1" s="127"/>
      <c r="G1" s="127"/>
      <c r="H1" s="127"/>
      <c r="I1" s="128"/>
      <c r="J1" s="125" t="s">
        <v>10</v>
      </c>
      <c r="K1" s="125"/>
      <c r="L1" s="125"/>
      <c r="M1" s="125"/>
      <c r="N1" s="106"/>
      <c r="P1" s="34"/>
      <c r="Q1" s="35" t="s">
        <v>11</v>
      </c>
      <c r="S1" s="34"/>
      <c r="T1" s="34" t="s">
        <v>12</v>
      </c>
    </row>
    <row r="2" spans="1:20" ht="30" x14ac:dyDescent="0.25">
      <c r="A2" s="3" t="s">
        <v>69</v>
      </c>
      <c r="B2" s="27" t="s">
        <v>139</v>
      </c>
      <c r="C2" s="1" t="s">
        <v>0</v>
      </c>
      <c r="D2" s="2" t="s">
        <v>13</v>
      </c>
      <c r="E2" s="36" t="s">
        <v>137</v>
      </c>
      <c r="F2" s="3" t="s">
        <v>14</v>
      </c>
      <c r="G2" s="43" t="s">
        <v>256</v>
      </c>
      <c r="H2" s="3" t="s">
        <v>138</v>
      </c>
      <c r="I2" s="29" t="s">
        <v>71</v>
      </c>
      <c r="J2" s="4" t="s">
        <v>4</v>
      </c>
      <c r="K2" s="4" t="s">
        <v>6</v>
      </c>
      <c r="L2" s="4" t="s">
        <v>3</v>
      </c>
      <c r="M2" s="4" t="s">
        <v>5</v>
      </c>
      <c r="N2" s="18" t="s">
        <v>422</v>
      </c>
      <c r="P2" s="5" t="s">
        <v>0</v>
      </c>
      <c r="Q2" s="6" t="s">
        <v>13</v>
      </c>
      <c r="S2" s="6" t="s">
        <v>137</v>
      </c>
      <c r="T2" s="6" t="s">
        <v>14</v>
      </c>
    </row>
    <row r="3" spans="1:20" ht="15.75" x14ac:dyDescent="0.25">
      <c r="A3" s="26" t="str">
        <f t="shared" ref="A3:A15" si="0">$A$2&amp;"-"&amp;E3&amp;"-"&amp;B3</f>
        <v>RIO-3111-1</v>
      </c>
      <c r="B3" s="28">
        <v>1</v>
      </c>
      <c r="C3" s="11" t="s">
        <v>192</v>
      </c>
      <c r="D3" s="11" t="str">
        <f t="shared" ref="D3:D34" si="1">VLOOKUP(C3,P:Q,2,FALSE)</f>
        <v>ROM/Crush/Screen</v>
      </c>
      <c r="E3" s="12">
        <v>3111</v>
      </c>
      <c r="F3" s="13" t="str">
        <f t="shared" ref="F3:F34" si="2">VLOOKUP(E3,S:T,2,FALSE)</f>
        <v>ROM</v>
      </c>
      <c r="G3" s="44" t="s">
        <v>2</v>
      </c>
      <c r="H3" s="19" t="s">
        <v>2</v>
      </c>
      <c r="I3" s="12">
        <v>1</v>
      </c>
      <c r="J3" s="31">
        <f>VLOOKUP($H3,'Typical Counts'!$B:$F,2,FALSE)*$I3</f>
        <v>2</v>
      </c>
      <c r="K3" s="31">
        <f>VLOOKUP($H3,'Typical Counts'!$B:$F,3,FALSE)*$I3</f>
        <v>0</v>
      </c>
      <c r="L3" s="31">
        <f>VLOOKUP($H3,'Typical Counts'!$B:$F,4,FALSE)*$I3</f>
        <v>0</v>
      </c>
      <c r="M3" s="31">
        <f>VLOOKUP($H3,'Typical Counts'!$B:$F,5,FALSE)*$I3</f>
        <v>4</v>
      </c>
      <c r="N3" s="107">
        <f>I3</f>
        <v>1</v>
      </c>
      <c r="P3" s="9" t="s">
        <v>192</v>
      </c>
      <c r="Q3" s="14" t="s">
        <v>29</v>
      </c>
      <c r="S3" s="33">
        <v>3111</v>
      </c>
      <c r="T3" s="14" t="s">
        <v>2</v>
      </c>
    </row>
    <row r="4" spans="1:20" ht="15.75" x14ac:dyDescent="0.25">
      <c r="A4" s="26" t="str">
        <f t="shared" si="0"/>
        <v>RIO-3112-1</v>
      </c>
      <c r="B4" s="28">
        <v>1</v>
      </c>
      <c r="C4" s="11" t="s">
        <v>192</v>
      </c>
      <c r="D4" s="11" t="str">
        <f t="shared" si="1"/>
        <v>ROM/Crush/Screen</v>
      </c>
      <c r="E4" s="11">
        <v>3112</v>
      </c>
      <c r="F4" s="13" t="str">
        <f t="shared" si="2"/>
        <v>Primary Crushing</v>
      </c>
      <c r="G4" s="44" t="s">
        <v>30</v>
      </c>
      <c r="H4" s="13" t="s">
        <v>7</v>
      </c>
      <c r="I4" s="11">
        <v>1</v>
      </c>
      <c r="J4" s="31">
        <f>VLOOKUP($H4,'Typical Counts'!$B:$F,2,FALSE)*$I4</f>
        <v>12</v>
      </c>
      <c r="K4" s="31">
        <f>VLOOKUP($H4,'Typical Counts'!$B:$F,3,FALSE)*$I4</f>
        <v>0</v>
      </c>
      <c r="L4" s="31">
        <f>VLOOKUP($H4,'Typical Counts'!$B:$F,4,FALSE)*$I4</f>
        <v>52</v>
      </c>
      <c r="M4" s="31">
        <f>VLOOKUP($H4,'Typical Counts'!$B:$F,5,FALSE)*$I4</f>
        <v>8</v>
      </c>
      <c r="N4" s="107">
        <f t="shared" ref="N4:N67" si="3">I4</f>
        <v>1</v>
      </c>
      <c r="P4" s="9" t="s">
        <v>193</v>
      </c>
      <c r="Q4" s="14" t="s">
        <v>32</v>
      </c>
      <c r="S4" s="33">
        <v>3112</v>
      </c>
      <c r="T4" s="10" t="s">
        <v>30</v>
      </c>
    </row>
    <row r="5" spans="1:20" ht="15.75" x14ac:dyDescent="0.25">
      <c r="A5" s="26" t="str">
        <f t="shared" si="0"/>
        <v>RIO-3114-1</v>
      </c>
      <c r="B5" s="28">
        <v>1</v>
      </c>
      <c r="C5" s="11" t="s">
        <v>192</v>
      </c>
      <c r="D5" s="11" t="str">
        <f t="shared" si="1"/>
        <v>ROM/Crush/Screen</v>
      </c>
      <c r="E5" s="11">
        <v>3114</v>
      </c>
      <c r="F5" s="13" t="str">
        <f t="shared" si="2"/>
        <v>Secondary Crushing</v>
      </c>
      <c r="G5" s="44" t="s">
        <v>31</v>
      </c>
      <c r="H5" s="13" t="s">
        <v>7</v>
      </c>
      <c r="I5" s="11">
        <v>1</v>
      </c>
      <c r="J5" s="31">
        <f>VLOOKUP($H5,'Typical Counts'!$B:$F,2,FALSE)*$I5</f>
        <v>12</v>
      </c>
      <c r="K5" s="31">
        <f>VLOOKUP($H5,'Typical Counts'!$B:$F,3,FALSE)*$I5</f>
        <v>0</v>
      </c>
      <c r="L5" s="31">
        <f>VLOOKUP($H5,'Typical Counts'!$B:$F,4,FALSE)*$I5</f>
        <v>52</v>
      </c>
      <c r="M5" s="31">
        <f>VLOOKUP($H5,'Typical Counts'!$B:$F,5,FALSE)*$I5</f>
        <v>8</v>
      </c>
      <c r="N5" s="107">
        <f t="shared" si="3"/>
        <v>1</v>
      </c>
      <c r="P5" s="9" t="s">
        <v>194</v>
      </c>
      <c r="Q5" s="14" t="s">
        <v>17</v>
      </c>
      <c r="S5" s="33">
        <v>3113</v>
      </c>
      <c r="T5" s="10" t="s">
        <v>8</v>
      </c>
    </row>
    <row r="6" spans="1:20" ht="15.75" x14ac:dyDescent="0.25">
      <c r="A6" s="26" t="str">
        <f t="shared" si="0"/>
        <v>RIO-3113-1</v>
      </c>
      <c r="B6" s="28">
        <v>1</v>
      </c>
      <c r="C6" s="11" t="s">
        <v>192</v>
      </c>
      <c r="D6" s="11" t="str">
        <f t="shared" si="1"/>
        <v>ROM/Crush/Screen</v>
      </c>
      <c r="E6" s="11">
        <v>3113</v>
      </c>
      <c r="F6" s="13" t="str">
        <f t="shared" si="2"/>
        <v>Screening</v>
      </c>
      <c r="G6" s="44" t="s">
        <v>8</v>
      </c>
      <c r="H6" s="13" t="s">
        <v>8</v>
      </c>
      <c r="I6" s="11">
        <v>1</v>
      </c>
      <c r="J6" s="31">
        <f>VLOOKUP($H6,'Typical Counts'!$B:$F,2,FALSE)*$I6</f>
        <v>5</v>
      </c>
      <c r="K6" s="31">
        <f>VLOOKUP($H6,'Typical Counts'!$B:$F,3,FALSE)*$I6</f>
        <v>0</v>
      </c>
      <c r="L6" s="31">
        <f>VLOOKUP($H6,'Typical Counts'!$B:$F,4,FALSE)*$I6</f>
        <v>25</v>
      </c>
      <c r="M6" s="31">
        <f>VLOOKUP($H6,'Typical Counts'!$B:$F,5,FALSE)*$I6</f>
        <v>10</v>
      </c>
      <c r="N6" s="107">
        <f t="shared" si="3"/>
        <v>1</v>
      </c>
      <c r="P6" s="9" t="s">
        <v>195</v>
      </c>
      <c r="Q6" s="15" t="s">
        <v>42</v>
      </c>
      <c r="S6" s="33">
        <v>3114</v>
      </c>
      <c r="T6" s="10" t="s">
        <v>31</v>
      </c>
    </row>
    <row r="7" spans="1:20" ht="15.75" x14ac:dyDescent="0.25">
      <c r="A7" s="26" t="str">
        <f t="shared" si="0"/>
        <v>RIO-3115-1</v>
      </c>
      <c r="B7" s="28">
        <v>1</v>
      </c>
      <c r="C7" s="7" t="s">
        <v>193</v>
      </c>
      <c r="D7" s="7" t="str">
        <f t="shared" si="1"/>
        <v>Primary Mill / Mill Feed / Ball Loading</v>
      </c>
      <c r="E7" s="7">
        <v>3115</v>
      </c>
      <c r="F7" s="8" t="str">
        <f t="shared" si="2"/>
        <v>Mill Feed &amp; Ball Loader</v>
      </c>
      <c r="G7" s="45" t="s">
        <v>33</v>
      </c>
      <c r="H7" s="20" t="s">
        <v>214</v>
      </c>
      <c r="I7" s="30">
        <v>1</v>
      </c>
      <c r="J7" s="31">
        <f>VLOOKUP($H7,'Typical Counts'!$B:$F,2,FALSE)*$I7</f>
        <v>3</v>
      </c>
      <c r="K7" s="31">
        <f>VLOOKUP($H7,'Typical Counts'!$B:$F,3,FALSE)*$I7</f>
        <v>0</v>
      </c>
      <c r="L7" s="31">
        <f>VLOOKUP($H7,'Typical Counts'!$B:$F,4,FALSE)*$I7</f>
        <v>18</v>
      </c>
      <c r="M7" s="31">
        <f>VLOOKUP($H7,'Typical Counts'!$B:$F,5,FALSE)*$I7</f>
        <v>12</v>
      </c>
      <c r="N7" s="107">
        <f t="shared" si="3"/>
        <v>1</v>
      </c>
      <c r="P7" s="9" t="s">
        <v>196</v>
      </c>
      <c r="Q7" s="15" t="s">
        <v>268</v>
      </c>
      <c r="S7" s="33">
        <v>3115</v>
      </c>
      <c r="T7" s="10" t="s">
        <v>33</v>
      </c>
    </row>
    <row r="8" spans="1:20" ht="15.75" x14ac:dyDescent="0.25">
      <c r="A8" s="26" t="str">
        <f t="shared" si="0"/>
        <v>RIO-3115-1</v>
      </c>
      <c r="B8" s="28">
        <v>1</v>
      </c>
      <c r="C8" s="7" t="s">
        <v>193</v>
      </c>
      <c r="D8" s="7" t="str">
        <f t="shared" si="1"/>
        <v>Primary Mill / Mill Feed / Ball Loading</v>
      </c>
      <c r="E8" s="7">
        <v>3115</v>
      </c>
      <c r="F8" s="8" t="str">
        <f t="shared" si="2"/>
        <v>Mill Feed &amp; Ball Loader</v>
      </c>
      <c r="G8" s="45" t="s">
        <v>33</v>
      </c>
      <c r="H8" s="20" t="s">
        <v>214</v>
      </c>
      <c r="I8" s="30">
        <v>1</v>
      </c>
      <c r="J8" s="31">
        <f>VLOOKUP($H8,'Typical Counts'!$B:$F,2,FALSE)*$I8</f>
        <v>3</v>
      </c>
      <c r="K8" s="31">
        <f>VLOOKUP($H8,'Typical Counts'!$B:$F,3,FALSE)*$I8</f>
        <v>0</v>
      </c>
      <c r="L8" s="31">
        <f>VLOOKUP($H8,'Typical Counts'!$B:$F,4,FALSE)*$I8</f>
        <v>18</v>
      </c>
      <c r="M8" s="31">
        <f>VLOOKUP($H8,'Typical Counts'!$B:$F,5,FALSE)*$I8</f>
        <v>12</v>
      </c>
      <c r="N8" s="107">
        <f t="shared" si="3"/>
        <v>1</v>
      </c>
      <c r="P8" s="9" t="s">
        <v>213</v>
      </c>
      <c r="Q8" s="15" t="s">
        <v>269</v>
      </c>
      <c r="S8" s="33">
        <v>3121</v>
      </c>
      <c r="T8" s="16" t="s">
        <v>16</v>
      </c>
    </row>
    <row r="9" spans="1:20" ht="15.75" x14ac:dyDescent="0.25">
      <c r="A9" s="26" t="str">
        <f t="shared" si="0"/>
        <v>RIO-3121-1</v>
      </c>
      <c r="B9" s="28">
        <v>1</v>
      </c>
      <c r="C9" s="7" t="s">
        <v>193</v>
      </c>
      <c r="D9" s="7" t="str">
        <f t="shared" si="1"/>
        <v>Primary Mill / Mill Feed / Ball Loading</v>
      </c>
      <c r="E9" s="7">
        <v>3121</v>
      </c>
      <c r="F9" s="8" t="str">
        <f t="shared" si="2"/>
        <v>Primary Mill</v>
      </c>
      <c r="G9" s="45" t="s">
        <v>253</v>
      </c>
      <c r="H9" s="8" t="s">
        <v>216</v>
      </c>
      <c r="I9" s="7">
        <v>1</v>
      </c>
      <c r="J9" s="31">
        <f>VLOOKUP($H9,'Typical Counts'!$B:$F,2,FALSE)*$I9</f>
        <v>41</v>
      </c>
      <c r="K9" s="31">
        <f>VLOOKUP($H9,'Typical Counts'!$B:$F,3,FALSE)*$I9</f>
        <v>0</v>
      </c>
      <c r="L9" s="31">
        <f>VLOOKUP($H9,'Typical Counts'!$B:$F,4,FALSE)*$I9</f>
        <v>38</v>
      </c>
      <c r="M9" s="31">
        <f>VLOOKUP($H9,'Typical Counts'!$B:$F,5,FALSE)*$I9</f>
        <v>21</v>
      </c>
      <c r="N9" s="107">
        <f t="shared" si="3"/>
        <v>1</v>
      </c>
      <c r="P9" s="9" t="s">
        <v>267</v>
      </c>
      <c r="Q9" s="10" t="s">
        <v>15</v>
      </c>
      <c r="S9" s="33">
        <v>3122</v>
      </c>
      <c r="T9" s="10" t="s">
        <v>18</v>
      </c>
    </row>
    <row r="10" spans="1:20" ht="15.75" x14ac:dyDescent="0.25">
      <c r="A10" s="26" t="str">
        <f t="shared" si="0"/>
        <v>RIO-3121-2</v>
      </c>
      <c r="B10" s="28">
        <v>2</v>
      </c>
      <c r="C10" s="7" t="s">
        <v>193</v>
      </c>
      <c r="D10" s="7" t="str">
        <f t="shared" si="1"/>
        <v>Primary Mill / Mill Feed / Ball Loading</v>
      </c>
      <c r="E10" s="7">
        <v>3121</v>
      </c>
      <c r="F10" s="8" t="str">
        <f t="shared" si="2"/>
        <v>Primary Mill</v>
      </c>
      <c r="G10" s="45" t="s">
        <v>254</v>
      </c>
      <c r="H10" s="8" t="s">
        <v>217</v>
      </c>
      <c r="I10" s="7">
        <v>1</v>
      </c>
      <c r="J10" s="31">
        <f>VLOOKUP($H10,'Typical Counts'!$B:$F,2,FALSE)*$I10</f>
        <v>41</v>
      </c>
      <c r="K10" s="31">
        <f>VLOOKUP($H10,'Typical Counts'!$B:$F,3,FALSE)*$I10</f>
        <v>0</v>
      </c>
      <c r="L10" s="31">
        <f>VLOOKUP($H10,'Typical Counts'!$B:$F,4,FALSE)*$I10</f>
        <v>38</v>
      </c>
      <c r="M10" s="31">
        <f>VLOOKUP($H10,'Typical Counts'!$B:$F,5,FALSE)*$I10</f>
        <v>21</v>
      </c>
      <c r="N10" s="107">
        <f t="shared" si="3"/>
        <v>1</v>
      </c>
      <c r="Q10" s="17"/>
      <c r="S10" s="33">
        <v>3131</v>
      </c>
      <c r="T10" s="10" t="s">
        <v>99</v>
      </c>
    </row>
    <row r="11" spans="1:20" ht="15.75" x14ac:dyDescent="0.25">
      <c r="A11" s="26" t="str">
        <f t="shared" si="0"/>
        <v>RIO-3121-3</v>
      </c>
      <c r="B11" s="28">
        <v>3</v>
      </c>
      <c r="C11" s="7" t="s">
        <v>193</v>
      </c>
      <c r="D11" s="7" t="str">
        <f t="shared" si="1"/>
        <v>Primary Mill / Mill Feed / Ball Loading</v>
      </c>
      <c r="E11" s="7">
        <v>3121</v>
      </c>
      <c r="F11" s="8" t="str">
        <f t="shared" si="2"/>
        <v>Primary Mill</v>
      </c>
      <c r="G11" s="45" t="s">
        <v>255</v>
      </c>
      <c r="H11" s="8" t="s">
        <v>215</v>
      </c>
      <c r="I11" s="7">
        <v>1</v>
      </c>
      <c r="J11" s="31">
        <f>VLOOKUP($H11,'Typical Counts'!$B:$F,2,FALSE)*$I11</f>
        <v>41</v>
      </c>
      <c r="K11" s="31">
        <f>VLOOKUP($H11,'Typical Counts'!$B:$F,3,FALSE)*$I11</f>
        <v>3</v>
      </c>
      <c r="L11" s="31">
        <f>VLOOKUP($H11,'Typical Counts'!$B:$F,4,FALSE)*$I11</f>
        <v>38</v>
      </c>
      <c r="M11" s="31">
        <f>VLOOKUP($H11,'Typical Counts'!$B:$F,5,FALSE)*$I11</f>
        <v>21</v>
      </c>
      <c r="N11" s="107">
        <f t="shared" si="3"/>
        <v>1</v>
      </c>
      <c r="Q11" s="17"/>
      <c r="S11" s="33">
        <v>3132</v>
      </c>
      <c r="T11" s="10" t="s">
        <v>100</v>
      </c>
    </row>
    <row r="12" spans="1:20" ht="15.75" x14ac:dyDescent="0.25">
      <c r="A12" s="26" t="str">
        <f t="shared" si="0"/>
        <v>RIO-3122-1</v>
      </c>
      <c r="B12" s="28">
        <v>1</v>
      </c>
      <c r="C12" s="11" t="s">
        <v>194</v>
      </c>
      <c r="D12" s="11" t="str">
        <f t="shared" si="1"/>
        <v>Regrind / Flotation</v>
      </c>
      <c r="E12" s="11">
        <v>3122</v>
      </c>
      <c r="F12" s="13" t="str">
        <f t="shared" si="2"/>
        <v>Regrind Milling</v>
      </c>
      <c r="G12" s="44" t="s">
        <v>330</v>
      </c>
      <c r="H12" s="13" t="s">
        <v>308</v>
      </c>
      <c r="I12" s="11">
        <v>1</v>
      </c>
      <c r="J12" s="31">
        <f>VLOOKUP($H12,'Typical Counts'!$B:$F,2,FALSE)*$I12</f>
        <v>1</v>
      </c>
      <c r="K12" s="31">
        <f>VLOOKUP($H12,'Typical Counts'!$B:$F,3,FALSE)*$I12</f>
        <v>0</v>
      </c>
      <c r="L12" s="31">
        <f>VLOOKUP($H12,'Typical Counts'!$B:$F,4,FALSE)*$I12</f>
        <v>44</v>
      </c>
      <c r="M12" s="31">
        <f>VLOOKUP($H12,'Typical Counts'!$B:$F,5,FALSE)*$I12</f>
        <v>42</v>
      </c>
      <c r="N12" s="107">
        <f t="shared" si="3"/>
        <v>1</v>
      </c>
      <c r="Q12" s="17"/>
      <c r="S12" s="33">
        <v>3133</v>
      </c>
      <c r="T12" s="10" t="s">
        <v>126</v>
      </c>
    </row>
    <row r="13" spans="1:20" ht="15.75" x14ac:dyDescent="0.25">
      <c r="A13" s="26" t="str">
        <f t="shared" si="0"/>
        <v>RIO-3122-2</v>
      </c>
      <c r="B13" s="28">
        <v>2</v>
      </c>
      <c r="C13" s="11" t="s">
        <v>194</v>
      </c>
      <c r="D13" s="11" t="str">
        <f t="shared" si="1"/>
        <v>Regrind / Flotation</v>
      </c>
      <c r="E13" s="11">
        <v>3122</v>
      </c>
      <c r="F13" s="13" t="str">
        <f t="shared" si="2"/>
        <v>Regrind Milling</v>
      </c>
      <c r="G13" s="44" t="s">
        <v>330</v>
      </c>
      <c r="H13" s="13" t="s">
        <v>304</v>
      </c>
      <c r="I13" s="11">
        <v>1</v>
      </c>
      <c r="J13" s="31">
        <f>VLOOKUP($H13,'Typical Counts'!$B:$F,2,FALSE)*$I13</f>
        <v>0</v>
      </c>
      <c r="K13" s="31">
        <f>VLOOKUP($H13,'Typical Counts'!$B:$F,3,FALSE)*$I13</f>
        <v>0</v>
      </c>
      <c r="L13" s="31">
        <f>VLOOKUP($H13,'Typical Counts'!$B:$F,4,FALSE)*$I13</f>
        <v>38</v>
      </c>
      <c r="M13" s="31">
        <f>VLOOKUP($H13,'Typical Counts'!$B:$F,5,FALSE)*$I13</f>
        <v>22</v>
      </c>
      <c r="N13" s="107">
        <f t="shared" si="3"/>
        <v>1</v>
      </c>
      <c r="Q13" s="17"/>
      <c r="S13" s="33">
        <v>3141</v>
      </c>
      <c r="T13" s="10" t="s">
        <v>124</v>
      </c>
    </row>
    <row r="14" spans="1:20" ht="15.75" x14ac:dyDescent="0.25">
      <c r="A14" s="26" t="str">
        <f t="shared" si="0"/>
        <v>RIO-3122-3</v>
      </c>
      <c r="B14" s="28">
        <v>3</v>
      </c>
      <c r="C14" s="11" t="s">
        <v>194</v>
      </c>
      <c r="D14" s="11" t="str">
        <f t="shared" si="1"/>
        <v>Regrind / Flotation</v>
      </c>
      <c r="E14" s="11">
        <v>3122</v>
      </c>
      <c r="F14" s="13" t="str">
        <f t="shared" si="2"/>
        <v>Regrind Milling</v>
      </c>
      <c r="G14" s="44" t="s">
        <v>34</v>
      </c>
      <c r="H14" s="13" t="s">
        <v>34</v>
      </c>
      <c r="I14" s="11">
        <v>1</v>
      </c>
      <c r="J14" s="31">
        <f>VLOOKUP($H14,'Typical Counts'!$B:$F,2,FALSE)*$I14</f>
        <v>22</v>
      </c>
      <c r="K14" s="31">
        <f>VLOOKUP($H14,'Typical Counts'!$B:$F,3,FALSE)*$I14</f>
        <v>0</v>
      </c>
      <c r="L14" s="31">
        <f>VLOOKUP($H14,'Typical Counts'!$B:$F,4,FALSE)*$I14</f>
        <v>36</v>
      </c>
      <c r="M14" s="31">
        <f>VLOOKUP($H14,'Typical Counts'!$B:$F,5,FALSE)*$I14</f>
        <v>17</v>
      </c>
      <c r="N14" s="107">
        <f t="shared" si="3"/>
        <v>1</v>
      </c>
      <c r="Q14" s="17"/>
      <c r="S14" s="33">
        <v>3142</v>
      </c>
      <c r="T14" s="10" t="s">
        <v>125</v>
      </c>
    </row>
    <row r="15" spans="1:20" ht="15.75" x14ac:dyDescent="0.25">
      <c r="A15" s="26" t="str">
        <f t="shared" si="0"/>
        <v>RIO-3122-4</v>
      </c>
      <c r="B15" s="28">
        <v>4</v>
      </c>
      <c r="C15" s="11" t="s">
        <v>194</v>
      </c>
      <c r="D15" s="11" t="str">
        <f t="shared" si="1"/>
        <v>Regrind / Flotation</v>
      </c>
      <c r="E15" s="11">
        <v>3122</v>
      </c>
      <c r="F15" s="13" t="str">
        <f t="shared" si="2"/>
        <v>Regrind Milling</v>
      </c>
      <c r="G15" s="44" t="s">
        <v>34</v>
      </c>
      <c r="H15" s="13" t="s">
        <v>316</v>
      </c>
      <c r="I15" s="11">
        <v>1</v>
      </c>
      <c r="J15" s="31">
        <f>VLOOKUP($H15,'Typical Counts'!$B:$F,2,FALSE)*$I15</f>
        <v>12</v>
      </c>
      <c r="K15" s="31">
        <f>VLOOKUP($H15,'Typical Counts'!$B:$F,3,FALSE)*$I15</f>
        <v>2</v>
      </c>
      <c r="L15" s="31">
        <f>VLOOKUP($H15,'Typical Counts'!$B:$F,4,FALSE)*$I15</f>
        <v>32</v>
      </c>
      <c r="M15" s="31">
        <f>VLOOKUP($H15,'Typical Counts'!$B:$F,5,FALSE)*$I15</f>
        <v>20</v>
      </c>
      <c r="N15" s="107">
        <f t="shared" si="3"/>
        <v>1</v>
      </c>
      <c r="Q15" s="17"/>
      <c r="S15" s="33">
        <v>3151</v>
      </c>
      <c r="T15" s="10" t="s">
        <v>19</v>
      </c>
    </row>
    <row r="16" spans="1:20" ht="15.75" x14ac:dyDescent="0.25">
      <c r="A16" s="26" t="str">
        <f t="shared" ref="A16:A68" si="4">$A$2&amp;"-"&amp;E16&amp;"-"&amp;B16</f>
        <v>RIO-3131-1</v>
      </c>
      <c r="B16" s="28">
        <v>1</v>
      </c>
      <c r="C16" s="11" t="s">
        <v>194</v>
      </c>
      <c r="D16" s="11" t="str">
        <f t="shared" si="1"/>
        <v>Regrind / Flotation</v>
      </c>
      <c r="E16" s="11">
        <v>3131</v>
      </c>
      <c r="F16" s="13" t="str">
        <f t="shared" si="2"/>
        <v>Aeration/Rougher/HG Flotation</v>
      </c>
      <c r="G16" s="44" t="s">
        <v>250</v>
      </c>
      <c r="H16" s="13" t="s">
        <v>50</v>
      </c>
      <c r="I16" s="11">
        <v>6</v>
      </c>
      <c r="J16" s="31">
        <f>VLOOKUP($H16,'Typical Counts'!$B:$F,2,FALSE)*$I16</f>
        <v>42</v>
      </c>
      <c r="K16" s="31">
        <f>VLOOKUP($H16,'Typical Counts'!$B:$F,3,FALSE)*$I16</f>
        <v>24</v>
      </c>
      <c r="L16" s="31">
        <f>VLOOKUP($H16,'Typical Counts'!$B:$F,4,FALSE)*$I16</f>
        <v>24</v>
      </c>
      <c r="M16" s="31">
        <f>VLOOKUP($H16,'Typical Counts'!$B:$F,5,FALSE)*$I16</f>
        <v>0</v>
      </c>
      <c r="N16" s="107">
        <f t="shared" si="3"/>
        <v>6</v>
      </c>
      <c r="Q16" s="17"/>
      <c r="S16" s="33">
        <v>3152</v>
      </c>
      <c r="T16" s="10" t="s">
        <v>20</v>
      </c>
    </row>
    <row r="17" spans="1:20" ht="15.75" x14ac:dyDescent="0.25">
      <c r="A17" s="26" t="str">
        <f t="shared" si="4"/>
        <v>RIO-3131-2</v>
      </c>
      <c r="B17" s="28">
        <v>2</v>
      </c>
      <c r="C17" s="11" t="s">
        <v>194</v>
      </c>
      <c r="D17" s="11" t="str">
        <f t="shared" si="1"/>
        <v>Regrind / Flotation</v>
      </c>
      <c r="E17" s="11">
        <v>3131</v>
      </c>
      <c r="F17" s="13" t="str">
        <f t="shared" si="2"/>
        <v>Aeration/Rougher/HG Flotation</v>
      </c>
      <c r="G17" s="44" t="s">
        <v>250</v>
      </c>
      <c r="H17" s="13" t="s">
        <v>70</v>
      </c>
      <c r="I17" s="11">
        <v>1</v>
      </c>
      <c r="J17" s="31">
        <f>VLOOKUP($H17,'Typical Counts'!$B:$F,2,FALSE)*$I17</f>
        <v>4</v>
      </c>
      <c r="K17" s="31">
        <f>VLOOKUP($H17,'Typical Counts'!$B:$F,3,FALSE)*$I17</f>
        <v>0</v>
      </c>
      <c r="L17" s="31">
        <f>VLOOKUP($H17,'Typical Counts'!$B:$F,4,FALSE)*$I17</f>
        <v>14</v>
      </c>
      <c r="M17" s="31">
        <f>VLOOKUP($H17,'Typical Counts'!$B:$F,5,FALSE)*$I17</f>
        <v>4</v>
      </c>
      <c r="N17" s="107">
        <f t="shared" si="3"/>
        <v>1</v>
      </c>
      <c r="Q17" s="17"/>
      <c r="S17" s="33">
        <v>3161</v>
      </c>
      <c r="T17" s="16" t="s">
        <v>179</v>
      </c>
    </row>
    <row r="18" spans="1:20" ht="15.75" x14ac:dyDescent="0.25">
      <c r="A18" s="26" t="str">
        <f t="shared" si="4"/>
        <v>RIO-3131-3</v>
      </c>
      <c r="B18" s="28">
        <v>3</v>
      </c>
      <c r="C18" s="11" t="s">
        <v>194</v>
      </c>
      <c r="D18" s="11" t="str">
        <f t="shared" si="1"/>
        <v>Regrind / Flotation</v>
      </c>
      <c r="E18" s="11">
        <v>3131</v>
      </c>
      <c r="F18" s="13" t="str">
        <f t="shared" si="2"/>
        <v>Aeration/Rougher/HG Flotation</v>
      </c>
      <c r="G18" s="44" t="s">
        <v>251</v>
      </c>
      <c r="H18" s="13" t="s">
        <v>50</v>
      </c>
      <c r="I18" s="11">
        <v>6</v>
      </c>
      <c r="J18" s="31">
        <f>VLOOKUP($H18,'Typical Counts'!$B:$F,2,FALSE)*$I18</f>
        <v>42</v>
      </c>
      <c r="K18" s="31">
        <f>VLOOKUP($H18,'Typical Counts'!$B:$F,3,FALSE)*$I18</f>
        <v>24</v>
      </c>
      <c r="L18" s="31">
        <f>VLOOKUP($H18,'Typical Counts'!$B:$F,4,FALSE)*$I18</f>
        <v>24</v>
      </c>
      <c r="M18" s="31">
        <f>VLOOKUP($H18,'Typical Counts'!$B:$F,5,FALSE)*$I18</f>
        <v>0</v>
      </c>
      <c r="N18" s="107">
        <f t="shared" si="3"/>
        <v>6</v>
      </c>
      <c r="Q18" s="17"/>
      <c r="S18" s="33">
        <v>3162</v>
      </c>
      <c r="T18" s="10" t="s">
        <v>22</v>
      </c>
    </row>
    <row r="19" spans="1:20" ht="15.75" x14ac:dyDescent="0.25">
      <c r="A19" s="26" t="str">
        <f t="shared" si="4"/>
        <v>RIO-3131-4</v>
      </c>
      <c r="B19" s="28">
        <v>4</v>
      </c>
      <c r="C19" s="11" t="s">
        <v>194</v>
      </c>
      <c r="D19" s="11" t="str">
        <f t="shared" si="1"/>
        <v>Regrind / Flotation</v>
      </c>
      <c r="E19" s="11">
        <v>3131</v>
      </c>
      <c r="F19" s="13" t="str">
        <f t="shared" si="2"/>
        <v>Aeration/Rougher/HG Flotation</v>
      </c>
      <c r="G19" s="44" t="s">
        <v>251</v>
      </c>
      <c r="H19" s="13" t="s">
        <v>70</v>
      </c>
      <c r="I19" s="11">
        <v>1</v>
      </c>
      <c r="J19" s="31">
        <f>VLOOKUP($H19,'Typical Counts'!$B:$F,2,FALSE)*$I19</f>
        <v>4</v>
      </c>
      <c r="K19" s="31">
        <f>VLOOKUP($H19,'Typical Counts'!$B:$F,3,FALSE)*$I19</f>
        <v>0</v>
      </c>
      <c r="L19" s="31">
        <f>VLOOKUP($H19,'Typical Counts'!$B:$F,4,FALSE)*$I19</f>
        <v>14</v>
      </c>
      <c r="M19" s="31">
        <f>VLOOKUP($H19,'Typical Counts'!$B:$F,5,FALSE)*$I19</f>
        <v>4</v>
      </c>
      <c r="N19" s="107">
        <f t="shared" si="3"/>
        <v>1</v>
      </c>
      <c r="Q19" s="17"/>
      <c r="S19" s="33">
        <v>3163</v>
      </c>
      <c r="T19" s="10" t="s">
        <v>180</v>
      </c>
    </row>
    <row r="20" spans="1:20" ht="15.75" x14ac:dyDescent="0.25">
      <c r="A20" s="26" t="str">
        <f t="shared" si="4"/>
        <v>RIO-3131-5</v>
      </c>
      <c r="B20" s="28">
        <v>5</v>
      </c>
      <c r="C20" s="11" t="s">
        <v>194</v>
      </c>
      <c r="D20" s="11" t="str">
        <f t="shared" si="1"/>
        <v>Regrind / Flotation</v>
      </c>
      <c r="E20" s="11">
        <v>3131</v>
      </c>
      <c r="F20" s="13" t="str">
        <f t="shared" si="2"/>
        <v>Aeration/Rougher/HG Flotation</v>
      </c>
      <c r="G20" s="44" t="s">
        <v>252</v>
      </c>
      <c r="H20" s="13" t="s">
        <v>35</v>
      </c>
      <c r="I20" s="11">
        <v>1</v>
      </c>
      <c r="J20" s="31">
        <f>VLOOKUP($H20,'Typical Counts'!$B:$F,2,FALSE)*$I20</f>
        <v>9</v>
      </c>
      <c r="K20" s="31">
        <f>VLOOKUP($H20,'Typical Counts'!$B:$F,3,FALSE)*$I20</f>
        <v>3</v>
      </c>
      <c r="L20" s="31">
        <f>VLOOKUP($H20,'Typical Counts'!$B:$F,4,FALSE)*$I20</f>
        <v>14</v>
      </c>
      <c r="M20" s="31">
        <f>VLOOKUP($H20,'Typical Counts'!$B:$F,5,FALSE)*$I20</f>
        <v>12</v>
      </c>
      <c r="N20" s="107">
        <f t="shared" si="3"/>
        <v>1</v>
      </c>
      <c r="Q20" s="17"/>
      <c r="S20" s="33">
        <v>3165</v>
      </c>
      <c r="T20" s="10" t="s">
        <v>24</v>
      </c>
    </row>
    <row r="21" spans="1:20" ht="15.75" x14ac:dyDescent="0.25">
      <c r="A21" s="26" t="str">
        <f t="shared" si="4"/>
        <v>RIO-3131-6</v>
      </c>
      <c r="B21" s="28">
        <v>6</v>
      </c>
      <c r="C21" s="11" t="s">
        <v>194</v>
      </c>
      <c r="D21" s="11" t="str">
        <f t="shared" si="1"/>
        <v>Regrind / Flotation</v>
      </c>
      <c r="E21" s="11">
        <v>3131</v>
      </c>
      <c r="F21" s="13" t="str">
        <f t="shared" si="2"/>
        <v>Aeration/Rougher/HG Flotation</v>
      </c>
      <c r="G21" s="44" t="s">
        <v>252</v>
      </c>
      <c r="H21" s="13" t="s">
        <v>75</v>
      </c>
      <c r="I21" s="11">
        <v>1</v>
      </c>
      <c r="J21" s="31">
        <f>VLOOKUP($H21,'Typical Counts'!$B:$F,2,FALSE)*$I21</f>
        <v>6</v>
      </c>
      <c r="K21" s="31">
        <f>VLOOKUP($H21,'Typical Counts'!$B:$F,3,FALSE)*$I21</f>
        <v>2</v>
      </c>
      <c r="L21" s="31">
        <f>VLOOKUP($H21,'Typical Counts'!$B:$F,4,FALSE)*$I21</f>
        <v>53</v>
      </c>
      <c r="M21" s="31">
        <f>VLOOKUP($H21,'Typical Counts'!$B:$F,5,FALSE)*$I21</f>
        <v>21</v>
      </c>
      <c r="N21" s="107">
        <f t="shared" si="3"/>
        <v>1</v>
      </c>
      <c r="Q21" s="17"/>
      <c r="S21" s="33">
        <v>3167</v>
      </c>
      <c r="T21" s="10" t="s">
        <v>261</v>
      </c>
    </row>
    <row r="22" spans="1:20" ht="15.75" x14ac:dyDescent="0.25">
      <c r="A22" s="26" t="str">
        <f t="shared" si="4"/>
        <v>RIO-3132-1</v>
      </c>
      <c r="B22" s="28">
        <v>1</v>
      </c>
      <c r="C22" s="11" t="s">
        <v>194</v>
      </c>
      <c r="D22" s="11" t="str">
        <f t="shared" si="1"/>
        <v>Regrind / Flotation</v>
      </c>
      <c r="E22" s="11">
        <v>3132</v>
      </c>
      <c r="F22" s="13" t="str">
        <f t="shared" si="2"/>
        <v>MG/Cleaner/Scavenger Flotation</v>
      </c>
      <c r="G22" s="44" t="s">
        <v>258</v>
      </c>
      <c r="H22" s="13" t="s">
        <v>35</v>
      </c>
      <c r="I22" s="11">
        <v>1</v>
      </c>
      <c r="J22" s="31">
        <f>VLOOKUP($H22,'Typical Counts'!$B:$F,2,FALSE)*$I22</f>
        <v>9</v>
      </c>
      <c r="K22" s="31">
        <f>VLOOKUP($H22,'Typical Counts'!$B:$F,3,FALSE)*$I22</f>
        <v>3</v>
      </c>
      <c r="L22" s="31">
        <f>VLOOKUP($H22,'Typical Counts'!$B:$F,4,FALSE)*$I22</f>
        <v>14</v>
      </c>
      <c r="M22" s="31">
        <f>VLOOKUP($H22,'Typical Counts'!$B:$F,5,FALSE)*$I22</f>
        <v>12</v>
      </c>
      <c r="N22" s="107">
        <f t="shared" si="3"/>
        <v>1</v>
      </c>
      <c r="Q22" s="17"/>
      <c r="S22" s="33">
        <v>3171</v>
      </c>
      <c r="T22" s="10" t="s">
        <v>25</v>
      </c>
    </row>
    <row r="23" spans="1:20" ht="15.75" x14ac:dyDescent="0.25">
      <c r="A23" s="26" t="str">
        <f t="shared" si="4"/>
        <v>RIO-3132-2</v>
      </c>
      <c r="B23" s="28">
        <v>2</v>
      </c>
      <c r="C23" s="11" t="s">
        <v>194</v>
      </c>
      <c r="D23" s="11" t="str">
        <f t="shared" si="1"/>
        <v>Regrind / Flotation</v>
      </c>
      <c r="E23" s="11">
        <v>3132</v>
      </c>
      <c r="F23" s="13" t="str">
        <f t="shared" si="2"/>
        <v>MG/Cleaner/Scavenger Flotation</v>
      </c>
      <c r="G23" s="44" t="s">
        <v>258</v>
      </c>
      <c r="H23" s="13" t="s">
        <v>75</v>
      </c>
      <c r="I23" s="11">
        <v>1</v>
      </c>
      <c r="J23" s="31">
        <f>VLOOKUP($H23,'Typical Counts'!$B:$F,2,FALSE)*$I23</f>
        <v>6</v>
      </c>
      <c r="K23" s="31">
        <f>VLOOKUP($H23,'Typical Counts'!$B:$F,3,FALSE)*$I23</f>
        <v>2</v>
      </c>
      <c r="L23" s="31">
        <f>VLOOKUP($H23,'Typical Counts'!$B:$F,4,FALSE)*$I23</f>
        <v>53</v>
      </c>
      <c r="M23" s="31">
        <f>VLOOKUP($H23,'Typical Counts'!$B:$F,5,FALSE)*$I23</f>
        <v>21</v>
      </c>
      <c r="N23" s="107">
        <f t="shared" si="3"/>
        <v>1</v>
      </c>
      <c r="Q23" s="17"/>
      <c r="S23" s="33">
        <v>3172</v>
      </c>
      <c r="T23" s="10" t="s">
        <v>38</v>
      </c>
    </row>
    <row r="24" spans="1:20" ht="15.75" x14ac:dyDescent="0.25">
      <c r="A24" s="26" t="str">
        <f t="shared" si="4"/>
        <v>RIO-3132-3</v>
      </c>
      <c r="B24" s="28">
        <v>3</v>
      </c>
      <c r="C24" s="11" t="s">
        <v>194</v>
      </c>
      <c r="D24" s="11" t="str">
        <f t="shared" si="1"/>
        <v>Regrind / Flotation</v>
      </c>
      <c r="E24" s="11">
        <v>3132</v>
      </c>
      <c r="F24" s="13" t="str">
        <f t="shared" si="2"/>
        <v>MG/Cleaner/Scavenger Flotation</v>
      </c>
      <c r="G24" s="44" t="s">
        <v>259</v>
      </c>
      <c r="H24" s="13" t="s">
        <v>50</v>
      </c>
      <c r="I24" s="11">
        <v>5</v>
      </c>
      <c r="J24" s="31">
        <f>VLOOKUP($H24,'Typical Counts'!$B:$F,2,FALSE)*$I24</f>
        <v>35</v>
      </c>
      <c r="K24" s="31">
        <f>VLOOKUP($H24,'Typical Counts'!$B:$F,3,FALSE)*$I24</f>
        <v>20</v>
      </c>
      <c r="L24" s="31">
        <f>VLOOKUP($H24,'Typical Counts'!$B:$F,4,FALSE)*$I24</f>
        <v>20</v>
      </c>
      <c r="M24" s="31">
        <f>VLOOKUP($H24,'Typical Counts'!$B:$F,5,FALSE)*$I24</f>
        <v>0</v>
      </c>
      <c r="N24" s="107">
        <f t="shared" si="3"/>
        <v>5</v>
      </c>
      <c r="Q24" s="17"/>
      <c r="S24" s="33">
        <v>3173</v>
      </c>
      <c r="T24" s="10" t="s">
        <v>27</v>
      </c>
    </row>
    <row r="25" spans="1:20" ht="15.75" x14ac:dyDescent="0.25">
      <c r="A25" s="26" t="str">
        <f t="shared" si="4"/>
        <v>RIO-3132-4</v>
      </c>
      <c r="B25" s="28">
        <v>4</v>
      </c>
      <c r="C25" s="11" t="s">
        <v>194</v>
      </c>
      <c r="D25" s="11" t="str">
        <f t="shared" si="1"/>
        <v>Regrind / Flotation</v>
      </c>
      <c r="E25" s="11">
        <v>3132</v>
      </c>
      <c r="F25" s="13" t="str">
        <f t="shared" si="2"/>
        <v>MG/Cleaner/Scavenger Flotation</v>
      </c>
      <c r="G25" s="44" t="s">
        <v>259</v>
      </c>
      <c r="H25" s="13" t="s">
        <v>70</v>
      </c>
      <c r="I25" s="11">
        <v>1</v>
      </c>
      <c r="J25" s="31">
        <f>VLOOKUP($H25,'Typical Counts'!$B:$F,2,FALSE)*$I25</f>
        <v>4</v>
      </c>
      <c r="K25" s="31">
        <f>VLOOKUP($H25,'Typical Counts'!$B:$F,3,FALSE)*$I25</f>
        <v>0</v>
      </c>
      <c r="L25" s="31">
        <f>VLOOKUP($H25,'Typical Counts'!$B:$F,4,FALSE)*$I25</f>
        <v>14</v>
      </c>
      <c r="M25" s="31">
        <f>VLOOKUP($H25,'Typical Counts'!$B:$F,5,FALSE)*$I25</f>
        <v>4</v>
      </c>
      <c r="N25" s="107">
        <f t="shared" si="3"/>
        <v>1</v>
      </c>
      <c r="Q25" s="17"/>
      <c r="S25" s="33">
        <v>3174</v>
      </c>
      <c r="T25" s="10" t="s">
        <v>28</v>
      </c>
    </row>
    <row r="26" spans="1:20" ht="15.75" x14ac:dyDescent="0.25">
      <c r="A26" s="26" t="str">
        <f t="shared" si="4"/>
        <v>RIO-3132-5</v>
      </c>
      <c r="B26" s="28">
        <v>5</v>
      </c>
      <c r="C26" s="11" t="s">
        <v>194</v>
      </c>
      <c r="D26" s="11" t="str">
        <f t="shared" si="1"/>
        <v>Regrind / Flotation</v>
      </c>
      <c r="E26" s="11">
        <v>3132</v>
      </c>
      <c r="F26" s="13" t="str">
        <f t="shared" si="2"/>
        <v>MG/Cleaner/Scavenger Flotation</v>
      </c>
      <c r="G26" s="44" t="s">
        <v>260</v>
      </c>
      <c r="H26" s="13" t="s">
        <v>50</v>
      </c>
      <c r="I26" s="11">
        <v>5</v>
      </c>
      <c r="J26" s="31">
        <f>VLOOKUP($H26,'Typical Counts'!$B:$F,2,FALSE)*$I26</f>
        <v>35</v>
      </c>
      <c r="K26" s="31">
        <f>VLOOKUP($H26,'Typical Counts'!$B:$F,3,FALSE)*$I26</f>
        <v>20</v>
      </c>
      <c r="L26" s="31">
        <f>VLOOKUP($H26,'Typical Counts'!$B:$F,4,FALSE)*$I26</f>
        <v>20</v>
      </c>
      <c r="M26" s="31">
        <f>VLOOKUP($H26,'Typical Counts'!$B:$F,5,FALSE)*$I26</f>
        <v>0</v>
      </c>
      <c r="N26" s="107">
        <f t="shared" si="3"/>
        <v>5</v>
      </c>
      <c r="Q26" s="17"/>
      <c r="S26" s="33">
        <v>3175</v>
      </c>
      <c r="T26" s="10" t="s">
        <v>128</v>
      </c>
    </row>
    <row r="27" spans="1:20" ht="15.75" x14ac:dyDescent="0.25">
      <c r="A27" s="26" t="str">
        <f t="shared" si="4"/>
        <v>RIO-3132-6</v>
      </c>
      <c r="B27" s="28">
        <v>6</v>
      </c>
      <c r="C27" s="11" t="s">
        <v>194</v>
      </c>
      <c r="D27" s="11" t="str">
        <f t="shared" si="1"/>
        <v>Regrind / Flotation</v>
      </c>
      <c r="E27" s="11">
        <v>3132</v>
      </c>
      <c r="F27" s="13" t="str">
        <f t="shared" si="2"/>
        <v>MG/Cleaner/Scavenger Flotation</v>
      </c>
      <c r="G27" s="44" t="s">
        <v>260</v>
      </c>
      <c r="H27" s="13" t="s">
        <v>70</v>
      </c>
      <c r="I27" s="11">
        <v>1</v>
      </c>
      <c r="J27" s="31">
        <f>VLOOKUP($H27,'Typical Counts'!$B:$F,2,FALSE)*$I27</f>
        <v>4</v>
      </c>
      <c r="K27" s="31">
        <f>VLOOKUP($H27,'Typical Counts'!$B:$F,3,FALSE)*$I27</f>
        <v>0</v>
      </c>
      <c r="L27" s="31">
        <f>VLOOKUP($H27,'Typical Counts'!$B:$F,4,FALSE)*$I27</f>
        <v>14</v>
      </c>
      <c r="M27" s="31">
        <f>VLOOKUP($H27,'Typical Counts'!$B:$F,5,FALSE)*$I27</f>
        <v>4</v>
      </c>
      <c r="N27" s="107">
        <f t="shared" si="3"/>
        <v>1</v>
      </c>
      <c r="Q27" s="17"/>
      <c r="S27" s="33">
        <v>3176</v>
      </c>
      <c r="T27" s="10" t="s">
        <v>26</v>
      </c>
    </row>
    <row r="28" spans="1:20" ht="15.75" x14ac:dyDescent="0.25">
      <c r="A28" s="26" t="str">
        <f t="shared" si="4"/>
        <v>RIO-3167-1</v>
      </c>
      <c r="B28" s="28">
        <v>1</v>
      </c>
      <c r="C28" s="11" t="s">
        <v>194</v>
      </c>
      <c r="D28" s="11" t="str">
        <f t="shared" si="1"/>
        <v>Regrind / Flotation</v>
      </c>
      <c r="E28" s="11">
        <v>3167</v>
      </c>
      <c r="F28" s="13" t="str">
        <f t="shared" si="2"/>
        <v>Air Blower / Plant &amp; Instrument Air</v>
      </c>
      <c r="G28" s="44" t="s">
        <v>261</v>
      </c>
      <c r="H28" s="13" t="s">
        <v>40</v>
      </c>
      <c r="I28" s="11">
        <v>1</v>
      </c>
      <c r="J28" s="31">
        <f>VLOOKUP($H28,'Typical Counts'!$B:$F,2,FALSE)*$I28</f>
        <v>4</v>
      </c>
      <c r="K28" s="31">
        <f>VLOOKUP($H28,'Typical Counts'!$B:$F,3,FALSE)*$I28</f>
        <v>3</v>
      </c>
      <c r="L28" s="31">
        <f>VLOOKUP($H28,'Typical Counts'!$B:$F,4,FALSE)*$I28</f>
        <v>14</v>
      </c>
      <c r="M28" s="31">
        <f>VLOOKUP($H28,'Typical Counts'!$B:$F,5,FALSE)*$I28</f>
        <v>1</v>
      </c>
      <c r="N28" s="107">
        <f t="shared" si="3"/>
        <v>1</v>
      </c>
      <c r="Q28" s="17"/>
      <c r="S28" s="33">
        <v>3177</v>
      </c>
      <c r="T28" s="10" t="s">
        <v>39</v>
      </c>
    </row>
    <row r="29" spans="1:20" ht="15.75" x14ac:dyDescent="0.25">
      <c r="A29" s="26" t="str">
        <f t="shared" si="4"/>
        <v>RIO-3167-1</v>
      </c>
      <c r="B29" s="28">
        <v>1</v>
      </c>
      <c r="C29" s="11" t="s">
        <v>194</v>
      </c>
      <c r="D29" s="11" t="str">
        <f t="shared" si="1"/>
        <v>Regrind / Flotation</v>
      </c>
      <c r="E29" s="11">
        <v>3167</v>
      </c>
      <c r="F29" s="13" t="str">
        <f t="shared" si="2"/>
        <v>Air Blower / Plant &amp; Instrument Air</v>
      </c>
      <c r="G29" s="44" t="s">
        <v>261</v>
      </c>
      <c r="H29" s="13" t="s">
        <v>109</v>
      </c>
      <c r="I29" s="11">
        <v>8</v>
      </c>
      <c r="J29" s="31">
        <f>VLOOKUP($H29,'Typical Counts'!$B:$F,2,FALSE)*$I29</f>
        <v>16</v>
      </c>
      <c r="K29" s="31">
        <f>VLOOKUP($H29,'Typical Counts'!$B:$F,3,FALSE)*$I29</f>
        <v>8</v>
      </c>
      <c r="L29" s="31">
        <f>VLOOKUP($H29,'Typical Counts'!$B:$F,4,FALSE)*$I29</f>
        <v>0</v>
      </c>
      <c r="M29" s="31">
        <f>VLOOKUP($H29,'Typical Counts'!$B:$F,5,FALSE)*$I29</f>
        <v>0</v>
      </c>
      <c r="N29" s="107">
        <f t="shared" si="3"/>
        <v>8</v>
      </c>
      <c r="Q29" s="17"/>
      <c r="S29" s="33">
        <v>3178</v>
      </c>
      <c r="T29" s="10" t="s">
        <v>127</v>
      </c>
    </row>
    <row r="30" spans="1:20" ht="15.75" x14ac:dyDescent="0.25">
      <c r="A30" s="26" t="str">
        <f t="shared" si="4"/>
        <v>RIO-3171-1</v>
      </c>
      <c r="B30" s="28">
        <v>1</v>
      </c>
      <c r="C30" s="11" t="s">
        <v>194</v>
      </c>
      <c r="D30" s="11" t="str">
        <f t="shared" si="1"/>
        <v>Regrind / Flotation</v>
      </c>
      <c r="E30" s="11">
        <v>3171</v>
      </c>
      <c r="F30" s="13" t="str">
        <f t="shared" si="2"/>
        <v>Collector Dosing</v>
      </c>
      <c r="G30" s="44" t="s">
        <v>25</v>
      </c>
      <c r="H30" s="13" t="s">
        <v>105</v>
      </c>
      <c r="I30" s="11">
        <v>8</v>
      </c>
      <c r="J30" s="31">
        <f>VLOOKUP($H30,'Typical Counts'!$B:$F,2,FALSE)*$I30</f>
        <v>8</v>
      </c>
      <c r="K30" s="31">
        <f>VLOOKUP($H30,'Typical Counts'!$B:$F,3,FALSE)*$I30</f>
        <v>0</v>
      </c>
      <c r="L30" s="31">
        <f>VLOOKUP($H30,'Typical Counts'!$B:$F,4,FALSE)*$I30</f>
        <v>0</v>
      </c>
      <c r="M30" s="31">
        <f>VLOOKUP($H30,'Typical Counts'!$B:$F,5,FALSE)*$I30</f>
        <v>0</v>
      </c>
      <c r="N30" s="107">
        <f t="shared" si="3"/>
        <v>8</v>
      </c>
      <c r="Q30" s="17"/>
      <c r="T30" s="17"/>
    </row>
    <row r="31" spans="1:20" ht="15.75" x14ac:dyDescent="0.25">
      <c r="A31" s="26" t="str">
        <f t="shared" si="4"/>
        <v>RIO-3171-1</v>
      </c>
      <c r="B31" s="28">
        <v>1</v>
      </c>
      <c r="C31" s="11" t="s">
        <v>194</v>
      </c>
      <c r="D31" s="11" t="str">
        <f t="shared" si="1"/>
        <v>Regrind / Flotation</v>
      </c>
      <c r="E31" s="11">
        <v>3171</v>
      </c>
      <c r="F31" s="13" t="str">
        <f t="shared" si="2"/>
        <v>Collector Dosing</v>
      </c>
      <c r="G31" s="44" t="s">
        <v>25</v>
      </c>
      <c r="H31" s="13" t="s">
        <v>25</v>
      </c>
      <c r="I31" s="11">
        <v>1</v>
      </c>
      <c r="J31" s="31">
        <f>VLOOKUP($H31,'Typical Counts'!$B:$F,2,FALSE)*$I31</f>
        <v>1</v>
      </c>
      <c r="K31" s="31">
        <f>VLOOKUP($H31,'Typical Counts'!$B:$F,3,FALSE)*$I31</f>
        <v>0</v>
      </c>
      <c r="L31" s="31">
        <f>VLOOKUP($H31,'Typical Counts'!$B:$F,4,FALSE)*$I31</f>
        <v>2</v>
      </c>
      <c r="M31" s="31">
        <f>VLOOKUP($H31,'Typical Counts'!$B:$F,5,FALSE)*$I31</f>
        <v>0</v>
      </c>
      <c r="N31" s="107">
        <f t="shared" si="3"/>
        <v>1</v>
      </c>
      <c r="Q31" s="17"/>
      <c r="T31" s="17"/>
    </row>
    <row r="32" spans="1:20" ht="15.75" x14ac:dyDescent="0.25">
      <c r="A32" s="26" t="str">
        <f t="shared" si="4"/>
        <v>RIO-3172-1</v>
      </c>
      <c r="B32" s="28">
        <v>1</v>
      </c>
      <c r="C32" s="11" t="s">
        <v>194</v>
      </c>
      <c r="D32" s="11" t="str">
        <f t="shared" si="1"/>
        <v>Regrind / Flotation</v>
      </c>
      <c r="E32" s="11">
        <v>3172</v>
      </c>
      <c r="F32" s="13" t="str">
        <f t="shared" si="2"/>
        <v>Depressant</v>
      </c>
      <c r="G32" s="44" t="s">
        <v>38</v>
      </c>
      <c r="H32" s="13" t="s">
        <v>38</v>
      </c>
      <c r="I32" s="11">
        <v>6</v>
      </c>
      <c r="J32" s="31">
        <f>VLOOKUP($H32,'Typical Counts'!$B:$F,2,FALSE)*$I32</f>
        <v>24</v>
      </c>
      <c r="K32" s="31">
        <f>VLOOKUP($H32,'Typical Counts'!$B:$F,3,FALSE)*$I32</f>
        <v>0</v>
      </c>
      <c r="L32" s="31">
        <f>VLOOKUP($H32,'Typical Counts'!$B:$F,4,FALSE)*$I32</f>
        <v>0</v>
      </c>
      <c r="M32" s="31">
        <f>VLOOKUP($H32,'Typical Counts'!$B:$F,5,FALSE)*$I32</f>
        <v>0</v>
      </c>
      <c r="N32" s="107">
        <f t="shared" si="3"/>
        <v>6</v>
      </c>
      <c r="Q32" s="17"/>
      <c r="T32" s="17"/>
    </row>
    <row r="33" spans="1:20" ht="15.75" x14ac:dyDescent="0.25">
      <c r="A33" s="26" t="str">
        <f t="shared" si="4"/>
        <v>RIO-3172-1</v>
      </c>
      <c r="B33" s="28">
        <v>1</v>
      </c>
      <c r="C33" s="11" t="s">
        <v>194</v>
      </c>
      <c r="D33" s="11" t="str">
        <f t="shared" si="1"/>
        <v>Regrind / Flotation</v>
      </c>
      <c r="E33" s="11">
        <v>3172</v>
      </c>
      <c r="F33" s="13" t="str">
        <f t="shared" si="2"/>
        <v>Depressant</v>
      </c>
      <c r="G33" s="44" t="s">
        <v>38</v>
      </c>
      <c r="H33" s="13" t="s">
        <v>108</v>
      </c>
      <c r="I33" s="11">
        <v>1</v>
      </c>
      <c r="J33" s="31">
        <f>VLOOKUP($H33,'Typical Counts'!$B:$F,2,FALSE)*$I33</f>
        <v>2</v>
      </c>
      <c r="K33" s="31">
        <f>VLOOKUP($H33,'Typical Counts'!$B:$F,3,FALSE)*$I33</f>
        <v>1</v>
      </c>
      <c r="L33" s="31">
        <f>VLOOKUP($H33,'Typical Counts'!$B:$F,4,FALSE)*$I33</f>
        <v>0</v>
      </c>
      <c r="M33" s="31">
        <f>VLOOKUP($H33,'Typical Counts'!$B:$F,5,FALSE)*$I33</f>
        <v>0</v>
      </c>
      <c r="N33" s="107">
        <f t="shared" si="3"/>
        <v>1</v>
      </c>
      <c r="Q33" s="17"/>
      <c r="T33" s="17"/>
    </row>
    <row r="34" spans="1:20" ht="15.75" x14ac:dyDescent="0.25">
      <c r="A34" s="26" t="str">
        <f t="shared" si="4"/>
        <v>RIO-3173-1</v>
      </c>
      <c r="B34" s="28">
        <v>1</v>
      </c>
      <c r="C34" s="11" t="s">
        <v>194</v>
      </c>
      <c r="D34" s="11" t="str">
        <f t="shared" si="1"/>
        <v>Regrind / Flotation</v>
      </c>
      <c r="E34" s="11">
        <v>3173</v>
      </c>
      <c r="F34" s="13" t="str">
        <f t="shared" si="2"/>
        <v>Frother Dosing</v>
      </c>
      <c r="G34" s="44" t="s">
        <v>27</v>
      </c>
      <c r="H34" s="13" t="s">
        <v>107</v>
      </c>
      <c r="I34" s="11">
        <v>8</v>
      </c>
      <c r="J34" s="31">
        <f>VLOOKUP($H34,'Typical Counts'!$B:$F,2,FALSE)*$I34</f>
        <v>8</v>
      </c>
      <c r="K34" s="31">
        <f>VLOOKUP($H34,'Typical Counts'!$B:$F,3,FALSE)*$I34</f>
        <v>0</v>
      </c>
      <c r="L34" s="31">
        <f>VLOOKUP($H34,'Typical Counts'!$B:$F,4,FALSE)*$I34</f>
        <v>0</v>
      </c>
      <c r="M34" s="31">
        <f>VLOOKUP($H34,'Typical Counts'!$B:$F,5,FALSE)*$I34</f>
        <v>0</v>
      </c>
      <c r="N34" s="107">
        <f t="shared" si="3"/>
        <v>8</v>
      </c>
      <c r="Q34" s="17"/>
      <c r="T34" s="17"/>
    </row>
    <row r="35" spans="1:20" ht="15.75" x14ac:dyDescent="0.25">
      <c r="A35" s="26" t="str">
        <f t="shared" si="4"/>
        <v>RIO-3173-1</v>
      </c>
      <c r="B35" s="28">
        <v>1</v>
      </c>
      <c r="C35" s="11" t="s">
        <v>194</v>
      </c>
      <c r="D35" s="11" t="str">
        <f t="shared" ref="D35:D66" si="5">VLOOKUP(C35,P:Q,2,FALSE)</f>
        <v>Regrind / Flotation</v>
      </c>
      <c r="E35" s="11">
        <v>3173</v>
      </c>
      <c r="F35" s="13" t="str">
        <f t="shared" ref="F35:F66" si="6">VLOOKUP(E35,S:T,2,FALSE)</f>
        <v>Frother Dosing</v>
      </c>
      <c r="G35" s="44" t="s">
        <v>27</v>
      </c>
      <c r="H35" s="13" t="s">
        <v>36</v>
      </c>
      <c r="I35" s="11">
        <v>1</v>
      </c>
      <c r="J35" s="31">
        <f>VLOOKUP($H35,'Typical Counts'!$B:$F,2,FALSE)*$I35</f>
        <v>1</v>
      </c>
      <c r="K35" s="31">
        <f>VLOOKUP($H35,'Typical Counts'!$B:$F,3,FALSE)*$I35</f>
        <v>0</v>
      </c>
      <c r="L35" s="31">
        <f>VLOOKUP($H35,'Typical Counts'!$B:$F,4,FALSE)*$I35</f>
        <v>2</v>
      </c>
      <c r="M35" s="31">
        <f>VLOOKUP($H35,'Typical Counts'!$B:$F,5,FALSE)*$I35</f>
        <v>0</v>
      </c>
      <c r="N35" s="107">
        <f t="shared" si="3"/>
        <v>1</v>
      </c>
      <c r="Q35" s="17"/>
      <c r="T35" s="17"/>
    </row>
    <row r="36" spans="1:20" ht="15.75" x14ac:dyDescent="0.25">
      <c r="A36" s="26" t="str">
        <f t="shared" si="4"/>
        <v>RIO-3176-1</v>
      </c>
      <c r="B36" s="28">
        <v>1</v>
      </c>
      <c r="C36" s="11" t="s">
        <v>194</v>
      </c>
      <c r="D36" s="11" t="str">
        <f t="shared" si="5"/>
        <v>Regrind / Flotation</v>
      </c>
      <c r="E36" s="11">
        <v>3176</v>
      </c>
      <c r="F36" s="13" t="str">
        <f t="shared" si="6"/>
        <v>Promotor</v>
      </c>
      <c r="G36" s="44" t="s">
        <v>26</v>
      </c>
      <c r="H36" s="13" t="s">
        <v>106</v>
      </c>
      <c r="I36" s="11">
        <v>11</v>
      </c>
      <c r="J36" s="31">
        <f>VLOOKUP($H36,'Typical Counts'!$B:$F,2,FALSE)*$I36</f>
        <v>11</v>
      </c>
      <c r="K36" s="31">
        <f>VLOOKUP($H36,'Typical Counts'!$B:$F,3,FALSE)*$I36</f>
        <v>0</v>
      </c>
      <c r="L36" s="31">
        <f>VLOOKUP($H36,'Typical Counts'!$B:$F,4,FALSE)*$I36</f>
        <v>22</v>
      </c>
      <c r="M36" s="31">
        <f>VLOOKUP($H36,'Typical Counts'!$B:$F,5,FALSE)*$I36</f>
        <v>11</v>
      </c>
      <c r="N36" s="107">
        <f t="shared" si="3"/>
        <v>11</v>
      </c>
      <c r="Q36" s="17"/>
    </row>
    <row r="37" spans="1:20" ht="15.75" x14ac:dyDescent="0.25">
      <c r="A37" s="26" t="str">
        <f t="shared" si="4"/>
        <v>RIO-3176-1</v>
      </c>
      <c r="B37" s="28">
        <v>1</v>
      </c>
      <c r="C37" s="11" t="s">
        <v>194</v>
      </c>
      <c r="D37" s="11" t="str">
        <f t="shared" si="5"/>
        <v>Regrind / Flotation</v>
      </c>
      <c r="E37" s="11">
        <v>3176</v>
      </c>
      <c r="F37" s="13" t="str">
        <f t="shared" si="6"/>
        <v>Promotor</v>
      </c>
      <c r="G37" s="44" t="s">
        <v>26</v>
      </c>
      <c r="H37" s="13" t="s">
        <v>26</v>
      </c>
      <c r="I37" s="11">
        <v>1</v>
      </c>
      <c r="J37" s="31">
        <f>VLOOKUP($H37,'Typical Counts'!$B:$F,2,FALSE)*$I37</f>
        <v>6</v>
      </c>
      <c r="K37" s="31">
        <f>VLOOKUP($H37,'Typical Counts'!$B:$F,3,FALSE)*$I37</f>
        <v>0</v>
      </c>
      <c r="L37" s="31">
        <f>VLOOKUP($H37,'Typical Counts'!$B:$F,4,FALSE)*$I37</f>
        <v>19</v>
      </c>
      <c r="M37" s="31">
        <f>VLOOKUP($H37,'Typical Counts'!$B:$F,5,FALSE)*$I37</f>
        <v>7</v>
      </c>
      <c r="N37" s="107">
        <f t="shared" si="3"/>
        <v>1</v>
      </c>
      <c r="Q37" s="17"/>
    </row>
    <row r="38" spans="1:20" ht="15.75" x14ac:dyDescent="0.25">
      <c r="A38" s="26" t="str">
        <f t="shared" si="4"/>
        <v>RIO-3177-1</v>
      </c>
      <c r="B38" s="28">
        <v>1</v>
      </c>
      <c r="C38" s="11" t="s">
        <v>194</v>
      </c>
      <c r="D38" s="11" t="str">
        <f t="shared" si="5"/>
        <v>Regrind / Flotation</v>
      </c>
      <c r="E38" s="11">
        <v>3177</v>
      </c>
      <c r="F38" s="13" t="str">
        <f t="shared" si="6"/>
        <v>Lime Plant</v>
      </c>
      <c r="G38" s="44" t="s">
        <v>39</v>
      </c>
      <c r="H38" s="13" t="s">
        <v>39</v>
      </c>
      <c r="I38" s="11">
        <v>1</v>
      </c>
      <c r="J38" s="31">
        <f>VLOOKUP($H38,'Typical Counts'!$B:$F,2,FALSE)*$I38</f>
        <v>11</v>
      </c>
      <c r="K38" s="31">
        <f>VLOOKUP($H38,'Typical Counts'!$B:$F,3,FALSE)*$I38</f>
        <v>4</v>
      </c>
      <c r="L38" s="31">
        <f>VLOOKUP($H38,'Typical Counts'!$B:$F,4,FALSE)*$I38</f>
        <v>14</v>
      </c>
      <c r="M38" s="31">
        <f>VLOOKUP($H38,'Typical Counts'!$B:$F,5,FALSE)*$I38</f>
        <v>10</v>
      </c>
      <c r="N38" s="107">
        <f t="shared" si="3"/>
        <v>1</v>
      </c>
      <c r="Q38" s="17"/>
    </row>
    <row r="39" spans="1:20" ht="15.75" x14ac:dyDescent="0.25">
      <c r="A39" s="26" t="str">
        <f t="shared" si="4"/>
        <v>RIO-3177-2</v>
      </c>
      <c r="B39" s="28">
        <v>2</v>
      </c>
      <c r="C39" s="11" t="s">
        <v>194</v>
      </c>
      <c r="D39" s="11" t="str">
        <f t="shared" si="5"/>
        <v>Regrind / Flotation</v>
      </c>
      <c r="E39" s="11">
        <v>3177</v>
      </c>
      <c r="F39" s="13" t="str">
        <f t="shared" si="6"/>
        <v>Lime Plant</v>
      </c>
      <c r="G39" s="44" t="s">
        <v>39</v>
      </c>
      <c r="H39" s="13" t="s">
        <v>104</v>
      </c>
      <c r="I39" s="11">
        <v>29</v>
      </c>
      <c r="J39" s="31">
        <f>VLOOKUP($H39,'Typical Counts'!$B:$F,2,FALSE)*$I39</f>
        <v>29</v>
      </c>
      <c r="K39" s="31">
        <f>VLOOKUP($H39,'Typical Counts'!$B:$F,3,FALSE)*$I39</f>
        <v>29</v>
      </c>
      <c r="L39" s="31">
        <f>VLOOKUP($H39,'Typical Counts'!$B:$F,4,FALSE)*$I39</f>
        <v>0</v>
      </c>
      <c r="M39" s="31">
        <f>VLOOKUP($H39,'Typical Counts'!$B:$F,5,FALSE)*$I39</f>
        <v>0</v>
      </c>
      <c r="N39" s="107">
        <f t="shared" si="3"/>
        <v>29</v>
      </c>
      <c r="Q39" s="17"/>
    </row>
    <row r="40" spans="1:20" ht="15.75" x14ac:dyDescent="0.25">
      <c r="A40" s="26" t="str">
        <f t="shared" si="4"/>
        <v>RIO-3133-1</v>
      </c>
      <c r="B40" s="28">
        <v>1</v>
      </c>
      <c r="C40" s="7" t="s">
        <v>195</v>
      </c>
      <c r="D40" s="7" t="str">
        <f t="shared" si="5"/>
        <v>Tailings / Thickener Services</v>
      </c>
      <c r="E40" s="7">
        <v>3133</v>
      </c>
      <c r="F40" s="8" t="str">
        <f t="shared" si="6"/>
        <v>Pyrrhotite Flotation</v>
      </c>
      <c r="G40" s="45" t="s">
        <v>126</v>
      </c>
      <c r="H40" s="8" t="s">
        <v>50</v>
      </c>
      <c r="I40" s="7">
        <v>5</v>
      </c>
      <c r="J40" s="31">
        <f>VLOOKUP($H40,'Typical Counts'!$B:$F,2,FALSE)*$I40</f>
        <v>35</v>
      </c>
      <c r="K40" s="31">
        <f>VLOOKUP($H40,'Typical Counts'!$B:$F,3,FALSE)*$I40</f>
        <v>20</v>
      </c>
      <c r="L40" s="31">
        <f>VLOOKUP($H40,'Typical Counts'!$B:$F,4,FALSE)*$I40</f>
        <v>20</v>
      </c>
      <c r="M40" s="31">
        <f>VLOOKUP($H40,'Typical Counts'!$B:$F,5,FALSE)*$I40</f>
        <v>0</v>
      </c>
      <c r="N40" s="107">
        <f t="shared" si="3"/>
        <v>5</v>
      </c>
      <c r="Q40" s="17"/>
    </row>
    <row r="41" spans="1:20" ht="15.75" x14ac:dyDescent="0.25">
      <c r="A41" s="26" t="str">
        <f t="shared" si="4"/>
        <v>RIO-3133-1</v>
      </c>
      <c r="B41" s="28">
        <v>1</v>
      </c>
      <c r="C41" s="7" t="s">
        <v>195</v>
      </c>
      <c r="D41" s="7" t="str">
        <f t="shared" si="5"/>
        <v>Tailings / Thickener Services</v>
      </c>
      <c r="E41" s="7">
        <v>3133</v>
      </c>
      <c r="F41" s="8" t="str">
        <f t="shared" si="6"/>
        <v>Pyrrhotite Flotation</v>
      </c>
      <c r="G41" s="45" t="s">
        <v>126</v>
      </c>
      <c r="H41" s="8" t="s">
        <v>70</v>
      </c>
      <c r="I41" s="7">
        <v>1</v>
      </c>
      <c r="J41" s="31">
        <f>VLOOKUP($H41,'Typical Counts'!$B:$F,2,FALSE)*$I41</f>
        <v>4</v>
      </c>
      <c r="K41" s="31">
        <f>VLOOKUP($H41,'Typical Counts'!$B:$F,3,FALSE)*$I41</f>
        <v>0</v>
      </c>
      <c r="L41" s="31">
        <f>VLOOKUP($H41,'Typical Counts'!$B:$F,4,FALSE)*$I41</f>
        <v>14</v>
      </c>
      <c r="M41" s="31">
        <f>VLOOKUP($H41,'Typical Counts'!$B:$F,5,FALSE)*$I41</f>
        <v>4</v>
      </c>
      <c r="N41" s="107">
        <f t="shared" si="3"/>
        <v>1</v>
      </c>
      <c r="Q41" s="17"/>
    </row>
    <row r="42" spans="1:20" ht="15.75" x14ac:dyDescent="0.25">
      <c r="A42" s="26" t="str">
        <f t="shared" si="4"/>
        <v>RIO-3141-1</v>
      </c>
      <c r="B42" s="28">
        <v>1</v>
      </c>
      <c r="C42" s="7" t="s">
        <v>195</v>
      </c>
      <c r="D42" s="7" t="str">
        <f t="shared" si="5"/>
        <v>Tailings / Thickener Services</v>
      </c>
      <c r="E42" s="7">
        <v>3141</v>
      </c>
      <c r="F42" s="8" t="str">
        <f t="shared" si="6"/>
        <v>Intermediate Thickener</v>
      </c>
      <c r="G42" s="45" t="s">
        <v>124</v>
      </c>
      <c r="H42" s="8" t="s">
        <v>41</v>
      </c>
      <c r="I42" s="7">
        <v>1</v>
      </c>
      <c r="J42" s="31">
        <f>VLOOKUP($H42,'Typical Counts'!$B:$F,2,FALSE)*$I42</f>
        <v>7</v>
      </c>
      <c r="K42" s="31">
        <f>VLOOKUP($H42,'Typical Counts'!$B:$F,3,FALSE)*$I42</f>
        <v>0</v>
      </c>
      <c r="L42" s="31">
        <f>VLOOKUP($H42,'Typical Counts'!$B:$F,4,FALSE)*$I42</f>
        <v>10</v>
      </c>
      <c r="M42" s="31">
        <f>VLOOKUP($H42,'Typical Counts'!$B:$F,5,FALSE)*$I42</f>
        <v>5</v>
      </c>
      <c r="N42" s="107">
        <f t="shared" si="3"/>
        <v>1</v>
      </c>
      <c r="Q42" s="17"/>
    </row>
    <row r="43" spans="1:20" ht="15.75" x14ac:dyDescent="0.25">
      <c r="A43" s="26" t="str">
        <f t="shared" si="4"/>
        <v>RIO-3141-2</v>
      </c>
      <c r="B43" s="28">
        <v>2</v>
      </c>
      <c r="C43" s="7" t="s">
        <v>195</v>
      </c>
      <c r="D43" s="7" t="str">
        <f t="shared" si="5"/>
        <v>Tailings / Thickener Services</v>
      </c>
      <c r="E43" s="7">
        <v>3141</v>
      </c>
      <c r="F43" s="8" t="str">
        <f t="shared" si="6"/>
        <v>Intermediate Thickener</v>
      </c>
      <c r="G43" s="45" t="s">
        <v>124</v>
      </c>
      <c r="H43" s="8" t="s">
        <v>118</v>
      </c>
      <c r="I43" s="7">
        <v>1</v>
      </c>
      <c r="J43" s="31">
        <f>VLOOKUP($H43,'Typical Counts'!$B:$F,2,FALSE)*$I43</f>
        <v>2</v>
      </c>
      <c r="K43" s="31">
        <f>VLOOKUP($H43,'Typical Counts'!$B:$F,3,FALSE)*$I43</f>
        <v>2</v>
      </c>
      <c r="L43" s="31">
        <f>VLOOKUP($H43,'Typical Counts'!$B:$F,4,FALSE)*$I43</f>
        <v>50</v>
      </c>
      <c r="M43" s="31">
        <f>VLOOKUP($H43,'Typical Counts'!$B:$F,5,FALSE)*$I43</f>
        <v>50</v>
      </c>
      <c r="N43" s="107">
        <f t="shared" si="3"/>
        <v>1</v>
      </c>
      <c r="Q43" s="17"/>
    </row>
    <row r="44" spans="1:20" ht="15.75" x14ac:dyDescent="0.25">
      <c r="A44" s="26" t="str">
        <f t="shared" si="4"/>
        <v>RIO-3142-1</v>
      </c>
      <c r="B44" s="28">
        <v>1</v>
      </c>
      <c r="C44" s="7" t="s">
        <v>195</v>
      </c>
      <c r="D44" s="7" t="str">
        <f t="shared" si="5"/>
        <v>Tailings / Thickener Services</v>
      </c>
      <c r="E44" s="7">
        <v>3142</v>
      </c>
      <c r="F44" s="8" t="str">
        <f t="shared" si="6"/>
        <v>Tailings/Pyrrhotite Thickener</v>
      </c>
      <c r="G44" s="45" t="s">
        <v>262</v>
      </c>
      <c r="H44" s="8" t="s">
        <v>41</v>
      </c>
      <c r="I44" s="7">
        <v>1</v>
      </c>
      <c r="J44" s="31">
        <f>VLOOKUP($H44,'Typical Counts'!$B:$F,2,FALSE)*$I44</f>
        <v>7</v>
      </c>
      <c r="K44" s="31">
        <f>VLOOKUP($H44,'Typical Counts'!$B:$F,3,FALSE)*$I44</f>
        <v>0</v>
      </c>
      <c r="L44" s="31">
        <f>VLOOKUP($H44,'Typical Counts'!$B:$F,4,FALSE)*$I44</f>
        <v>10</v>
      </c>
      <c r="M44" s="31">
        <f>VLOOKUP($H44,'Typical Counts'!$B:$F,5,FALSE)*$I44</f>
        <v>5</v>
      </c>
      <c r="N44" s="107">
        <f t="shared" si="3"/>
        <v>1</v>
      </c>
      <c r="Q44" s="17"/>
    </row>
    <row r="45" spans="1:20" ht="15.75" x14ac:dyDescent="0.25">
      <c r="A45" s="26" t="str">
        <f t="shared" si="4"/>
        <v>RIO-3142-2</v>
      </c>
      <c r="B45" s="28">
        <v>2</v>
      </c>
      <c r="C45" s="7" t="s">
        <v>195</v>
      </c>
      <c r="D45" s="7" t="str">
        <f t="shared" si="5"/>
        <v>Tailings / Thickener Services</v>
      </c>
      <c r="E45" s="7">
        <v>3142</v>
      </c>
      <c r="F45" s="8" t="str">
        <f t="shared" si="6"/>
        <v>Tailings/Pyrrhotite Thickener</v>
      </c>
      <c r="G45" s="45" t="s">
        <v>262</v>
      </c>
      <c r="H45" s="8" t="s">
        <v>118</v>
      </c>
      <c r="I45" s="7">
        <v>1</v>
      </c>
      <c r="J45" s="31">
        <f>VLOOKUP($H45,'Typical Counts'!$B:$F,2,FALSE)*$I45</f>
        <v>2</v>
      </c>
      <c r="K45" s="31">
        <f>VLOOKUP($H45,'Typical Counts'!$B:$F,3,FALSE)*$I45</f>
        <v>2</v>
      </c>
      <c r="L45" s="31">
        <f>VLOOKUP($H45,'Typical Counts'!$B:$F,4,FALSE)*$I45</f>
        <v>50</v>
      </c>
      <c r="M45" s="31">
        <f>VLOOKUP($H45,'Typical Counts'!$B:$F,5,FALSE)*$I45</f>
        <v>50</v>
      </c>
      <c r="N45" s="107">
        <f t="shared" si="3"/>
        <v>1</v>
      </c>
    </row>
    <row r="46" spans="1:20" ht="15.75" x14ac:dyDescent="0.25">
      <c r="A46" s="26" t="str">
        <f t="shared" si="4"/>
        <v>RIO-3142-3</v>
      </c>
      <c r="B46" s="28">
        <v>3</v>
      </c>
      <c r="C46" s="7" t="s">
        <v>195</v>
      </c>
      <c r="D46" s="7" t="str">
        <f t="shared" si="5"/>
        <v>Tailings / Thickener Services</v>
      </c>
      <c r="E46" s="7">
        <v>3142</v>
      </c>
      <c r="F46" s="8" t="str">
        <f t="shared" si="6"/>
        <v>Tailings/Pyrrhotite Thickener</v>
      </c>
      <c r="G46" s="45" t="s">
        <v>263</v>
      </c>
      <c r="H46" s="8" t="s">
        <v>41</v>
      </c>
      <c r="I46" s="7">
        <v>1</v>
      </c>
      <c r="J46" s="31">
        <f>VLOOKUP($H46,'Typical Counts'!$B:$F,2,FALSE)*$I46</f>
        <v>7</v>
      </c>
      <c r="K46" s="31">
        <f>VLOOKUP($H46,'Typical Counts'!$B:$F,3,FALSE)*$I46</f>
        <v>0</v>
      </c>
      <c r="L46" s="31">
        <f>VLOOKUP($H46,'Typical Counts'!$B:$F,4,FALSE)*$I46</f>
        <v>10</v>
      </c>
      <c r="M46" s="31">
        <f>VLOOKUP($H46,'Typical Counts'!$B:$F,5,FALSE)*$I46</f>
        <v>5</v>
      </c>
      <c r="N46" s="107">
        <f t="shared" si="3"/>
        <v>1</v>
      </c>
    </row>
    <row r="47" spans="1:20" ht="15.75" x14ac:dyDescent="0.25">
      <c r="A47" s="26" t="str">
        <f t="shared" si="4"/>
        <v>RIO-3142-4</v>
      </c>
      <c r="B47" s="28">
        <v>4</v>
      </c>
      <c r="C47" s="7" t="s">
        <v>195</v>
      </c>
      <c r="D47" s="7" t="str">
        <f t="shared" si="5"/>
        <v>Tailings / Thickener Services</v>
      </c>
      <c r="E47" s="7">
        <v>3142</v>
      </c>
      <c r="F47" s="8" t="str">
        <f t="shared" si="6"/>
        <v>Tailings/Pyrrhotite Thickener</v>
      </c>
      <c r="G47" s="45" t="s">
        <v>263</v>
      </c>
      <c r="H47" s="8" t="s">
        <v>118</v>
      </c>
      <c r="I47" s="7">
        <v>1</v>
      </c>
      <c r="J47" s="31">
        <f>VLOOKUP($H47,'Typical Counts'!$B:$F,2,FALSE)*$I47</f>
        <v>2</v>
      </c>
      <c r="K47" s="31">
        <f>VLOOKUP($H47,'Typical Counts'!$B:$F,3,FALSE)*$I47</f>
        <v>2</v>
      </c>
      <c r="L47" s="31">
        <f>VLOOKUP($H47,'Typical Counts'!$B:$F,4,FALSE)*$I47</f>
        <v>50</v>
      </c>
      <c r="M47" s="31">
        <f>VLOOKUP($H47,'Typical Counts'!$B:$F,5,FALSE)*$I47</f>
        <v>50</v>
      </c>
      <c r="N47" s="107">
        <f t="shared" si="3"/>
        <v>1</v>
      </c>
    </row>
    <row r="48" spans="1:20" ht="15.75" x14ac:dyDescent="0.25">
      <c r="A48" s="26" t="str">
        <f t="shared" si="4"/>
        <v>RIO-3174-1</v>
      </c>
      <c r="B48" s="28">
        <v>1</v>
      </c>
      <c r="C48" s="7" t="s">
        <v>195</v>
      </c>
      <c r="D48" s="7" t="str">
        <f t="shared" si="5"/>
        <v>Tailings / Thickener Services</v>
      </c>
      <c r="E48" s="7">
        <v>3174</v>
      </c>
      <c r="F48" s="8" t="str">
        <f t="shared" si="6"/>
        <v>Flocculant</v>
      </c>
      <c r="G48" s="45" t="s">
        <v>28</v>
      </c>
      <c r="H48" s="8" t="s">
        <v>28</v>
      </c>
      <c r="I48" s="7">
        <v>1</v>
      </c>
      <c r="J48" s="31">
        <f>VLOOKUP($H48,'Typical Counts'!$B:$F,2,FALSE)*$I48</f>
        <v>5</v>
      </c>
      <c r="K48" s="31">
        <f>VLOOKUP($H48,'Typical Counts'!$B:$F,3,FALSE)*$I48</f>
        <v>2</v>
      </c>
      <c r="L48" s="31">
        <f>VLOOKUP($H48,'Typical Counts'!$B:$F,4,FALSE)*$I48</f>
        <v>7</v>
      </c>
      <c r="M48" s="31">
        <f>VLOOKUP($H48,'Typical Counts'!$B:$F,5,FALSE)*$I48</f>
        <v>3</v>
      </c>
      <c r="N48" s="107">
        <f t="shared" si="3"/>
        <v>1</v>
      </c>
    </row>
    <row r="49" spans="1:14" ht="15.75" x14ac:dyDescent="0.25">
      <c r="A49" s="26" t="str">
        <f t="shared" si="4"/>
        <v>RIO-3174-1</v>
      </c>
      <c r="B49" s="28">
        <v>1</v>
      </c>
      <c r="C49" s="7" t="s">
        <v>195</v>
      </c>
      <c r="D49" s="7" t="str">
        <f t="shared" si="5"/>
        <v>Tailings / Thickener Services</v>
      </c>
      <c r="E49" s="7">
        <v>3174</v>
      </c>
      <c r="F49" s="8" t="str">
        <f t="shared" si="6"/>
        <v>Flocculant</v>
      </c>
      <c r="G49" s="45" t="s">
        <v>28</v>
      </c>
      <c r="H49" s="8" t="s">
        <v>133</v>
      </c>
      <c r="I49" s="7">
        <v>6</v>
      </c>
      <c r="J49" s="31">
        <f>VLOOKUP($H49,'Typical Counts'!$B:$F,2,FALSE)*$I49</f>
        <v>24</v>
      </c>
      <c r="K49" s="31">
        <f>VLOOKUP($H49,'Typical Counts'!$B:$F,3,FALSE)*$I49</f>
        <v>6</v>
      </c>
      <c r="L49" s="31">
        <f>VLOOKUP($H49,'Typical Counts'!$B:$F,4,FALSE)*$I49</f>
        <v>0</v>
      </c>
      <c r="M49" s="31">
        <f>VLOOKUP($H49,'Typical Counts'!$B:$F,5,FALSE)*$I49</f>
        <v>0</v>
      </c>
      <c r="N49" s="107">
        <f t="shared" si="3"/>
        <v>6</v>
      </c>
    </row>
    <row r="50" spans="1:14" ht="15.75" x14ac:dyDescent="0.25">
      <c r="A50" s="26" t="str">
        <f t="shared" si="4"/>
        <v>RIO-3175-1</v>
      </c>
      <c r="B50" s="28">
        <v>1</v>
      </c>
      <c r="C50" s="7" t="s">
        <v>195</v>
      </c>
      <c r="D50" s="7" t="str">
        <f t="shared" si="5"/>
        <v>Tailings / Thickener Services</v>
      </c>
      <c r="E50" s="7">
        <v>3175</v>
      </c>
      <c r="F50" s="8" t="str">
        <f t="shared" si="6"/>
        <v>CuSO4</v>
      </c>
      <c r="G50" s="45" t="s">
        <v>128</v>
      </c>
      <c r="H50" s="8" t="s">
        <v>129</v>
      </c>
      <c r="I50" s="7">
        <v>1</v>
      </c>
      <c r="J50" s="31">
        <f>VLOOKUP($H50,'Typical Counts'!$B:$F,2,FALSE)*$I50</f>
        <v>2</v>
      </c>
      <c r="K50" s="31">
        <f>VLOOKUP($H50,'Typical Counts'!$B:$F,3,FALSE)*$I50</f>
        <v>0</v>
      </c>
      <c r="L50" s="31">
        <f>VLOOKUP($H50,'Typical Counts'!$B:$F,4,FALSE)*$I50</f>
        <v>8</v>
      </c>
      <c r="M50" s="31">
        <f>VLOOKUP($H50,'Typical Counts'!$B:$F,5,FALSE)*$I50</f>
        <v>4</v>
      </c>
      <c r="N50" s="107">
        <f t="shared" si="3"/>
        <v>1</v>
      </c>
    </row>
    <row r="51" spans="1:14" ht="15.75" x14ac:dyDescent="0.25">
      <c r="A51" s="26" t="str">
        <f t="shared" si="4"/>
        <v>RIO-3175-1</v>
      </c>
      <c r="B51" s="28">
        <v>1</v>
      </c>
      <c r="C51" s="7" t="s">
        <v>195</v>
      </c>
      <c r="D51" s="7" t="str">
        <f t="shared" si="5"/>
        <v>Tailings / Thickener Services</v>
      </c>
      <c r="E51" s="7">
        <v>3175</v>
      </c>
      <c r="F51" s="8" t="str">
        <f t="shared" si="6"/>
        <v>CuSO4</v>
      </c>
      <c r="G51" s="45" t="s">
        <v>128</v>
      </c>
      <c r="H51" s="8" t="s">
        <v>130</v>
      </c>
      <c r="I51" s="7">
        <v>3</v>
      </c>
      <c r="J51" s="31">
        <f>VLOOKUP($H51,'Typical Counts'!$B:$F,2,FALSE)*$I51</f>
        <v>6</v>
      </c>
      <c r="K51" s="31">
        <f>VLOOKUP($H51,'Typical Counts'!$B:$F,3,FALSE)*$I51</f>
        <v>3</v>
      </c>
      <c r="L51" s="31">
        <f>VLOOKUP($H51,'Typical Counts'!$B:$F,4,FALSE)*$I51</f>
        <v>0</v>
      </c>
      <c r="M51" s="31">
        <f>VLOOKUP($H51,'Typical Counts'!$B:$F,5,FALSE)*$I51</f>
        <v>0</v>
      </c>
      <c r="N51" s="107">
        <f t="shared" si="3"/>
        <v>3</v>
      </c>
    </row>
    <row r="52" spans="1:14" ht="15.75" x14ac:dyDescent="0.25">
      <c r="A52" s="26" t="str">
        <f t="shared" si="4"/>
        <v>RIO-3178-1</v>
      </c>
      <c r="B52" s="28">
        <v>1</v>
      </c>
      <c r="C52" s="7" t="s">
        <v>195</v>
      </c>
      <c r="D52" s="7" t="str">
        <f t="shared" si="5"/>
        <v>Tailings / Thickener Services</v>
      </c>
      <c r="E52" s="7">
        <v>3178</v>
      </c>
      <c r="F52" s="8" t="str">
        <f t="shared" si="6"/>
        <v>H2SO4</v>
      </c>
      <c r="G52" s="45" t="s">
        <v>127</v>
      </c>
      <c r="H52" s="8" t="s">
        <v>127</v>
      </c>
      <c r="I52" s="7">
        <v>1</v>
      </c>
      <c r="J52" s="31">
        <f>VLOOKUP($H52,'Typical Counts'!$B:$F,2,FALSE)*$I52</f>
        <v>5</v>
      </c>
      <c r="K52" s="31">
        <f>VLOOKUP($H52,'Typical Counts'!$B:$F,3,FALSE)*$I52</f>
        <v>0</v>
      </c>
      <c r="L52" s="31">
        <f>VLOOKUP($H52,'Typical Counts'!$B:$F,4,FALSE)*$I52</f>
        <v>12</v>
      </c>
      <c r="M52" s="31">
        <f>VLOOKUP($H52,'Typical Counts'!$B:$F,5,FALSE)*$I52</f>
        <v>3</v>
      </c>
      <c r="N52" s="107">
        <f t="shared" si="3"/>
        <v>1</v>
      </c>
    </row>
    <row r="53" spans="1:14" ht="15.75" x14ac:dyDescent="0.25">
      <c r="A53" s="26" t="str">
        <f t="shared" si="4"/>
        <v>RIO-3178-1</v>
      </c>
      <c r="B53" s="28">
        <v>1</v>
      </c>
      <c r="C53" s="7" t="s">
        <v>195</v>
      </c>
      <c r="D53" s="7" t="str">
        <f t="shared" si="5"/>
        <v>Tailings / Thickener Services</v>
      </c>
      <c r="E53" s="7">
        <v>3178</v>
      </c>
      <c r="F53" s="8" t="str">
        <f t="shared" si="6"/>
        <v>H2SO4</v>
      </c>
      <c r="G53" s="45" t="s">
        <v>127</v>
      </c>
      <c r="H53" s="8" t="s">
        <v>132</v>
      </c>
      <c r="I53" s="7">
        <v>3</v>
      </c>
      <c r="J53" s="31">
        <f>VLOOKUP($H53,'Typical Counts'!$B:$F,2,FALSE)*$I53</f>
        <v>6</v>
      </c>
      <c r="K53" s="31">
        <f>VLOOKUP($H53,'Typical Counts'!$B:$F,3,FALSE)*$I53</f>
        <v>3</v>
      </c>
      <c r="L53" s="31">
        <f>VLOOKUP($H53,'Typical Counts'!$B:$F,4,FALSE)*$I53</f>
        <v>0</v>
      </c>
      <c r="M53" s="31">
        <f>VLOOKUP($H53,'Typical Counts'!$B:$F,5,FALSE)*$I53</f>
        <v>0</v>
      </c>
      <c r="N53" s="107">
        <f t="shared" si="3"/>
        <v>3</v>
      </c>
    </row>
    <row r="54" spans="1:14" ht="15.75" x14ac:dyDescent="0.25">
      <c r="A54" s="26" t="str">
        <f t="shared" si="4"/>
        <v>RIO-3151-1</v>
      </c>
      <c r="B54" s="28">
        <v>1</v>
      </c>
      <c r="C54" s="11" t="s">
        <v>196</v>
      </c>
      <c r="D54" s="11" t="str">
        <f t="shared" si="5"/>
        <v>Concentrate</v>
      </c>
      <c r="E54" s="11">
        <v>3151</v>
      </c>
      <c r="F54" s="13" t="str">
        <f t="shared" si="6"/>
        <v>Concentrate Thickener</v>
      </c>
      <c r="G54" s="44" t="s">
        <v>19</v>
      </c>
      <c r="H54" s="13" t="s">
        <v>41</v>
      </c>
      <c r="I54" s="11">
        <v>1</v>
      </c>
      <c r="J54" s="31">
        <f>VLOOKUP($H54,'Typical Counts'!$B:$F,2,FALSE)*$I54</f>
        <v>7</v>
      </c>
      <c r="K54" s="31">
        <f>VLOOKUP($H54,'Typical Counts'!$B:$F,3,FALSE)*$I54</f>
        <v>0</v>
      </c>
      <c r="L54" s="31">
        <f>VLOOKUP($H54,'Typical Counts'!$B:$F,4,FALSE)*$I54</f>
        <v>10</v>
      </c>
      <c r="M54" s="31">
        <f>VLOOKUP($H54,'Typical Counts'!$B:$F,5,FALSE)*$I54</f>
        <v>5</v>
      </c>
      <c r="N54" s="107">
        <f t="shared" si="3"/>
        <v>1</v>
      </c>
    </row>
    <row r="55" spans="1:14" ht="15.75" x14ac:dyDescent="0.25">
      <c r="A55" s="26" t="str">
        <f t="shared" si="4"/>
        <v>RIO-3151-2</v>
      </c>
      <c r="B55" s="28">
        <v>2</v>
      </c>
      <c r="C55" s="11" t="s">
        <v>196</v>
      </c>
      <c r="D55" s="11" t="str">
        <f t="shared" si="5"/>
        <v>Concentrate</v>
      </c>
      <c r="E55" s="11">
        <v>3151</v>
      </c>
      <c r="F55" s="13" t="str">
        <f t="shared" si="6"/>
        <v>Concentrate Thickener</v>
      </c>
      <c r="G55" s="44" t="s">
        <v>19</v>
      </c>
      <c r="H55" s="13" t="s">
        <v>118</v>
      </c>
      <c r="I55" s="11">
        <v>1</v>
      </c>
      <c r="J55" s="31">
        <f>VLOOKUP($H55,'Typical Counts'!$B:$F,2,FALSE)*$I55</f>
        <v>2</v>
      </c>
      <c r="K55" s="31">
        <f>VLOOKUP($H55,'Typical Counts'!$B:$F,3,FALSE)*$I55</f>
        <v>2</v>
      </c>
      <c r="L55" s="31">
        <f>VLOOKUP($H55,'Typical Counts'!$B:$F,4,FALSE)*$I55</f>
        <v>50</v>
      </c>
      <c r="M55" s="31">
        <f>VLOOKUP($H55,'Typical Counts'!$B:$F,5,FALSE)*$I55</f>
        <v>50</v>
      </c>
      <c r="N55" s="107">
        <f t="shared" si="3"/>
        <v>1</v>
      </c>
    </row>
    <row r="56" spans="1:14" ht="15.75" x14ac:dyDescent="0.25">
      <c r="A56" s="26" t="str">
        <f t="shared" si="4"/>
        <v>RIO-3152-1</v>
      </c>
      <c r="B56" s="28">
        <v>1</v>
      </c>
      <c r="C56" s="11" t="s">
        <v>196</v>
      </c>
      <c r="D56" s="11" t="str">
        <f t="shared" si="5"/>
        <v>Concentrate</v>
      </c>
      <c r="E56" s="11">
        <v>3152</v>
      </c>
      <c r="F56" s="13" t="str">
        <f t="shared" si="6"/>
        <v>Concetrate Filtration</v>
      </c>
      <c r="G56" s="44" t="s">
        <v>20</v>
      </c>
      <c r="H56" s="13" t="s">
        <v>172</v>
      </c>
      <c r="I56" s="11">
        <v>1</v>
      </c>
      <c r="J56" s="31">
        <f>VLOOKUP($H56,'Typical Counts'!$B:$F,2,FALSE)*$I56</f>
        <v>3</v>
      </c>
      <c r="K56" s="31">
        <f>VLOOKUP($H56,'Typical Counts'!$B:$F,3,FALSE)*$I56</f>
        <v>0</v>
      </c>
      <c r="L56" s="31">
        <f>VLOOKUP($H56,'Typical Counts'!$B:$F,4,FALSE)*$I56</f>
        <v>17</v>
      </c>
      <c r="M56" s="31">
        <f>VLOOKUP($H56,'Typical Counts'!$B:$F,5,FALSE)*$I56</f>
        <v>16</v>
      </c>
      <c r="N56" s="107">
        <f t="shared" si="3"/>
        <v>1</v>
      </c>
    </row>
    <row r="57" spans="1:14" ht="15.75" x14ac:dyDescent="0.25">
      <c r="A57" s="26" t="str">
        <f t="shared" si="4"/>
        <v>RIO-3161-1</v>
      </c>
      <c r="B57" s="28">
        <v>1</v>
      </c>
      <c r="C57" s="7" t="s">
        <v>213</v>
      </c>
      <c r="D57" s="7" t="str">
        <f t="shared" si="5"/>
        <v>Sand Filter / Water / Air</v>
      </c>
      <c r="E57" s="7">
        <v>3161</v>
      </c>
      <c r="F57" s="8" t="str">
        <f t="shared" si="6"/>
        <v>Raw Water</v>
      </c>
      <c r="G57" s="45" t="s">
        <v>179</v>
      </c>
      <c r="H57" s="8" t="s">
        <v>134</v>
      </c>
      <c r="I57" s="7">
        <v>1</v>
      </c>
      <c r="J57" s="31">
        <f>VLOOKUP($H57,'Typical Counts'!$B:$F,2,FALSE)*$I57</f>
        <v>3</v>
      </c>
      <c r="K57" s="31">
        <f>VLOOKUP($H57,'Typical Counts'!$B:$F,3,FALSE)*$I57</f>
        <v>2</v>
      </c>
      <c r="L57" s="31">
        <f>VLOOKUP($H57,'Typical Counts'!$B:$F,4,FALSE)*$I57</f>
        <v>8</v>
      </c>
      <c r="M57" s="31">
        <f>VLOOKUP($H57,'Typical Counts'!$B:$F,5,FALSE)*$I57</f>
        <v>4</v>
      </c>
      <c r="N57" s="107">
        <f t="shared" si="3"/>
        <v>1</v>
      </c>
    </row>
    <row r="58" spans="1:14" ht="15.75" x14ac:dyDescent="0.25">
      <c r="A58" s="26" t="str">
        <f t="shared" si="4"/>
        <v>RIO-3161-1</v>
      </c>
      <c r="B58" s="28">
        <v>1</v>
      </c>
      <c r="C58" s="7" t="s">
        <v>213</v>
      </c>
      <c r="D58" s="7" t="str">
        <f t="shared" si="5"/>
        <v>Sand Filter / Water / Air</v>
      </c>
      <c r="E58" s="7">
        <v>3161</v>
      </c>
      <c r="F58" s="8" t="str">
        <f t="shared" si="6"/>
        <v>Raw Water</v>
      </c>
      <c r="G58" s="45" t="s">
        <v>179</v>
      </c>
      <c r="H58" s="8" t="s">
        <v>178</v>
      </c>
      <c r="I58" s="7">
        <v>8</v>
      </c>
      <c r="J58" s="31">
        <f>VLOOKUP($H58,'Typical Counts'!$B:$F,2,FALSE)*$I58</f>
        <v>8</v>
      </c>
      <c r="K58" s="31">
        <f>VLOOKUP($H58,'Typical Counts'!$B:$F,3,FALSE)*$I58</f>
        <v>8</v>
      </c>
      <c r="L58" s="31">
        <f>VLOOKUP($H58,'Typical Counts'!$B:$F,4,FALSE)*$I58</f>
        <v>0</v>
      </c>
      <c r="M58" s="31">
        <f>VLOOKUP($H58,'Typical Counts'!$B:$F,5,FALSE)*$I58</f>
        <v>0</v>
      </c>
      <c r="N58" s="107">
        <f t="shared" si="3"/>
        <v>8</v>
      </c>
    </row>
    <row r="59" spans="1:14" ht="15.75" x14ac:dyDescent="0.25">
      <c r="A59" s="26" t="str">
        <f t="shared" si="4"/>
        <v>RIO-3162-1</v>
      </c>
      <c r="B59" s="28">
        <v>1</v>
      </c>
      <c r="C59" s="7" t="s">
        <v>213</v>
      </c>
      <c r="D59" s="7" t="str">
        <f t="shared" si="5"/>
        <v>Sand Filter / Water / Air</v>
      </c>
      <c r="E59" s="7">
        <v>3162</v>
      </c>
      <c r="F59" s="8" t="str">
        <f t="shared" si="6"/>
        <v>Potable Water</v>
      </c>
      <c r="G59" s="45" t="s">
        <v>22</v>
      </c>
      <c r="H59" s="8" t="s">
        <v>134</v>
      </c>
      <c r="I59" s="7">
        <v>1</v>
      </c>
      <c r="J59" s="31">
        <f>VLOOKUP($H59,'Typical Counts'!$B:$F,2,FALSE)*$I59</f>
        <v>3</v>
      </c>
      <c r="K59" s="31">
        <f>VLOOKUP($H59,'Typical Counts'!$B:$F,3,FALSE)*$I59</f>
        <v>2</v>
      </c>
      <c r="L59" s="31">
        <f>VLOOKUP($H59,'Typical Counts'!$B:$F,4,FALSE)*$I59</f>
        <v>8</v>
      </c>
      <c r="M59" s="31">
        <f>VLOOKUP($H59,'Typical Counts'!$B:$F,5,FALSE)*$I59</f>
        <v>4</v>
      </c>
      <c r="N59" s="107">
        <f t="shared" si="3"/>
        <v>1</v>
      </c>
    </row>
    <row r="60" spans="1:14" ht="15.75" x14ac:dyDescent="0.25">
      <c r="A60" s="26" t="str">
        <f t="shared" si="4"/>
        <v>RIO-3162-1</v>
      </c>
      <c r="B60" s="28">
        <v>1</v>
      </c>
      <c r="C60" s="7" t="s">
        <v>213</v>
      </c>
      <c r="D60" s="7" t="str">
        <f t="shared" si="5"/>
        <v>Sand Filter / Water / Air</v>
      </c>
      <c r="E60" s="7">
        <v>3162</v>
      </c>
      <c r="F60" s="8" t="str">
        <f t="shared" si="6"/>
        <v>Potable Water</v>
      </c>
      <c r="G60" s="45" t="s">
        <v>22</v>
      </c>
      <c r="H60" s="8" t="s">
        <v>178</v>
      </c>
      <c r="I60" s="7">
        <v>2</v>
      </c>
      <c r="J60" s="31">
        <f>VLOOKUP($H60,'Typical Counts'!$B:$F,2,FALSE)*$I60</f>
        <v>2</v>
      </c>
      <c r="K60" s="31">
        <f>VLOOKUP($H60,'Typical Counts'!$B:$F,3,FALSE)*$I60</f>
        <v>2</v>
      </c>
      <c r="L60" s="31">
        <f>VLOOKUP($H60,'Typical Counts'!$B:$F,4,FALSE)*$I60</f>
        <v>0</v>
      </c>
      <c r="M60" s="31">
        <f>VLOOKUP($H60,'Typical Counts'!$B:$F,5,FALSE)*$I60</f>
        <v>0</v>
      </c>
      <c r="N60" s="107">
        <f t="shared" si="3"/>
        <v>2</v>
      </c>
    </row>
    <row r="61" spans="1:14" ht="15.75" x14ac:dyDescent="0.25">
      <c r="A61" s="26" t="str">
        <f t="shared" si="4"/>
        <v>RIO-3163-1</v>
      </c>
      <c r="B61" s="28">
        <v>1</v>
      </c>
      <c r="C61" s="7" t="s">
        <v>213</v>
      </c>
      <c r="D61" s="7" t="str">
        <f t="shared" si="5"/>
        <v>Sand Filter / Water / Air</v>
      </c>
      <c r="E61" s="7">
        <v>3163</v>
      </c>
      <c r="F61" s="8" t="str">
        <f t="shared" si="6"/>
        <v>Process Water / Dam / Sand Filter</v>
      </c>
      <c r="G61" s="45" t="s">
        <v>21</v>
      </c>
      <c r="H61" s="8" t="s">
        <v>21</v>
      </c>
      <c r="I61" s="7">
        <v>1</v>
      </c>
      <c r="J61" s="31">
        <f>VLOOKUP($H61,'Typical Counts'!$B:$F,2,FALSE)*$I61</f>
        <v>4</v>
      </c>
      <c r="K61" s="31">
        <f>VLOOKUP($H61,'Typical Counts'!$B:$F,3,FALSE)*$I61</f>
        <v>0</v>
      </c>
      <c r="L61" s="31">
        <f>VLOOKUP($H61,'Typical Counts'!$B:$F,4,FALSE)*$I61</f>
        <v>8</v>
      </c>
      <c r="M61" s="31">
        <f>VLOOKUP($H61,'Typical Counts'!$B:$F,5,FALSE)*$I61</f>
        <v>4</v>
      </c>
      <c r="N61" s="107">
        <f t="shared" si="3"/>
        <v>1</v>
      </c>
    </row>
    <row r="62" spans="1:14" ht="15.75" x14ac:dyDescent="0.25">
      <c r="A62" s="26" t="str">
        <f t="shared" si="4"/>
        <v>RIO-3163-1</v>
      </c>
      <c r="B62" s="28">
        <v>1</v>
      </c>
      <c r="C62" s="7" t="s">
        <v>213</v>
      </c>
      <c r="D62" s="7" t="str">
        <f t="shared" si="5"/>
        <v>Sand Filter / Water / Air</v>
      </c>
      <c r="E62" s="7">
        <v>3163</v>
      </c>
      <c r="F62" s="8" t="str">
        <f t="shared" si="6"/>
        <v>Process Water / Dam / Sand Filter</v>
      </c>
      <c r="G62" s="45" t="s">
        <v>21</v>
      </c>
      <c r="H62" s="8" t="s">
        <v>103</v>
      </c>
      <c r="I62" s="7">
        <v>1</v>
      </c>
      <c r="J62" s="31">
        <f>VLOOKUP($H62,'Typical Counts'!$B:$F,2,FALSE)*$I62</f>
        <v>2</v>
      </c>
      <c r="K62" s="31">
        <f>VLOOKUP($H62,'Typical Counts'!$B:$F,3,FALSE)*$I62</f>
        <v>1</v>
      </c>
      <c r="L62" s="31">
        <f>VLOOKUP($H62,'Typical Counts'!$B:$F,4,FALSE)*$I62</f>
        <v>10</v>
      </c>
      <c r="M62" s="31">
        <f>VLOOKUP($H62,'Typical Counts'!$B:$F,5,FALSE)*$I62</f>
        <v>5</v>
      </c>
      <c r="N62" s="107">
        <f t="shared" si="3"/>
        <v>1</v>
      </c>
    </row>
    <row r="63" spans="1:14" ht="15.75" x14ac:dyDescent="0.25">
      <c r="A63" s="26" t="str">
        <f t="shared" si="4"/>
        <v>RIO-3163-2</v>
      </c>
      <c r="B63" s="28">
        <v>2</v>
      </c>
      <c r="C63" s="7" t="s">
        <v>213</v>
      </c>
      <c r="D63" s="7" t="str">
        <f t="shared" si="5"/>
        <v>Sand Filter / Water / Air</v>
      </c>
      <c r="E63" s="7">
        <v>3163</v>
      </c>
      <c r="F63" s="8" t="str">
        <f t="shared" si="6"/>
        <v>Process Water / Dam / Sand Filter</v>
      </c>
      <c r="G63" s="45" t="s">
        <v>264</v>
      </c>
      <c r="H63" s="8" t="s">
        <v>181</v>
      </c>
      <c r="I63" s="7">
        <v>1</v>
      </c>
      <c r="J63" s="31">
        <f>VLOOKUP($H63,'Typical Counts'!$B:$F,2,FALSE)*$I63</f>
        <v>3</v>
      </c>
      <c r="K63" s="31">
        <f>VLOOKUP($H63,'Typical Counts'!$B:$F,3,FALSE)*$I63</f>
        <v>2</v>
      </c>
      <c r="L63" s="31">
        <f>VLOOKUP($H63,'Typical Counts'!$B:$F,4,FALSE)*$I63</f>
        <v>0</v>
      </c>
      <c r="M63" s="31">
        <f>VLOOKUP($H63,'Typical Counts'!$B:$F,5,FALSE)*$I63</f>
        <v>0</v>
      </c>
      <c r="N63" s="107">
        <f t="shared" si="3"/>
        <v>1</v>
      </c>
    </row>
    <row r="64" spans="1:14" ht="15.75" x14ac:dyDescent="0.25">
      <c r="A64" s="26" t="str">
        <f t="shared" si="4"/>
        <v>RIO-3163-2</v>
      </c>
      <c r="B64" s="28">
        <v>2</v>
      </c>
      <c r="C64" s="7" t="s">
        <v>213</v>
      </c>
      <c r="D64" s="7" t="str">
        <f t="shared" si="5"/>
        <v>Sand Filter / Water / Air</v>
      </c>
      <c r="E64" s="7">
        <v>3163</v>
      </c>
      <c r="F64" s="8" t="str">
        <f t="shared" si="6"/>
        <v>Process Water / Dam / Sand Filter</v>
      </c>
      <c r="G64" s="45" t="s">
        <v>265</v>
      </c>
      <c r="H64" s="8" t="s">
        <v>182</v>
      </c>
      <c r="I64" s="7">
        <v>1</v>
      </c>
      <c r="J64" s="31">
        <f>VLOOKUP($H64,'Typical Counts'!$B:$F,2,FALSE)*$I64</f>
        <v>0</v>
      </c>
      <c r="K64" s="31">
        <f>VLOOKUP($H64,'Typical Counts'!$B:$F,3,FALSE)*$I64</f>
        <v>0</v>
      </c>
      <c r="L64" s="31">
        <f>VLOOKUP($H64,'Typical Counts'!$B:$F,4,FALSE)*$I64</f>
        <v>0</v>
      </c>
      <c r="M64" s="31">
        <f>VLOOKUP($H64,'Typical Counts'!$B:$F,5,FALSE)*$I64</f>
        <v>0</v>
      </c>
      <c r="N64" s="107">
        <f t="shared" si="3"/>
        <v>1</v>
      </c>
    </row>
    <row r="65" spans="1:14" ht="15.75" x14ac:dyDescent="0.25">
      <c r="A65" s="26" t="str">
        <f t="shared" si="4"/>
        <v>RIO-3163-1</v>
      </c>
      <c r="B65" s="28">
        <v>1</v>
      </c>
      <c r="C65" s="7" t="s">
        <v>213</v>
      </c>
      <c r="D65" s="7" t="str">
        <f t="shared" si="5"/>
        <v>Sand Filter / Water / Air</v>
      </c>
      <c r="E65" s="7">
        <v>3163</v>
      </c>
      <c r="F65" s="8" t="str">
        <f t="shared" si="6"/>
        <v>Process Water / Dam / Sand Filter</v>
      </c>
      <c r="G65" s="45" t="s">
        <v>23</v>
      </c>
      <c r="H65" s="8" t="s">
        <v>134</v>
      </c>
      <c r="I65" s="7">
        <v>2</v>
      </c>
      <c r="J65" s="31">
        <f>VLOOKUP($H65,'Typical Counts'!$B:$F,2,FALSE)*$I65</f>
        <v>6</v>
      </c>
      <c r="K65" s="31">
        <f>VLOOKUP($H65,'Typical Counts'!$B:$F,3,FALSE)*$I65</f>
        <v>4</v>
      </c>
      <c r="L65" s="31">
        <f>VLOOKUP($H65,'Typical Counts'!$B:$F,4,FALSE)*$I65</f>
        <v>16</v>
      </c>
      <c r="M65" s="31">
        <f>VLOOKUP($H65,'Typical Counts'!$B:$F,5,FALSE)*$I65</f>
        <v>8</v>
      </c>
      <c r="N65" s="107">
        <f t="shared" si="3"/>
        <v>2</v>
      </c>
    </row>
    <row r="66" spans="1:14" ht="15.75" x14ac:dyDescent="0.25">
      <c r="A66" s="26" t="str">
        <f t="shared" si="4"/>
        <v>RIO-3163-1</v>
      </c>
      <c r="B66" s="28">
        <v>1</v>
      </c>
      <c r="C66" s="7" t="s">
        <v>213</v>
      </c>
      <c r="D66" s="7" t="str">
        <f t="shared" si="5"/>
        <v>Sand Filter / Water / Air</v>
      </c>
      <c r="E66" s="7">
        <v>3163</v>
      </c>
      <c r="F66" s="8" t="str">
        <f t="shared" si="6"/>
        <v>Process Water / Dam / Sand Filter</v>
      </c>
      <c r="G66" s="45" t="s">
        <v>23</v>
      </c>
      <c r="H66" s="8" t="s">
        <v>178</v>
      </c>
      <c r="I66" s="7">
        <v>4</v>
      </c>
      <c r="J66" s="31">
        <f>VLOOKUP($H66,'Typical Counts'!$B:$F,2,FALSE)*$I66</f>
        <v>4</v>
      </c>
      <c r="K66" s="31">
        <f>VLOOKUP($H66,'Typical Counts'!$B:$F,3,FALSE)*$I66</f>
        <v>4</v>
      </c>
      <c r="L66" s="31">
        <f>VLOOKUP($H66,'Typical Counts'!$B:$F,4,FALSE)*$I66</f>
        <v>0</v>
      </c>
      <c r="M66" s="31">
        <f>VLOOKUP($H66,'Typical Counts'!$B:$F,5,FALSE)*$I66</f>
        <v>0</v>
      </c>
      <c r="N66" s="107">
        <f t="shared" si="3"/>
        <v>4</v>
      </c>
    </row>
    <row r="67" spans="1:14" ht="15.75" x14ac:dyDescent="0.25">
      <c r="A67" s="26" t="str">
        <f t="shared" si="4"/>
        <v>RIO-3165-1</v>
      </c>
      <c r="B67" s="28">
        <v>1</v>
      </c>
      <c r="C67" s="11" t="s">
        <v>267</v>
      </c>
      <c r="D67" s="11" t="str">
        <f t="shared" ref="D67:D68" si="7">VLOOKUP(C67,P:Q,2,FALSE)</f>
        <v>Fire</v>
      </c>
      <c r="E67" s="11">
        <v>3165</v>
      </c>
      <c r="F67" s="13" t="str">
        <f t="shared" ref="F67:F68" si="8">VLOOKUP(E67,S:T,2,FALSE)</f>
        <v>Fire Water</v>
      </c>
      <c r="G67" s="44" t="s">
        <v>24</v>
      </c>
      <c r="H67" s="13" t="s">
        <v>134</v>
      </c>
      <c r="I67" s="11">
        <v>1</v>
      </c>
      <c r="J67" s="31">
        <f>VLOOKUP($H67,'Typical Counts'!$B:$F,2,FALSE)*$I67</f>
        <v>3</v>
      </c>
      <c r="K67" s="31">
        <f>VLOOKUP($H67,'Typical Counts'!$B:$F,3,FALSE)*$I67</f>
        <v>2</v>
      </c>
      <c r="L67" s="31">
        <f>VLOOKUP($H67,'Typical Counts'!$B:$F,4,FALSE)*$I67</f>
        <v>8</v>
      </c>
      <c r="M67" s="31">
        <f>VLOOKUP($H67,'Typical Counts'!$B:$F,5,FALSE)*$I67</f>
        <v>4</v>
      </c>
      <c r="N67" s="107">
        <f t="shared" si="3"/>
        <v>1</v>
      </c>
    </row>
    <row r="68" spans="1:14" ht="15.75" x14ac:dyDescent="0.25">
      <c r="A68" s="26" t="str">
        <f t="shared" si="4"/>
        <v>RIO-3165-1</v>
      </c>
      <c r="B68" s="28">
        <v>1</v>
      </c>
      <c r="C68" s="11" t="s">
        <v>267</v>
      </c>
      <c r="D68" s="11" t="str">
        <f t="shared" si="7"/>
        <v>Fire</v>
      </c>
      <c r="E68" s="11">
        <v>3165</v>
      </c>
      <c r="F68" s="13" t="str">
        <f t="shared" si="8"/>
        <v>Fire Water</v>
      </c>
      <c r="G68" s="44" t="s">
        <v>24</v>
      </c>
      <c r="H68" s="13" t="s">
        <v>178</v>
      </c>
      <c r="I68" s="11">
        <v>1</v>
      </c>
      <c r="J68" s="31">
        <f>VLOOKUP($H68,'Typical Counts'!$B:$F,2,FALSE)*$I68</f>
        <v>1</v>
      </c>
      <c r="K68" s="31">
        <f>VLOOKUP($H68,'Typical Counts'!$B:$F,3,FALSE)*$I68</f>
        <v>1</v>
      </c>
      <c r="L68" s="31">
        <f>VLOOKUP($H68,'Typical Counts'!$B:$F,4,FALSE)*$I68</f>
        <v>0</v>
      </c>
      <c r="M68" s="31">
        <f>VLOOKUP($H68,'Typical Counts'!$B:$F,5,FALSE)*$I68</f>
        <v>0</v>
      </c>
      <c r="N68" s="107">
        <f t="shared" ref="N68" si="9">I68</f>
        <v>1</v>
      </c>
    </row>
  </sheetData>
  <mergeCells count="2">
    <mergeCell ref="J1:M1"/>
    <mergeCell ref="C1:I1"/>
  </mergeCells>
  <dataValidations count="2">
    <dataValidation type="list" allowBlank="1" showInputMessage="1" showErrorMessage="1" sqref="C2:C1048576" xr:uid="{C519F3EB-29E6-40C2-A7CA-E6EF32C014CB}">
      <formula1>$P:$P</formula1>
    </dataValidation>
    <dataValidation type="list" allowBlank="1" showInputMessage="1" showErrorMessage="1" sqref="E2:E1048576" xr:uid="{8C2D007F-8F56-4217-A671-0304E53179C0}">
      <formula1>$S:$S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7D2282-9261-4438-9D7E-A7DF77B5E05B}">
          <x14:formula1>
            <xm:f>'Typical Counts'!$B:$B</xm:f>
          </x14:formula1>
          <xm:sqref>H3:H114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814E8-7C10-41DD-9528-2A3CD97009CE}">
  <sheetPr>
    <tabColor rgb="FFFF0000"/>
  </sheetPr>
  <dimension ref="A1:AW14"/>
  <sheetViews>
    <sheetView workbookViewId="0">
      <selection activeCell="H11" sqref="H11:X11"/>
    </sheetView>
  </sheetViews>
  <sheetFormatPr defaultRowHeight="15" x14ac:dyDescent="0.25"/>
  <cols>
    <col min="1" max="1" width="3" bestFit="1" customWidth="1"/>
    <col min="2" max="2" width="21" bestFit="1" customWidth="1"/>
    <col min="3" max="3" width="4.42578125" style="18" bestFit="1" customWidth="1"/>
    <col min="4" max="4" width="5.42578125" bestFit="1" customWidth="1"/>
    <col min="5" max="5" width="6.85546875" bestFit="1" customWidth="1"/>
    <col min="6" max="6" width="21.140625" style="40" bestFit="1" customWidth="1"/>
    <col min="7" max="7" width="0.85546875" style="21" customWidth="1"/>
    <col min="8" max="8" width="2" style="18" bestFit="1" customWidth="1"/>
    <col min="9" max="9" width="14.5703125" style="17" bestFit="1" customWidth="1"/>
    <col min="10" max="10" width="2" style="17" hidden="1" customWidth="1"/>
    <col min="11" max="11" width="2" bestFit="1" customWidth="1"/>
    <col min="12" max="12" width="15.28515625" bestFit="1" customWidth="1"/>
    <col min="13" max="13" width="2.28515625" bestFit="1" customWidth="1"/>
    <col min="14" max="14" width="2" bestFit="1" customWidth="1"/>
    <col min="15" max="15" width="15.42578125" bestFit="1" customWidth="1"/>
    <col min="16" max="16" width="2.85546875" bestFit="1" customWidth="1"/>
    <col min="17" max="17" width="2" bestFit="1" customWidth="1"/>
    <col min="18" max="18" width="15.5703125" bestFit="1" customWidth="1"/>
    <col min="19" max="19" width="2.42578125" bestFit="1" customWidth="1"/>
    <col min="20" max="20" width="2" bestFit="1" customWidth="1"/>
    <col min="21" max="21" width="15.5703125" bestFit="1" customWidth="1"/>
    <col min="22" max="22" width="3" bestFit="1" customWidth="1"/>
    <col min="23" max="23" width="4.42578125" bestFit="1" customWidth="1"/>
    <col min="24" max="24" width="4.42578125" style="18" bestFit="1" customWidth="1"/>
    <col min="25" max="25" width="8.5703125" bestFit="1" customWidth="1"/>
    <col min="26" max="26" width="0.85546875" style="49" customWidth="1"/>
    <col min="27" max="27" width="7.140625" bestFit="1" customWidth="1"/>
    <col min="28" max="28" width="5.28515625" bestFit="1" customWidth="1"/>
    <col min="29" max="29" width="0.85546875" style="21" customWidth="1"/>
    <col min="30" max="30" width="3" bestFit="1" customWidth="1"/>
    <col min="31" max="31" width="3.7109375" bestFit="1" customWidth="1"/>
    <col min="32" max="32" width="3" bestFit="1" customWidth="1"/>
    <col min="33" max="33" width="3.7109375" bestFit="1" customWidth="1"/>
    <col min="34" max="34" width="0.85546875" style="49" customWidth="1"/>
    <col min="35" max="35" width="7.140625" bestFit="1" customWidth="1"/>
    <col min="36" max="36" width="5.28515625" bestFit="1" customWidth="1"/>
    <col min="37" max="37" width="0.85546875" style="21" customWidth="1"/>
    <col min="38" max="38" width="15.28515625" style="40" bestFit="1" customWidth="1"/>
    <col min="39" max="39" width="4" style="18" bestFit="1" customWidth="1"/>
    <col min="40" max="40" width="0.85546875" style="49" customWidth="1"/>
    <col min="41" max="41" width="15.42578125" style="40" bestFit="1" customWidth="1"/>
    <col min="42" max="42" width="3" style="18" bestFit="1" customWidth="1"/>
    <col min="43" max="43" width="0.85546875" style="49" customWidth="1"/>
    <col min="44" max="44" width="15.5703125" style="40" bestFit="1" customWidth="1"/>
    <col min="45" max="45" width="4" style="18" bestFit="1" customWidth="1"/>
    <col min="46" max="46" width="0.85546875" style="49" customWidth="1"/>
    <col min="47" max="47" width="15.5703125" style="40" bestFit="1" customWidth="1"/>
    <col min="48" max="48" width="3" style="18" bestFit="1" customWidth="1"/>
    <col min="49" max="49" width="0.85546875" style="49" customWidth="1"/>
  </cols>
  <sheetData>
    <row r="1" spans="1:49" ht="44.25" customHeight="1" x14ac:dyDescent="0.25">
      <c r="B1" s="23" t="s">
        <v>281</v>
      </c>
      <c r="C1" s="46" t="s">
        <v>280</v>
      </c>
      <c r="D1" s="23" t="s">
        <v>282</v>
      </c>
      <c r="E1" s="23" t="s">
        <v>279</v>
      </c>
      <c r="F1" s="47" t="s">
        <v>290</v>
      </c>
      <c r="H1" s="50"/>
      <c r="I1" s="55"/>
      <c r="J1" s="55"/>
      <c r="K1" s="135" t="s">
        <v>295</v>
      </c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6" t="s">
        <v>352</v>
      </c>
      <c r="X1" s="136" t="s">
        <v>353</v>
      </c>
      <c r="Y1" s="137" t="s">
        <v>354</v>
      </c>
      <c r="AA1" t="s">
        <v>270</v>
      </c>
      <c r="AB1" s="50" t="s">
        <v>293</v>
      </c>
      <c r="AD1" s="138" t="s">
        <v>296</v>
      </c>
      <c r="AE1" s="138"/>
      <c r="AF1" s="138"/>
      <c r="AG1" s="138"/>
      <c r="AI1" t="s">
        <v>270</v>
      </c>
      <c r="AJ1" s="50" t="s">
        <v>286</v>
      </c>
      <c r="AL1" s="135" t="s">
        <v>295</v>
      </c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</row>
    <row r="2" spans="1:49" x14ac:dyDescent="0.25">
      <c r="B2" s="23"/>
      <c r="C2" s="46"/>
      <c r="D2" s="23"/>
      <c r="E2" s="23"/>
      <c r="F2" s="47"/>
      <c r="G2" s="51"/>
      <c r="K2" s="130" t="s">
        <v>4</v>
      </c>
      <c r="L2" s="131"/>
      <c r="M2" s="132"/>
      <c r="N2" s="130" t="s">
        <v>6</v>
      </c>
      <c r="O2" s="131"/>
      <c r="P2" s="132"/>
      <c r="Q2" s="130" t="s">
        <v>3</v>
      </c>
      <c r="R2" s="131"/>
      <c r="S2" s="132"/>
      <c r="T2" s="134" t="s">
        <v>5</v>
      </c>
      <c r="U2" s="134"/>
      <c r="V2" s="134"/>
      <c r="W2" s="136"/>
      <c r="X2" s="136"/>
      <c r="Y2" s="137"/>
      <c r="Z2" s="52"/>
      <c r="AA2" s="17"/>
      <c r="AB2" s="18"/>
      <c r="AC2" s="51"/>
      <c r="AD2" s="64" t="s">
        <v>4</v>
      </c>
      <c r="AE2" s="64" t="s">
        <v>6</v>
      </c>
      <c r="AF2" s="64" t="s">
        <v>3</v>
      </c>
      <c r="AG2" s="64" t="s">
        <v>5</v>
      </c>
      <c r="AH2" s="52"/>
      <c r="AI2" s="17"/>
      <c r="AJ2" s="18"/>
      <c r="AK2" s="51"/>
      <c r="AL2" s="130" t="s">
        <v>4</v>
      </c>
      <c r="AM2" s="131"/>
      <c r="AN2" s="132"/>
      <c r="AO2" s="130" t="s">
        <v>6</v>
      </c>
      <c r="AP2" s="131"/>
      <c r="AQ2" s="132"/>
      <c r="AR2" s="130" t="s">
        <v>3</v>
      </c>
      <c r="AS2" s="131"/>
      <c r="AT2" s="132"/>
      <c r="AU2" s="134" t="s">
        <v>5</v>
      </c>
      <c r="AV2" s="134"/>
      <c r="AW2" s="134"/>
    </row>
    <row r="3" spans="1:49" x14ac:dyDescent="0.25">
      <c r="A3">
        <v>1</v>
      </c>
      <c r="B3" s="49" t="s">
        <v>285</v>
      </c>
      <c r="C3" s="78" t="s">
        <v>275</v>
      </c>
      <c r="D3" s="49">
        <v>15</v>
      </c>
      <c r="E3" s="49" t="s">
        <v>276</v>
      </c>
      <c r="F3" s="79"/>
      <c r="H3" s="18">
        <v>1</v>
      </c>
      <c r="I3" s="17" t="s">
        <v>297</v>
      </c>
      <c r="J3" s="17">
        <f>H3</f>
        <v>1</v>
      </c>
      <c r="K3" s="72">
        <v>4</v>
      </c>
      <c r="L3" s="40" t="s">
        <v>344</v>
      </c>
      <c r="M3" s="40" t="str">
        <f>IF(ISNA(VLOOKUP(L3,'Part Numbers'!$B:$C,2,FALSE)),"-",VLOOKUP(L3,'Part Numbers'!$B:$C,2,FALSE))</f>
        <v>AI</v>
      </c>
      <c r="N3" s="72">
        <v>2</v>
      </c>
      <c r="O3" s="40" t="s">
        <v>345</v>
      </c>
      <c r="P3" s="40" t="str">
        <f>IF(ISNA(VLOOKUP(O3,'Part Numbers'!$B:$C,2,FALSE)),"-",VLOOKUP(O3,'Part Numbers'!$B:$C,2,FALSE))</f>
        <v>AO</v>
      </c>
      <c r="Q3" s="72">
        <v>4</v>
      </c>
      <c r="R3" s="40" t="s">
        <v>346</v>
      </c>
      <c r="S3" s="40" t="str">
        <f>IF(ISNA(VLOOKUP(R3,'Part Numbers'!$B:$C,2,FALSE)),"-",VLOOKUP(R3,'Part Numbers'!$B:$C,2,FALSE))</f>
        <v>DI</v>
      </c>
      <c r="T3" s="73">
        <v>2</v>
      </c>
      <c r="U3" s="40" t="s">
        <v>347</v>
      </c>
      <c r="V3" s="40" t="str">
        <f>IF(ISNA(VLOOKUP(U3,'Part Numbers'!$B:$C,2,FALSE)),"-",VLOOKUP(U3,'Part Numbers'!$B:$C,2,FALSE))</f>
        <v>DO</v>
      </c>
      <c r="W3" s="71">
        <f t="shared" ref="W3:W10" si="0">IF(AND(ISNUMBER(AD3),ISNUMBER(AE3),ISNUMBER(AF3),ISNUMBER(AG3)),((AD3+AE3)*2)+((AF3+AG3)/8),"-")</f>
        <v>92</v>
      </c>
      <c r="X3" s="25">
        <f t="shared" ref="X3:X10" si="1">IF(ISNUMBER(W3),ROUNDUP(W3/$D$7,0),"-")</f>
        <v>1</v>
      </c>
      <c r="Y3" s="18">
        <f>SUMIFS(Rios!J:J,Rios!AM:AM,Constraints!I3)</f>
        <v>17</v>
      </c>
      <c r="AA3" s="18">
        <f t="shared" ref="AA3:AA10" si="2">SUM(K3:T3)</f>
        <v>12</v>
      </c>
      <c r="AB3" s="18" t="str">
        <f>IF(AA3&gt;Constraints!$D$6,AA3-Constraints!$D$6,"-")</f>
        <v>-</v>
      </c>
      <c r="AD3" s="38">
        <f>IF(K3&lt;&gt;"",VLOOKUP(L3,'Part Numbers'!$B:$D,3,FALSE)*K3,"-")</f>
        <v>32</v>
      </c>
      <c r="AE3" s="38">
        <f>IF(N3&lt;&gt;"",VLOOKUP(O3,'Part Numbers'!$B:$D,3,FALSE)*N3,"-")</f>
        <v>8</v>
      </c>
      <c r="AF3" s="38">
        <f>IF(Q3&lt;&gt;"",VLOOKUP(R3,'Part Numbers'!$B:$D,3,FALSE)*Q3,"-")</f>
        <v>64</v>
      </c>
      <c r="AG3" s="38">
        <f>IF(T3&lt;&gt;"",VLOOKUP(U3,'Part Numbers'!$B:$D,3,FALSE)*T3,"-")</f>
        <v>32</v>
      </c>
      <c r="AI3" s="18">
        <f t="shared" ref="AI3:AI10" si="3">SUM(AD3:AG3)</f>
        <v>136</v>
      </c>
      <c r="AJ3" s="18">
        <f>IF(AI3&gt;Constraints!$D$5,AI3-Constraints!$D$5,"-")</f>
        <v>16</v>
      </c>
      <c r="AL3" s="40" t="str">
        <f t="shared" ref="AL3:AL10" si="4">L3</f>
        <v>6ES7531-7KF00-0AB0</v>
      </c>
      <c r="AM3" s="18">
        <f>K3*$Y3</f>
        <v>68</v>
      </c>
      <c r="AO3" s="40" t="str">
        <f>O3</f>
        <v>6ES7532-5HF00-0AB0</v>
      </c>
      <c r="AP3" s="18">
        <f>N3*$Y3</f>
        <v>34</v>
      </c>
      <c r="AR3" s="40" t="str">
        <f>R3</f>
        <v>6ES7521-1BH00-0AB0</v>
      </c>
      <c r="AS3" s="18">
        <f>Q3*$Y3</f>
        <v>68</v>
      </c>
      <c r="AU3" s="40" t="str">
        <f>U3</f>
        <v>6ES7522-1BH01-0AB0</v>
      </c>
      <c r="AV3" s="18">
        <f>T3*$Y3</f>
        <v>34</v>
      </c>
    </row>
    <row r="4" spans="1:49" x14ac:dyDescent="0.25">
      <c r="A4">
        <v>2</v>
      </c>
      <c r="B4" s="49" t="s">
        <v>274</v>
      </c>
      <c r="C4" s="78" t="s">
        <v>275</v>
      </c>
      <c r="D4" s="49">
        <v>20</v>
      </c>
      <c r="E4" s="49" t="s">
        <v>276</v>
      </c>
      <c r="F4" s="79"/>
      <c r="H4" s="18">
        <v>2</v>
      </c>
      <c r="I4" s="17" t="s">
        <v>421</v>
      </c>
      <c r="J4" s="17">
        <f t="shared" ref="J4:J6" si="5">H4</f>
        <v>2</v>
      </c>
      <c r="K4" s="72">
        <v>2</v>
      </c>
      <c r="L4" s="40" t="s">
        <v>344</v>
      </c>
      <c r="M4" s="40" t="str">
        <f>IF(ISNA(VLOOKUP(L4,'Part Numbers'!$B:$C,2,FALSE)),"-",VLOOKUP(L4,'Part Numbers'!$B:$C,2,FALSE))</f>
        <v>AI</v>
      </c>
      <c r="N4" s="72">
        <v>1</v>
      </c>
      <c r="O4" s="40" t="s">
        <v>345</v>
      </c>
      <c r="P4" s="40" t="str">
        <f>IF(ISNA(VLOOKUP(O4,'Part Numbers'!$B:$C,2,FALSE)),"-",VLOOKUP(O4,'Part Numbers'!$B:$C,2,FALSE))</f>
        <v>AO</v>
      </c>
      <c r="Q4" s="72">
        <v>2</v>
      </c>
      <c r="R4" s="40" t="s">
        <v>346</v>
      </c>
      <c r="S4" s="40" t="str">
        <f>IF(ISNA(VLOOKUP(R4,'Part Numbers'!$B:$C,2,FALSE)),"-",VLOOKUP(R4,'Part Numbers'!$B:$C,2,FALSE))</f>
        <v>DI</v>
      </c>
      <c r="T4" s="73">
        <v>1</v>
      </c>
      <c r="U4" s="40" t="s">
        <v>347</v>
      </c>
      <c r="V4" s="40" t="str">
        <f>IF(ISNA(VLOOKUP(U4,'Part Numbers'!$B:$C,2,FALSE)),"-",VLOOKUP(U4,'Part Numbers'!$B:$C,2,FALSE))</f>
        <v>DO</v>
      </c>
      <c r="W4" s="71">
        <f t="shared" si="0"/>
        <v>46</v>
      </c>
      <c r="X4" s="25">
        <f t="shared" si="1"/>
        <v>1</v>
      </c>
      <c r="Y4" s="18">
        <f>SUMIFS(Rios!J:J,Rios!AM:AM,Constraints!I4)</f>
        <v>38</v>
      </c>
      <c r="AA4" s="18">
        <f t="shared" si="2"/>
        <v>6</v>
      </c>
      <c r="AB4" s="18" t="str">
        <f>IF(AA4&gt;Constraints!$D$6,AA4-Constraints!$D$6,"-")</f>
        <v>-</v>
      </c>
      <c r="AD4" s="38">
        <f>IF(K4&lt;&gt;"",VLOOKUP(L4,'Part Numbers'!$B:$D,3,FALSE)*K4,"-")</f>
        <v>16</v>
      </c>
      <c r="AE4" s="38">
        <f>IF(N4&lt;&gt;"",VLOOKUP(O4,'Part Numbers'!$B:$D,3,FALSE)*N4,"-")</f>
        <v>4</v>
      </c>
      <c r="AF4" s="38">
        <f>IF(Q4&lt;&gt;"",VLOOKUP(R4,'Part Numbers'!$B:$D,3,FALSE)*Q4,"-")</f>
        <v>32</v>
      </c>
      <c r="AG4" s="38">
        <f>IF(T4&lt;&gt;"",VLOOKUP(U4,'Part Numbers'!$B:$D,3,FALSE)*T4,"-")</f>
        <v>16</v>
      </c>
      <c r="AI4" s="18">
        <f t="shared" si="3"/>
        <v>68</v>
      </c>
      <c r="AJ4" s="18" t="str">
        <f>IF(AI4&gt;Constraints!$D$5,AI4-Constraints!$D$5,"-")</f>
        <v>-</v>
      </c>
      <c r="AL4" s="40" t="str">
        <f t="shared" si="4"/>
        <v>6ES7531-7KF00-0AB0</v>
      </c>
      <c r="AM4" s="18">
        <f t="shared" ref="AM4:AM10" si="6">K4*Y4</f>
        <v>76</v>
      </c>
      <c r="AO4" s="40" t="str">
        <f t="shared" ref="AO4:AO10" si="7">O4</f>
        <v>6ES7532-5HF00-0AB0</v>
      </c>
      <c r="AP4" s="18">
        <f t="shared" ref="AP4:AP10" si="8">N4*$Y4</f>
        <v>38</v>
      </c>
      <c r="AR4" s="40" t="str">
        <f t="shared" ref="AR4:AR10" si="9">R4</f>
        <v>6ES7521-1BH00-0AB0</v>
      </c>
      <c r="AS4" s="18">
        <f t="shared" ref="AS4:AS10" si="10">Q4*$Y4</f>
        <v>76</v>
      </c>
      <c r="AU4" s="40" t="str">
        <f t="shared" ref="AU4:AU10" si="11">U4</f>
        <v>6ES7522-1BH01-0AB0</v>
      </c>
      <c r="AV4" s="18">
        <f t="shared" ref="AV4:AV10" si="12">T4*$Y4</f>
        <v>38</v>
      </c>
    </row>
    <row r="5" spans="1:49" x14ac:dyDescent="0.25">
      <c r="A5">
        <v>3</v>
      </c>
      <c r="B5" s="49" t="s">
        <v>278</v>
      </c>
      <c r="C5" s="78" t="s">
        <v>273</v>
      </c>
      <c r="D5" s="49">
        <v>120</v>
      </c>
      <c r="E5" s="49" t="s">
        <v>10</v>
      </c>
      <c r="F5" s="79"/>
      <c r="H5" s="18">
        <v>3</v>
      </c>
      <c r="I5" s="17" t="s">
        <v>329</v>
      </c>
      <c r="J5" s="17">
        <f t="shared" si="5"/>
        <v>3</v>
      </c>
      <c r="K5" s="72">
        <v>1</v>
      </c>
      <c r="L5" s="40" t="s">
        <v>344</v>
      </c>
      <c r="M5" s="40" t="str">
        <f>IF(ISNA(VLOOKUP(L5,'Part Numbers'!$B:$C,2,FALSE)),"-",VLOOKUP(L5,'Part Numbers'!$B:$C,2,FALSE))</f>
        <v>AI</v>
      </c>
      <c r="N5" s="72">
        <v>1</v>
      </c>
      <c r="O5" s="40" t="s">
        <v>345</v>
      </c>
      <c r="P5" s="40" t="str">
        <f>IF(ISNA(VLOOKUP(O5,'Part Numbers'!$B:$C,2,FALSE)),"-",VLOOKUP(O5,'Part Numbers'!$B:$C,2,FALSE))</f>
        <v>AO</v>
      </c>
      <c r="Q5" s="72">
        <v>5</v>
      </c>
      <c r="R5" s="40" t="s">
        <v>346</v>
      </c>
      <c r="S5" s="40" t="str">
        <f>IF(ISNA(VLOOKUP(R5,'Part Numbers'!$B:$C,2,FALSE)),"-",VLOOKUP(R5,'Part Numbers'!$B:$C,2,FALSE))</f>
        <v>DI</v>
      </c>
      <c r="T5" s="72">
        <v>5</v>
      </c>
      <c r="U5" s="40" t="s">
        <v>347</v>
      </c>
      <c r="V5" s="40" t="str">
        <f>IF(ISNA(VLOOKUP(U5,'Part Numbers'!$B:$C,2,FALSE)),"-",VLOOKUP(U5,'Part Numbers'!$B:$C,2,FALSE))</f>
        <v>DO</v>
      </c>
      <c r="W5" s="71">
        <f t="shared" si="0"/>
        <v>44</v>
      </c>
      <c r="X5" s="25">
        <f t="shared" si="1"/>
        <v>1</v>
      </c>
      <c r="Y5" s="18">
        <f>SUMIFS(Rios!J:J,Rios!AM:AM,Constraints!I5)</f>
        <v>8</v>
      </c>
      <c r="AA5" s="18">
        <f t="shared" si="2"/>
        <v>12</v>
      </c>
      <c r="AB5" s="18" t="str">
        <f>IF(AA5&gt;Constraints!$D$6,AA5-Constraints!$D$6,"-")</f>
        <v>-</v>
      </c>
      <c r="AD5" s="38">
        <f>IF(K5&lt;&gt;"",VLOOKUP(L5,'Part Numbers'!$B:$D,3,FALSE)*K5,"-")</f>
        <v>8</v>
      </c>
      <c r="AE5" s="38">
        <f>IF(N5&lt;&gt;"",VLOOKUP(O5,'Part Numbers'!$B:$D,3,FALSE)*N5,"-")</f>
        <v>4</v>
      </c>
      <c r="AF5" s="38">
        <f>IF(Q5&lt;&gt;"",VLOOKUP(R5,'Part Numbers'!$B:$D,3,FALSE)*Q5,"-")</f>
        <v>80</v>
      </c>
      <c r="AG5" s="38">
        <f>IF(T5&lt;&gt;"",VLOOKUP(U5,'Part Numbers'!$B:$D,3,FALSE)*T5,"-")</f>
        <v>80</v>
      </c>
      <c r="AI5" s="18">
        <f t="shared" si="3"/>
        <v>172</v>
      </c>
      <c r="AJ5" s="18">
        <f>IF(AI5&gt;Constraints!$D$5,AI5-Constraints!$D$5,"-")</f>
        <v>52</v>
      </c>
      <c r="AL5" s="40" t="str">
        <f t="shared" si="4"/>
        <v>6ES7531-7KF00-0AB0</v>
      </c>
      <c r="AM5" s="18">
        <f t="shared" si="6"/>
        <v>8</v>
      </c>
      <c r="AO5" s="40" t="str">
        <f t="shared" si="7"/>
        <v>6ES7532-5HF00-0AB0</v>
      </c>
      <c r="AP5" s="18">
        <f t="shared" si="8"/>
        <v>8</v>
      </c>
      <c r="AR5" s="40" t="str">
        <f t="shared" si="9"/>
        <v>6ES7521-1BH00-0AB0</v>
      </c>
      <c r="AS5" s="18">
        <f t="shared" si="10"/>
        <v>40</v>
      </c>
      <c r="AU5" s="40" t="str">
        <f t="shared" si="11"/>
        <v>6ES7522-1BH01-0AB0</v>
      </c>
      <c r="AV5" s="18">
        <f t="shared" si="12"/>
        <v>40</v>
      </c>
    </row>
    <row r="6" spans="1:49" x14ac:dyDescent="0.25">
      <c r="A6">
        <v>4</v>
      </c>
      <c r="B6" s="49" t="s">
        <v>272</v>
      </c>
      <c r="C6" s="78" t="s">
        <v>273</v>
      </c>
      <c r="D6" s="49">
        <v>12</v>
      </c>
      <c r="E6" s="49" t="s">
        <v>272</v>
      </c>
      <c r="F6" s="79"/>
      <c r="H6" s="18">
        <v>4</v>
      </c>
      <c r="I6" s="17" t="s">
        <v>334</v>
      </c>
      <c r="J6" s="17">
        <f t="shared" si="5"/>
        <v>4</v>
      </c>
      <c r="K6" s="72">
        <v>6</v>
      </c>
      <c r="L6" s="40" t="s">
        <v>344</v>
      </c>
      <c r="M6" s="40" t="str">
        <f>IF(ISNA(VLOOKUP(L6,'Part Numbers'!$B:$C,2,FALSE)),"-",VLOOKUP(L6,'Part Numbers'!$B:$C,2,FALSE))</f>
        <v>AI</v>
      </c>
      <c r="N6" s="72">
        <v>4</v>
      </c>
      <c r="O6" s="40" t="s">
        <v>345</v>
      </c>
      <c r="P6" s="40" t="str">
        <f>IF(ISNA(VLOOKUP(O6,'Part Numbers'!$B:$C,2,FALSE)),"-",VLOOKUP(O6,'Part Numbers'!$B:$C,2,FALSE))</f>
        <v>AO</v>
      </c>
      <c r="Q6" s="72">
        <v>1</v>
      </c>
      <c r="R6" s="40" t="s">
        <v>346</v>
      </c>
      <c r="S6" s="40" t="str">
        <f>IF(ISNA(VLOOKUP(R6,'Part Numbers'!$B:$C,2,FALSE)),"-",VLOOKUP(R6,'Part Numbers'!$B:$C,2,FALSE))</f>
        <v>DI</v>
      </c>
      <c r="T6" s="72">
        <v>1</v>
      </c>
      <c r="U6" s="40" t="s">
        <v>347</v>
      </c>
      <c r="V6" s="40" t="str">
        <f>IF(ISNA(VLOOKUP(U6,'Part Numbers'!$B:$C,2,FALSE)),"-",VLOOKUP(U6,'Part Numbers'!$B:$C,2,FALSE))</f>
        <v>DO</v>
      </c>
      <c r="W6" s="71">
        <f t="shared" si="0"/>
        <v>132</v>
      </c>
      <c r="X6" s="25">
        <f t="shared" si="1"/>
        <v>1</v>
      </c>
      <c r="Y6" s="18">
        <f>SUMIFS(Rios!J:J,Rios!AM:AM,Constraints!I6)</f>
        <v>4</v>
      </c>
      <c r="AA6" s="18">
        <f t="shared" si="2"/>
        <v>12</v>
      </c>
      <c r="AB6" s="18" t="str">
        <f>IF(AA6&gt;Constraints!$D$6,AA6-Constraints!$D$6,"-")</f>
        <v>-</v>
      </c>
      <c r="AD6" s="38">
        <f>IF(K6&lt;&gt;"",VLOOKUP(L6,'Part Numbers'!$B:$D,3,FALSE)*K6,"-")</f>
        <v>48</v>
      </c>
      <c r="AE6" s="38">
        <f>IF(N6&lt;&gt;"",VLOOKUP(O6,'Part Numbers'!$B:$D,3,FALSE)*N6,"-")</f>
        <v>16</v>
      </c>
      <c r="AF6" s="38">
        <f>IF(Q6&lt;&gt;"",VLOOKUP(R6,'Part Numbers'!$B:$D,3,FALSE)*Q6,"-")</f>
        <v>16</v>
      </c>
      <c r="AG6" s="38">
        <f>IF(T6&lt;&gt;"",VLOOKUP(U6,'Part Numbers'!$B:$D,3,FALSE)*T6,"-")</f>
        <v>16</v>
      </c>
      <c r="AI6" s="18">
        <f t="shared" si="3"/>
        <v>96</v>
      </c>
      <c r="AJ6" s="18" t="str">
        <f>IF(AI6&gt;Constraints!$D$5,AI6-Constraints!$D$5,"-")</f>
        <v>-</v>
      </c>
      <c r="AL6" s="40" t="str">
        <f t="shared" si="4"/>
        <v>6ES7531-7KF00-0AB0</v>
      </c>
      <c r="AM6" s="18">
        <f t="shared" si="6"/>
        <v>24</v>
      </c>
      <c r="AO6" s="40" t="str">
        <f t="shared" si="7"/>
        <v>6ES7532-5HF00-0AB0</v>
      </c>
      <c r="AP6" s="18">
        <f t="shared" si="8"/>
        <v>16</v>
      </c>
      <c r="AR6" s="40" t="str">
        <f t="shared" si="9"/>
        <v>6ES7521-1BH00-0AB0</v>
      </c>
      <c r="AS6" s="18">
        <f t="shared" si="10"/>
        <v>4</v>
      </c>
      <c r="AU6" s="40" t="str">
        <f t="shared" si="11"/>
        <v>6ES7522-1BH01-0AB0</v>
      </c>
      <c r="AV6" s="18">
        <f t="shared" si="12"/>
        <v>4</v>
      </c>
    </row>
    <row r="7" spans="1:49" x14ac:dyDescent="0.25">
      <c r="A7">
        <v>5</v>
      </c>
      <c r="B7" s="49" t="s">
        <v>351</v>
      </c>
      <c r="C7" s="78" t="s">
        <v>273</v>
      </c>
      <c r="D7" s="49">
        <v>256</v>
      </c>
      <c r="E7" s="49" t="s">
        <v>350</v>
      </c>
      <c r="F7" s="79"/>
      <c r="H7" s="18">
        <v>5</v>
      </c>
      <c r="J7" s="17">
        <f t="shared" ref="J7:J10" si="13">H7</f>
        <v>5</v>
      </c>
      <c r="K7" s="72"/>
      <c r="L7" s="18"/>
      <c r="M7" s="40" t="str">
        <f>IF(ISNA(VLOOKUP(L7,'Part Numbers'!$B:$C,2,FALSE)),"-",VLOOKUP(L7,'Part Numbers'!$B:$C,2,FALSE))</f>
        <v>-</v>
      </c>
      <c r="N7" s="72"/>
      <c r="O7" s="18"/>
      <c r="P7" s="40" t="str">
        <f>IF(ISNA(VLOOKUP(O7,'Part Numbers'!$B:$C,2,FALSE)),"-",VLOOKUP(O7,'Part Numbers'!$B:$C,2,FALSE))</f>
        <v>-</v>
      </c>
      <c r="Q7" s="72"/>
      <c r="R7" s="18"/>
      <c r="S7" s="40" t="str">
        <f>IF(ISNA(VLOOKUP(R7,'Part Numbers'!$B:$C,2,FALSE)),"-",VLOOKUP(R7,'Part Numbers'!$B:$C,2,FALSE))</f>
        <v>-</v>
      </c>
      <c r="T7" s="72"/>
      <c r="U7" s="18"/>
      <c r="V7" s="40" t="str">
        <f>IF(ISNA(VLOOKUP(U7,'Part Numbers'!$B:$C,2,FALSE)),"-",VLOOKUP(U7,'Part Numbers'!$B:$C,2,FALSE))</f>
        <v>-</v>
      </c>
      <c r="W7" s="71" t="str">
        <f t="shared" si="0"/>
        <v>-</v>
      </c>
      <c r="X7" s="25" t="str">
        <f t="shared" si="1"/>
        <v>-</v>
      </c>
      <c r="Y7" s="18">
        <f>SUMIFS(Rios!J:J,Rios!AM:AM,Constraints!I7)</f>
        <v>0</v>
      </c>
      <c r="AA7" s="18">
        <f t="shared" si="2"/>
        <v>0</v>
      </c>
      <c r="AB7" s="18" t="str">
        <f>IF(AA7&gt;Constraints!$D$6,AA7-Constraints!$D$6,"-")</f>
        <v>-</v>
      </c>
      <c r="AD7" s="38" t="str">
        <f>IF(K7&lt;&gt;"",VLOOKUP(L7,'Part Numbers'!$B:$D,3,FALSE)*K7,"-")</f>
        <v>-</v>
      </c>
      <c r="AE7" s="38" t="str">
        <f>IF(N7&lt;&gt;"",VLOOKUP(O7,'Part Numbers'!$B:$D,3,FALSE)*N7,"-")</f>
        <v>-</v>
      </c>
      <c r="AF7" s="38" t="str">
        <f>IF(Q7&lt;&gt;"",VLOOKUP(R7,'Part Numbers'!$B:$D,3,FALSE)*Q7,"-")</f>
        <v>-</v>
      </c>
      <c r="AG7" s="38" t="str">
        <f>IF(T7&lt;&gt;"",VLOOKUP(U7,'Part Numbers'!$B:$D,3,FALSE)*T7,"-")</f>
        <v>-</v>
      </c>
      <c r="AI7" s="18">
        <f t="shared" si="3"/>
        <v>0</v>
      </c>
      <c r="AJ7" s="18" t="str">
        <f>IF(AI7&gt;Constraints!$D$5,AI7-Constraints!$D$5,"-")</f>
        <v>-</v>
      </c>
      <c r="AL7" s="40">
        <f t="shared" si="4"/>
        <v>0</v>
      </c>
      <c r="AM7" s="18">
        <f t="shared" si="6"/>
        <v>0</v>
      </c>
      <c r="AO7" s="40">
        <f t="shared" si="7"/>
        <v>0</v>
      </c>
      <c r="AP7" s="18">
        <f t="shared" si="8"/>
        <v>0</v>
      </c>
      <c r="AR7" s="40">
        <f t="shared" si="9"/>
        <v>0</v>
      </c>
      <c r="AS7" s="18">
        <f t="shared" si="10"/>
        <v>0</v>
      </c>
      <c r="AU7" s="40">
        <f t="shared" si="11"/>
        <v>0</v>
      </c>
      <c r="AV7" s="18">
        <f t="shared" si="12"/>
        <v>0</v>
      </c>
    </row>
    <row r="8" spans="1:49" x14ac:dyDescent="0.25">
      <c r="A8">
        <v>6</v>
      </c>
      <c r="B8" t="s">
        <v>271</v>
      </c>
      <c r="C8" s="18" t="s">
        <v>273</v>
      </c>
      <c r="D8">
        <v>24</v>
      </c>
      <c r="E8" t="s">
        <v>277</v>
      </c>
      <c r="H8" s="18">
        <v>6</v>
      </c>
      <c r="J8" s="17">
        <f t="shared" si="13"/>
        <v>6</v>
      </c>
      <c r="K8" s="72"/>
      <c r="L8" s="40"/>
      <c r="M8" s="40" t="str">
        <f>IF(ISNA(VLOOKUP(L8,'Part Numbers'!$B:$C,2,FALSE)),"-",VLOOKUP(L8,'Part Numbers'!$B:$C,2,FALSE))</f>
        <v>-</v>
      </c>
      <c r="N8" s="72"/>
      <c r="O8" s="40"/>
      <c r="P8" s="40" t="str">
        <f>IF(ISNA(VLOOKUP(O8,'Part Numbers'!$B:$C,2,FALSE)),"-",VLOOKUP(O8,'Part Numbers'!$B:$C,2,FALSE))</f>
        <v>-</v>
      </c>
      <c r="Q8" s="72"/>
      <c r="R8" s="40"/>
      <c r="S8" s="40" t="str">
        <f>IF(ISNA(VLOOKUP(R8,'Part Numbers'!$B:$C,2,FALSE)),"-",VLOOKUP(R8,'Part Numbers'!$B:$C,2,FALSE))</f>
        <v>-</v>
      </c>
      <c r="T8" s="72"/>
      <c r="U8" s="40"/>
      <c r="V8" s="40" t="str">
        <f>IF(ISNA(VLOOKUP(U8,'Part Numbers'!$B:$C,2,FALSE)),"-",VLOOKUP(U8,'Part Numbers'!$B:$C,2,FALSE))</f>
        <v>-</v>
      </c>
      <c r="W8" s="71" t="str">
        <f t="shared" si="0"/>
        <v>-</v>
      </c>
      <c r="X8" s="25" t="str">
        <f t="shared" si="1"/>
        <v>-</v>
      </c>
      <c r="Y8" s="18">
        <f>SUMIFS(Rios!J:J,Rios!AM:AM,Constraints!I8)</f>
        <v>0</v>
      </c>
      <c r="AA8" s="18">
        <f t="shared" si="2"/>
        <v>0</v>
      </c>
      <c r="AB8" s="18" t="str">
        <f>IF(AA8&gt;Constraints!$D$6,AA8-Constraints!$D$6,"-")</f>
        <v>-</v>
      </c>
      <c r="AD8" s="38" t="str">
        <f>IF(K8&lt;&gt;"",VLOOKUP(L8,'Part Numbers'!$B:$D,3,FALSE)*K8,"-")</f>
        <v>-</v>
      </c>
      <c r="AE8" s="38" t="str">
        <f>IF(N8&lt;&gt;"",VLOOKUP(O8,'Part Numbers'!$B:$D,3,FALSE)*N8,"-")</f>
        <v>-</v>
      </c>
      <c r="AF8" s="38" t="str">
        <f>IF(Q8&lt;&gt;"",VLOOKUP(R8,'Part Numbers'!$B:$D,3,FALSE)*Q8,"-")</f>
        <v>-</v>
      </c>
      <c r="AG8" s="38" t="str">
        <f>IF(T8&lt;&gt;"",VLOOKUP(U8,'Part Numbers'!$B:$D,3,FALSE)*T8,"-")</f>
        <v>-</v>
      </c>
      <c r="AI8" s="18">
        <f t="shared" si="3"/>
        <v>0</v>
      </c>
      <c r="AJ8" s="18" t="str">
        <f>IF(AI8&gt;Constraints!$D$5,AI8-Constraints!$D$5,"-")</f>
        <v>-</v>
      </c>
      <c r="AL8" s="40">
        <f t="shared" si="4"/>
        <v>0</v>
      </c>
      <c r="AM8" s="18">
        <f t="shared" si="6"/>
        <v>0</v>
      </c>
      <c r="AO8" s="40">
        <f t="shared" si="7"/>
        <v>0</v>
      </c>
      <c r="AP8" s="18">
        <f t="shared" si="8"/>
        <v>0</v>
      </c>
      <c r="AR8" s="40">
        <f t="shared" si="9"/>
        <v>0</v>
      </c>
      <c r="AS8" s="18">
        <f t="shared" si="10"/>
        <v>0</v>
      </c>
      <c r="AU8" s="40">
        <f t="shared" si="11"/>
        <v>0</v>
      </c>
      <c r="AV8" s="18">
        <f t="shared" si="12"/>
        <v>0</v>
      </c>
    </row>
    <row r="9" spans="1:49" x14ac:dyDescent="0.25">
      <c r="A9">
        <v>7</v>
      </c>
      <c r="B9" t="s">
        <v>283</v>
      </c>
      <c r="C9" s="18" t="s">
        <v>275</v>
      </c>
      <c r="D9">
        <v>2</v>
      </c>
      <c r="E9" t="s">
        <v>284</v>
      </c>
      <c r="H9" s="18">
        <v>7</v>
      </c>
      <c r="J9" s="17">
        <f t="shared" si="13"/>
        <v>7</v>
      </c>
      <c r="K9" s="72"/>
      <c r="L9" s="40"/>
      <c r="M9" s="40" t="str">
        <f>IF(ISNA(VLOOKUP(L9,'Part Numbers'!$B:$C,2,FALSE)),"-",VLOOKUP(L9,'Part Numbers'!$B:$C,2,FALSE))</f>
        <v>-</v>
      </c>
      <c r="N9" s="72"/>
      <c r="O9" s="40"/>
      <c r="P9" s="40" t="str">
        <f>IF(ISNA(VLOOKUP(O9,'Part Numbers'!$B:$C,2,FALSE)),"-",VLOOKUP(O9,'Part Numbers'!$B:$C,2,FALSE))</f>
        <v>-</v>
      </c>
      <c r="Q9" s="72"/>
      <c r="R9" s="40"/>
      <c r="S9" s="40" t="str">
        <f>IF(ISNA(VLOOKUP(R9,'Part Numbers'!$B:$C,2,FALSE)),"-",VLOOKUP(R9,'Part Numbers'!$B:$C,2,FALSE))</f>
        <v>-</v>
      </c>
      <c r="T9" s="72"/>
      <c r="U9" s="40"/>
      <c r="V9" s="40" t="str">
        <f>IF(ISNA(VLOOKUP(U9,'Part Numbers'!$B:$C,2,FALSE)),"-",VLOOKUP(U9,'Part Numbers'!$B:$C,2,FALSE))</f>
        <v>-</v>
      </c>
      <c r="W9" s="71" t="str">
        <f t="shared" si="0"/>
        <v>-</v>
      </c>
      <c r="X9" s="25" t="str">
        <f t="shared" si="1"/>
        <v>-</v>
      </c>
      <c r="Y9" s="18">
        <f>SUMIFS(Rios!J:J,Rios!AM:AM,Constraints!I9)</f>
        <v>0</v>
      </c>
      <c r="AA9" s="18">
        <f t="shared" si="2"/>
        <v>0</v>
      </c>
      <c r="AB9" s="18" t="str">
        <f>IF(AA9&gt;Constraints!$D$6,AA9-Constraints!$D$6,"-")</f>
        <v>-</v>
      </c>
      <c r="AD9" s="38" t="str">
        <f>IF(K9&lt;&gt;"",VLOOKUP(L9,'Part Numbers'!$B:$D,3,FALSE)*K9,"-")</f>
        <v>-</v>
      </c>
      <c r="AE9" s="38" t="str">
        <f>IF(N9&lt;&gt;"",VLOOKUP(O9,'Part Numbers'!$B:$D,3,FALSE)*N9,"-")</f>
        <v>-</v>
      </c>
      <c r="AF9" s="38" t="str">
        <f>IF(Q9&lt;&gt;"",VLOOKUP(R9,'Part Numbers'!$B:$D,3,FALSE)*Q9,"-")</f>
        <v>-</v>
      </c>
      <c r="AG9" s="38" t="str">
        <f>IF(T9&lt;&gt;"",VLOOKUP(U9,'Part Numbers'!$B:$D,3,FALSE)*T9,"-")</f>
        <v>-</v>
      </c>
      <c r="AI9" s="18">
        <f t="shared" si="3"/>
        <v>0</v>
      </c>
      <c r="AJ9" s="18" t="str">
        <f>IF(AI9&gt;Constraints!$D$5,AI9-Constraints!$D$5,"-")</f>
        <v>-</v>
      </c>
      <c r="AL9" s="40">
        <f t="shared" si="4"/>
        <v>0</v>
      </c>
      <c r="AM9" s="18">
        <f t="shared" si="6"/>
        <v>0</v>
      </c>
      <c r="AO9" s="40">
        <f t="shared" si="7"/>
        <v>0</v>
      </c>
      <c r="AP9" s="18">
        <f t="shared" si="8"/>
        <v>0</v>
      </c>
      <c r="AR9" s="40">
        <f t="shared" si="9"/>
        <v>0</v>
      </c>
      <c r="AS9" s="18">
        <f t="shared" si="10"/>
        <v>0</v>
      </c>
      <c r="AU9" s="40">
        <f t="shared" si="11"/>
        <v>0</v>
      </c>
      <c r="AV9" s="18">
        <f t="shared" si="12"/>
        <v>0</v>
      </c>
    </row>
    <row r="10" spans="1:49" x14ac:dyDescent="0.25">
      <c r="A10">
        <v>8</v>
      </c>
      <c r="B10" t="s">
        <v>408</v>
      </c>
      <c r="C10" s="18" t="s">
        <v>275</v>
      </c>
      <c r="D10">
        <v>1</v>
      </c>
      <c r="E10" t="s">
        <v>0</v>
      </c>
      <c r="F10" s="40" t="s">
        <v>373</v>
      </c>
      <c r="H10" s="18">
        <v>8</v>
      </c>
      <c r="J10" s="17">
        <f t="shared" si="13"/>
        <v>8</v>
      </c>
      <c r="K10" s="72"/>
      <c r="L10" s="18"/>
      <c r="M10" s="40" t="str">
        <f>IF(ISNA(VLOOKUP(L10,'Part Numbers'!$B:$C,2,FALSE)),"-",VLOOKUP(L10,'Part Numbers'!$B:$C,2,FALSE))</f>
        <v>-</v>
      </c>
      <c r="N10" s="72"/>
      <c r="O10" s="18"/>
      <c r="P10" s="40" t="str">
        <f>IF(ISNA(VLOOKUP(O10,'Part Numbers'!$B:$C,2,FALSE)),"-",VLOOKUP(O10,'Part Numbers'!$B:$C,2,FALSE))</f>
        <v>-</v>
      </c>
      <c r="Q10" s="72"/>
      <c r="R10" s="18"/>
      <c r="S10" s="40" t="str">
        <f>IF(ISNA(VLOOKUP(R10,'Part Numbers'!$B:$C,2,FALSE)),"-",VLOOKUP(R10,'Part Numbers'!$B:$C,2,FALSE))</f>
        <v>-</v>
      </c>
      <c r="T10" s="72"/>
      <c r="U10" s="18"/>
      <c r="V10" s="40" t="str">
        <f>IF(ISNA(VLOOKUP(U10,'Part Numbers'!$B:$C,2,FALSE)),"-",VLOOKUP(U10,'Part Numbers'!$B:$C,2,FALSE))</f>
        <v>-</v>
      </c>
      <c r="W10" s="71" t="str">
        <f t="shared" si="0"/>
        <v>-</v>
      </c>
      <c r="X10" s="25" t="str">
        <f t="shared" si="1"/>
        <v>-</v>
      </c>
      <c r="Y10" s="18">
        <f>SUMIFS(Rios!J:J,Rios!AM:AM,Constraints!I10)</f>
        <v>0</v>
      </c>
      <c r="AA10" s="18">
        <f t="shared" si="2"/>
        <v>0</v>
      </c>
      <c r="AB10" s="18" t="str">
        <f>IF(AA10&gt;Constraints!$D$6,AA10-Constraints!$D$6,"-")</f>
        <v>-</v>
      </c>
      <c r="AD10" s="38" t="str">
        <f>IF(K10&lt;&gt;"",VLOOKUP(L10,'Part Numbers'!$B:$D,3,FALSE)*K10,"-")</f>
        <v>-</v>
      </c>
      <c r="AE10" s="38" t="str">
        <f>IF(N10&lt;&gt;"",VLOOKUP(O10,'Part Numbers'!$B:$D,3,FALSE)*N10,"-")</f>
        <v>-</v>
      </c>
      <c r="AF10" s="38" t="str">
        <f>IF(Q10&lt;&gt;"",VLOOKUP(R10,'Part Numbers'!$B:$D,3,FALSE)*Q10,"-")</f>
        <v>-</v>
      </c>
      <c r="AG10" s="38" t="str">
        <f>IF(T10&lt;&gt;"",VLOOKUP(U10,'Part Numbers'!$B:$D,3,FALSE)*T10,"-")</f>
        <v>-</v>
      </c>
      <c r="AI10" s="18">
        <f t="shared" si="3"/>
        <v>0</v>
      </c>
      <c r="AJ10" s="18" t="str">
        <f>IF(AI10&gt;Constraints!$D$5,AI10-Constraints!$D$5,"-")</f>
        <v>-</v>
      </c>
      <c r="AL10" s="40">
        <f t="shared" si="4"/>
        <v>0</v>
      </c>
      <c r="AM10" s="18">
        <f t="shared" si="6"/>
        <v>0</v>
      </c>
      <c r="AO10" s="40">
        <f t="shared" si="7"/>
        <v>0</v>
      </c>
      <c r="AP10" s="18">
        <f t="shared" si="8"/>
        <v>0</v>
      </c>
      <c r="AR10" s="40">
        <f t="shared" si="9"/>
        <v>0</v>
      </c>
      <c r="AS10" s="18">
        <f t="shared" si="10"/>
        <v>0</v>
      </c>
      <c r="AU10" s="40">
        <f t="shared" si="11"/>
        <v>0</v>
      </c>
      <c r="AV10" s="18">
        <f t="shared" si="12"/>
        <v>0</v>
      </c>
    </row>
    <row r="11" spans="1:49" x14ac:dyDescent="0.25">
      <c r="A11">
        <v>9</v>
      </c>
      <c r="H11" s="133" t="s">
        <v>333</v>
      </c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56">
        <f>SUM(Y3:Y10)</f>
        <v>67</v>
      </c>
      <c r="AA11" s="18"/>
      <c r="AB11" s="18"/>
      <c r="AD11" s="18"/>
      <c r="AE11" s="18"/>
      <c r="AF11" s="18"/>
      <c r="AG11" s="18"/>
      <c r="AI11" s="18"/>
      <c r="AJ11" s="18"/>
    </row>
    <row r="12" spans="1:49" x14ac:dyDescent="0.25">
      <c r="A12">
        <v>10</v>
      </c>
      <c r="H12" s="129" t="s">
        <v>339</v>
      </c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59" t="str">
        <f>Rios!BC1</f>
        <v xml:space="preserve">     19     </v>
      </c>
      <c r="AA12" s="57"/>
      <c r="AB12" s="57"/>
    </row>
    <row r="13" spans="1:49" x14ac:dyDescent="0.25">
      <c r="H13" s="129" t="s">
        <v>340</v>
      </c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59" t="str">
        <f>Rios!BD1</f>
        <v xml:space="preserve">     5     </v>
      </c>
      <c r="AA13" s="57"/>
      <c r="AB13" s="57"/>
    </row>
    <row r="14" spans="1:49" x14ac:dyDescent="0.25">
      <c r="H14" s="129" t="s">
        <v>338</v>
      </c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59" t="str">
        <f>Rios!BE1</f>
        <v xml:space="preserve">     0     </v>
      </c>
    </row>
  </sheetData>
  <mergeCells count="18">
    <mergeCell ref="K1:V1"/>
    <mergeCell ref="AR2:AT2"/>
    <mergeCell ref="AL1:AW1"/>
    <mergeCell ref="AU2:AW2"/>
    <mergeCell ref="W1:W2"/>
    <mergeCell ref="X1:X2"/>
    <mergeCell ref="Y1:Y2"/>
    <mergeCell ref="AD1:AG1"/>
    <mergeCell ref="H12:X12"/>
    <mergeCell ref="H13:X13"/>
    <mergeCell ref="H14:X14"/>
    <mergeCell ref="AL2:AN2"/>
    <mergeCell ref="AO2:AQ2"/>
    <mergeCell ref="H11:X11"/>
    <mergeCell ref="K2:M2"/>
    <mergeCell ref="N2:P2"/>
    <mergeCell ref="Q2:S2"/>
    <mergeCell ref="T2:V2"/>
  </mergeCells>
  <conditionalFormatting sqref="X3:X10">
    <cfRule type="cellIs" dxfId="7" priority="1" stopIfTrue="1" operator="equal">
      <formula>"-"</formula>
    </cfRule>
    <cfRule type="cellIs" dxfId="6" priority="2" operator="greaterThan">
      <formula>1</formula>
    </cfRule>
  </conditionalFormatting>
  <conditionalFormatting sqref="AB3:AB10">
    <cfRule type="cellIs" dxfId="5" priority="3" operator="notEqual">
      <formula>"-"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9D590-CD0D-4A9F-A415-6A93D074B792}">
  <sheetPr>
    <tabColor rgb="FFFF0000"/>
  </sheetPr>
  <dimension ref="A1:M30"/>
  <sheetViews>
    <sheetView workbookViewId="0">
      <selection activeCell="F5" sqref="F5"/>
    </sheetView>
  </sheetViews>
  <sheetFormatPr defaultRowHeight="15" x14ac:dyDescent="0.25"/>
  <cols>
    <col min="1" max="1" width="9" style="18" bestFit="1" customWidth="1"/>
    <col min="2" max="2" width="15.5703125" style="40" bestFit="1" customWidth="1"/>
    <col min="3" max="3" width="3.7109375" bestFit="1" customWidth="1"/>
    <col min="4" max="4" width="3.28515625" style="18" bestFit="1" customWidth="1"/>
    <col min="5" max="5" width="4.28515625" style="18" bestFit="1" customWidth="1"/>
    <col min="6" max="6" width="9.42578125" style="18" bestFit="1" customWidth="1"/>
    <col min="7" max="7" width="2.85546875" style="49" customWidth="1"/>
    <col min="8" max="8" width="13.5703125" style="18" bestFit="1" customWidth="1"/>
    <col min="9" max="9" width="16" style="40" bestFit="1" customWidth="1"/>
    <col min="10" max="10" width="15.42578125" bestFit="1" customWidth="1"/>
    <col min="11" max="11" width="14.7109375" bestFit="1" customWidth="1"/>
    <col min="12" max="12" width="30.5703125" style="101" bestFit="1" customWidth="1"/>
    <col min="13" max="13" width="252.42578125" style="101" bestFit="1" customWidth="1"/>
  </cols>
  <sheetData>
    <row r="1" spans="1:13" x14ac:dyDescent="0.25">
      <c r="A1" s="140" t="s">
        <v>364</v>
      </c>
      <c r="B1" s="139" t="s">
        <v>356</v>
      </c>
      <c r="C1" s="139"/>
      <c r="D1" s="139"/>
      <c r="E1" s="139"/>
      <c r="F1" s="46"/>
      <c r="H1" s="140" t="s">
        <v>364</v>
      </c>
      <c r="I1" s="139" t="s">
        <v>357</v>
      </c>
      <c r="J1" s="139"/>
      <c r="K1" s="139"/>
      <c r="L1" s="139"/>
      <c r="M1" s="139"/>
    </row>
    <row r="2" spans="1:13" ht="30" x14ac:dyDescent="0.25">
      <c r="A2" s="140"/>
      <c r="B2" s="85" t="s">
        <v>342</v>
      </c>
      <c r="C2" s="69"/>
      <c r="D2" s="70" t="s">
        <v>343</v>
      </c>
      <c r="E2" s="70" t="s">
        <v>341</v>
      </c>
      <c r="F2" s="80" t="s">
        <v>374</v>
      </c>
      <c r="G2" s="52"/>
      <c r="H2" s="140"/>
      <c r="I2" s="83" t="s">
        <v>342</v>
      </c>
      <c r="J2" s="75" t="s">
        <v>300</v>
      </c>
      <c r="K2" s="69"/>
      <c r="L2" s="99" t="s">
        <v>290</v>
      </c>
      <c r="M2" s="99" t="s">
        <v>361</v>
      </c>
    </row>
    <row r="3" spans="1:13" x14ac:dyDescent="0.25">
      <c r="A3" s="76" t="s">
        <v>365</v>
      </c>
      <c r="B3" s="84" t="s">
        <v>344</v>
      </c>
      <c r="C3" s="68" t="s">
        <v>4</v>
      </c>
      <c r="D3" s="4">
        <v>8</v>
      </c>
      <c r="E3" s="4">
        <f t="shared" ref="E3:E30" si="0">IF(OR(C3="AI",C3="AO"),D3*2,IF(OR(C3="DI",C3="DO"),D3/8,"-"))</f>
        <v>16</v>
      </c>
      <c r="F3" s="18">
        <f>SUMIFS(Constraints!AM:AM,Constraints!AL:AL,B3)+SUMIFS(Constraints!AP:AP,Constraints!AO:AO,B3)+SUMIFS(Constraints!AS:AS,Constraints!AR:AR,B3)+SUMIFS(Constraints!AV:AV,Constraints!AU:AU,B3)</f>
        <v>176</v>
      </c>
      <c r="H3" s="76" t="s">
        <v>366</v>
      </c>
      <c r="I3" s="84" t="s">
        <v>358</v>
      </c>
      <c r="J3" s="68" t="s">
        <v>355</v>
      </c>
      <c r="K3" s="68" t="s">
        <v>355</v>
      </c>
      <c r="L3" s="100" t="s">
        <v>359</v>
      </c>
      <c r="M3" s="74" t="s">
        <v>360</v>
      </c>
    </row>
    <row r="4" spans="1:13" x14ac:dyDescent="0.25">
      <c r="A4" s="76" t="s">
        <v>365</v>
      </c>
      <c r="B4" s="84" t="s">
        <v>345</v>
      </c>
      <c r="C4" s="68" t="s">
        <v>6</v>
      </c>
      <c r="D4" s="4">
        <v>4</v>
      </c>
      <c r="E4" s="4">
        <f t="shared" si="0"/>
        <v>8</v>
      </c>
      <c r="F4" s="18">
        <f>SUMIFS(Constraints!AM:AM,Constraints!AL:AL,B4)+SUMIFS(Constraints!AP:AP,Constraints!AO:AO,B4)+SUMIFS(Constraints!AS:AS,Constraints!AR:AR,B4)+SUMIFS(Constraints!AV:AV,Constraints!AU:AU,B4)</f>
        <v>96</v>
      </c>
      <c r="H4" s="76" t="s">
        <v>365</v>
      </c>
      <c r="I4" s="84" t="s">
        <v>362</v>
      </c>
      <c r="J4" s="68" t="s">
        <v>355</v>
      </c>
      <c r="K4" s="68" t="s">
        <v>363</v>
      </c>
      <c r="L4" s="74" t="s">
        <v>367</v>
      </c>
      <c r="M4" s="74"/>
    </row>
    <row r="5" spans="1:13" ht="60" x14ac:dyDescent="0.25">
      <c r="A5" s="76" t="s">
        <v>365</v>
      </c>
      <c r="B5" s="84" t="s">
        <v>346</v>
      </c>
      <c r="C5" s="68" t="s">
        <v>3</v>
      </c>
      <c r="D5" s="4">
        <v>16</v>
      </c>
      <c r="E5" s="4">
        <f t="shared" si="0"/>
        <v>2</v>
      </c>
      <c r="F5" s="18">
        <f>SUMIFS(Constraints!AM:AM,Constraints!AL:AL,B5)+SUMIFS(Constraints!AP:AP,Constraints!AO:AO,B5)+SUMIFS(Constraints!AS:AS,Constraints!AR:AR,B5)+SUMIFS(Constraints!AV:AV,Constraints!AU:AU,B5)</f>
        <v>188</v>
      </c>
      <c r="H5" s="76" t="s">
        <v>366</v>
      </c>
      <c r="I5" s="84" t="s">
        <v>375</v>
      </c>
      <c r="J5" s="68" t="s">
        <v>385</v>
      </c>
      <c r="K5" s="68" t="s">
        <v>380</v>
      </c>
      <c r="L5" s="74" t="s">
        <v>394</v>
      </c>
      <c r="M5" s="74" t="s">
        <v>376</v>
      </c>
    </row>
    <row r="6" spans="1:13" ht="60" x14ac:dyDescent="0.25">
      <c r="A6" s="76" t="s">
        <v>365</v>
      </c>
      <c r="B6" s="84" t="s">
        <v>347</v>
      </c>
      <c r="C6" s="68" t="s">
        <v>5</v>
      </c>
      <c r="D6" s="4">
        <v>16</v>
      </c>
      <c r="E6" s="4">
        <f t="shared" si="0"/>
        <v>2</v>
      </c>
      <c r="F6" s="18">
        <f>SUMIFS(Constraints!AM:AM,Constraints!AL:AL,B6)+SUMIFS(Constraints!AP:AP,Constraints!AO:AO,B6)+SUMIFS(Constraints!AS:AS,Constraints!AR:AR,B6)+SUMIFS(Constraints!AV:AV,Constraints!AU:AU,B6)</f>
        <v>116</v>
      </c>
      <c r="H6" s="76" t="s">
        <v>366</v>
      </c>
      <c r="I6" s="84" t="s">
        <v>378</v>
      </c>
      <c r="J6" s="68" t="s">
        <v>385</v>
      </c>
      <c r="K6" s="68" t="s">
        <v>379</v>
      </c>
      <c r="L6" s="74" t="s">
        <v>394</v>
      </c>
      <c r="M6" s="74" t="s">
        <v>381</v>
      </c>
    </row>
    <row r="7" spans="1:13" ht="60" x14ac:dyDescent="0.25">
      <c r="A7" s="76" t="s">
        <v>366</v>
      </c>
      <c r="B7" s="84" t="s">
        <v>348</v>
      </c>
      <c r="C7" s="68" t="s">
        <v>5</v>
      </c>
      <c r="D7" s="4">
        <v>32</v>
      </c>
      <c r="E7" s="4">
        <f t="shared" si="0"/>
        <v>4</v>
      </c>
      <c r="F7" s="18">
        <f>SUMIFS(Constraints!AM:AM,Constraints!AL:AL,B7)+SUMIFS(Constraints!AP:AP,Constraints!AO:AO,B7)+SUMIFS(Constraints!AS:AS,Constraints!AR:AR,B7)+SUMIFS(Constraints!AV:AV,Constraints!AU:AU,B7)</f>
        <v>0</v>
      </c>
      <c r="H7" s="76" t="s">
        <v>365</v>
      </c>
      <c r="I7" s="84" t="s">
        <v>406</v>
      </c>
      <c r="J7" s="68" t="s">
        <v>385</v>
      </c>
      <c r="K7" s="68" t="s">
        <v>379</v>
      </c>
      <c r="L7" s="74" t="s">
        <v>394</v>
      </c>
      <c r="M7" s="74" t="s">
        <v>407</v>
      </c>
    </row>
    <row r="8" spans="1:13" x14ac:dyDescent="0.25">
      <c r="A8" s="4"/>
      <c r="B8" s="84"/>
      <c r="C8" s="68"/>
      <c r="D8" s="4"/>
      <c r="E8" s="4" t="str">
        <f t="shared" si="0"/>
        <v>-</v>
      </c>
      <c r="F8" s="18">
        <f>SUMIFS(Constraints!AM:AM,Constraints!AL:AL,B8)+SUMIFS(Constraints!AP:AP,Constraints!AO:AO,B8)+SUMIFS(Constraints!AS:AS,Constraints!AR:AR,B8)+SUMIFS(Constraints!AV:AV,Constraints!AU:AU,B8)</f>
        <v>0</v>
      </c>
      <c r="H8" s="76" t="s">
        <v>365</v>
      </c>
      <c r="I8" s="84" t="s">
        <v>368</v>
      </c>
      <c r="J8" s="68" t="s">
        <v>386</v>
      </c>
      <c r="K8" s="68" t="s">
        <v>409</v>
      </c>
      <c r="L8" s="74"/>
      <c r="M8" s="74" t="s">
        <v>382</v>
      </c>
    </row>
    <row r="9" spans="1:13" x14ac:dyDescent="0.25">
      <c r="A9" s="4"/>
      <c r="B9" s="84"/>
      <c r="C9" s="68"/>
      <c r="D9" s="4"/>
      <c r="E9" s="4" t="str">
        <f t="shared" si="0"/>
        <v>-</v>
      </c>
      <c r="F9" s="18">
        <f>SUMIFS(Constraints!AM:AM,Constraints!AL:AL,B9)+SUMIFS(Constraints!AP:AP,Constraints!AO:AO,B9)+SUMIFS(Constraints!AS:AS,Constraints!AR:AR,B9)+SUMIFS(Constraints!AV:AV,Constraints!AU:AU,B9)</f>
        <v>0</v>
      </c>
      <c r="H9" s="76" t="s">
        <v>365</v>
      </c>
      <c r="I9" s="84" t="s">
        <v>369</v>
      </c>
      <c r="J9" s="68" t="s">
        <v>384</v>
      </c>
      <c r="K9" s="68" t="s">
        <v>410</v>
      </c>
      <c r="L9" s="74"/>
      <c r="M9" s="74" t="s">
        <v>383</v>
      </c>
    </row>
    <row r="10" spans="1:13" ht="30" x14ac:dyDescent="0.25">
      <c r="A10" s="4"/>
      <c r="B10" s="84"/>
      <c r="C10" s="68"/>
      <c r="D10" s="4"/>
      <c r="E10" s="4" t="str">
        <f t="shared" si="0"/>
        <v>-</v>
      </c>
      <c r="F10" s="18">
        <f>SUMIFS(Constraints!AM:AM,Constraints!AL:AL,B10)+SUMIFS(Constraints!AP:AP,Constraints!AO:AO,B10)+SUMIFS(Constraints!AS:AS,Constraints!AR:AR,B10)+SUMIFS(Constraints!AV:AV,Constraints!AU:AU,B10)</f>
        <v>0</v>
      </c>
      <c r="H10" s="76" t="s">
        <v>365</v>
      </c>
      <c r="I10" s="84" t="s">
        <v>371</v>
      </c>
      <c r="J10" s="68" t="s">
        <v>0</v>
      </c>
      <c r="K10" s="90" t="s">
        <v>389</v>
      </c>
      <c r="L10" s="74"/>
      <c r="M10" s="74" t="s">
        <v>387</v>
      </c>
    </row>
    <row r="11" spans="1:13" x14ac:dyDescent="0.25">
      <c r="A11" s="4"/>
      <c r="B11" s="84"/>
      <c r="C11" s="68"/>
      <c r="D11" s="4"/>
      <c r="E11" s="4" t="str">
        <f t="shared" si="0"/>
        <v>-</v>
      </c>
      <c r="F11" s="18">
        <f>SUMIFS(Constraints!AM:AM,Constraints!AL:AL,B11)+SUMIFS(Constraints!AP:AP,Constraints!AO:AO,B11)+SUMIFS(Constraints!AS:AS,Constraints!AR:AR,B11)+SUMIFS(Constraints!AV:AV,Constraints!AU:AU,B11)</f>
        <v>0</v>
      </c>
      <c r="H11" s="76" t="s">
        <v>365</v>
      </c>
      <c r="I11" s="84" t="s">
        <v>370</v>
      </c>
      <c r="J11" s="68" t="s">
        <v>386</v>
      </c>
      <c r="K11" s="68" t="s">
        <v>411</v>
      </c>
      <c r="L11" s="74"/>
      <c r="M11" s="74" t="s">
        <v>388</v>
      </c>
    </row>
    <row r="12" spans="1:13" x14ac:dyDescent="0.25">
      <c r="A12" s="4"/>
      <c r="B12" s="84"/>
      <c r="C12" s="68"/>
      <c r="D12" s="4"/>
      <c r="E12" s="4" t="str">
        <f t="shared" si="0"/>
        <v>-</v>
      </c>
      <c r="F12" s="18">
        <f>SUMIFS(Constraints!AM:AM,Constraints!AL:AL,B12)+SUMIFS(Constraints!AP:AP,Constraints!AO:AO,B12)+SUMIFS(Constraints!AS:AS,Constraints!AR:AR,B12)+SUMIFS(Constraints!AV:AV,Constraints!AU:AU,B12)</f>
        <v>0</v>
      </c>
      <c r="H12" s="76" t="s">
        <v>365</v>
      </c>
      <c r="I12" s="84" t="s">
        <v>372</v>
      </c>
      <c r="J12" s="68" t="s">
        <v>390</v>
      </c>
      <c r="K12" s="68" t="s">
        <v>392</v>
      </c>
      <c r="L12" s="74"/>
      <c r="M12" s="74" t="s">
        <v>391</v>
      </c>
    </row>
    <row r="13" spans="1:13" x14ac:dyDescent="0.25">
      <c r="A13" s="4"/>
      <c r="B13" s="84"/>
      <c r="C13" s="68"/>
      <c r="D13" s="4"/>
      <c r="E13" s="4" t="str">
        <f t="shared" si="0"/>
        <v>-</v>
      </c>
      <c r="F13" s="18">
        <f>SUMIFS(Constraints!AM:AM,Constraints!AL:AL,B13)+SUMIFS(Constraints!AP:AP,Constraints!AO:AO,B13)+SUMIFS(Constraints!AS:AS,Constraints!AR:AR,B13)+SUMIFS(Constraints!AV:AV,Constraints!AU:AU,B13)</f>
        <v>0</v>
      </c>
      <c r="H13" s="76" t="s">
        <v>365</v>
      </c>
      <c r="I13" s="84" t="s">
        <v>395</v>
      </c>
      <c r="J13" s="68" t="s">
        <v>414</v>
      </c>
      <c r="K13" s="68" t="s">
        <v>397</v>
      </c>
      <c r="L13" s="74"/>
      <c r="M13" s="74" t="s">
        <v>396</v>
      </c>
    </row>
    <row r="14" spans="1:13" ht="30" x14ac:dyDescent="0.25">
      <c r="A14" s="4"/>
      <c r="B14" s="84"/>
      <c r="C14" s="68"/>
      <c r="D14" s="4"/>
      <c r="E14" s="4" t="str">
        <f t="shared" si="0"/>
        <v>-</v>
      </c>
      <c r="F14" s="18">
        <f>SUMIFS(Constraints!AM:AM,Constraints!AL:AL,B14)+SUMIFS(Constraints!AP:AP,Constraints!AO:AO,B14)+SUMIFS(Constraints!AS:AS,Constraints!AR:AR,B14)+SUMIFS(Constraints!AV:AV,Constraints!AU:AU,B14)</f>
        <v>0</v>
      </c>
      <c r="H14" s="76" t="s">
        <v>365</v>
      </c>
      <c r="I14" s="84" t="s">
        <v>398</v>
      </c>
      <c r="J14" s="68" t="s">
        <v>399</v>
      </c>
      <c r="K14" s="68" t="s">
        <v>400</v>
      </c>
      <c r="L14" s="74" t="s">
        <v>402</v>
      </c>
      <c r="M14" s="74" t="s">
        <v>403</v>
      </c>
    </row>
    <row r="15" spans="1:13" ht="30" x14ac:dyDescent="0.25">
      <c r="A15" s="4"/>
      <c r="B15" s="84"/>
      <c r="C15" s="68"/>
      <c r="D15" s="4"/>
      <c r="E15" s="4" t="str">
        <f t="shared" si="0"/>
        <v>-</v>
      </c>
      <c r="F15" s="18">
        <f>SUMIFS(Constraints!AM:AM,Constraints!AL:AL,B15)+SUMIFS(Constraints!AP:AP,Constraints!AO:AO,B15)+SUMIFS(Constraints!AS:AS,Constraints!AR:AR,B15)+SUMIFS(Constraints!AV:AV,Constraints!AU:AU,B15)</f>
        <v>0</v>
      </c>
      <c r="H15" s="76" t="s">
        <v>366</v>
      </c>
      <c r="I15" s="84" t="s">
        <v>401</v>
      </c>
      <c r="J15" s="68" t="s">
        <v>399</v>
      </c>
      <c r="K15" s="68" t="s">
        <v>405</v>
      </c>
      <c r="L15" s="74" t="s">
        <v>402</v>
      </c>
      <c r="M15" s="74" t="s">
        <v>404</v>
      </c>
    </row>
    <row r="16" spans="1:13" x14ac:dyDescent="0.25">
      <c r="A16" s="4"/>
      <c r="B16" s="84"/>
      <c r="C16" s="68"/>
      <c r="D16" s="4"/>
      <c r="E16" s="4" t="str">
        <f t="shared" si="0"/>
        <v>-</v>
      </c>
      <c r="F16" s="18">
        <f>SUMIFS(Constraints!AM:AM,Constraints!AL:AL,B16)+SUMIFS(Constraints!AP:AP,Constraints!AO:AO,B16)+SUMIFS(Constraints!AS:AS,Constraints!AR:AR,B16)+SUMIFS(Constraints!AV:AV,Constraints!AU:AU,B16)</f>
        <v>0</v>
      </c>
      <c r="H16" s="76" t="s">
        <v>365</v>
      </c>
      <c r="I16" s="84" t="s">
        <v>412</v>
      </c>
      <c r="J16" s="68" t="s">
        <v>413</v>
      </c>
      <c r="K16" s="68" t="s">
        <v>415</v>
      </c>
      <c r="L16" s="74"/>
      <c r="M16" s="74" t="s">
        <v>416</v>
      </c>
    </row>
    <row r="17" spans="1:13" x14ac:dyDescent="0.25">
      <c r="A17" s="4"/>
      <c r="B17" s="84"/>
      <c r="C17" s="68"/>
      <c r="D17" s="4"/>
      <c r="E17" s="4" t="str">
        <f t="shared" si="0"/>
        <v>-</v>
      </c>
      <c r="F17" s="18">
        <f>SUMIFS(Constraints!AM:AM,Constraints!AL:AL,B17)+SUMIFS(Constraints!AP:AP,Constraints!AO:AO,B17)+SUMIFS(Constraints!AS:AS,Constraints!AR:AR,B17)+SUMIFS(Constraints!AV:AV,Constraints!AU:AU,B17)</f>
        <v>0</v>
      </c>
      <c r="H17" s="4" t="s">
        <v>377</v>
      </c>
      <c r="I17" s="84" t="s">
        <v>417</v>
      </c>
      <c r="J17" s="68" t="s">
        <v>420</v>
      </c>
      <c r="K17" s="68" t="s">
        <v>419</v>
      </c>
      <c r="L17" s="74"/>
      <c r="M17" s="74" t="s">
        <v>418</v>
      </c>
    </row>
    <row r="18" spans="1:13" x14ac:dyDescent="0.25">
      <c r="A18" s="4"/>
      <c r="B18" s="84"/>
      <c r="C18" s="68"/>
      <c r="D18" s="4"/>
      <c r="E18" s="4" t="str">
        <f t="shared" si="0"/>
        <v>-</v>
      </c>
      <c r="F18" s="18">
        <f>SUMIFS(Constraints!AM:AM,Constraints!AL:AL,B18)+SUMIFS(Constraints!AP:AP,Constraints!AO:AO,B18)+SUMIFS(Constraints!AS:AS,Constraints!AR:AR,B18)+SUMIFS(Constraints!AV:AV,Constraints!AU:AU,B18)</f>
        <v>0</v>
      </c>
      <c r="H18" s="4"/>
      <c r="I18" s="84"/>
      <c r="J18" s="68"/>
      <c r="K18" s="68"/>
      <c r="L18" s="74"/>
      <c r="M18" s="74"/>
    </row>
    <row r="19" spans="1:13" x14ac:dyDescent="0.25">
      <c r="A19" s="4"/>
      <c r="B19" s="84"/>
      <c r="C19" s="68"/>
      <c r="D19" s="4"/>
      <c r="E19" s="4" t="str">
        <f t="shared" si="0"/>
        <v>-</v>
      </c>
      <c r="F19" s="18">
        <f>SUMIFS(Constraints!AM:AM,Constraints!AL:AL,B19)+SUMIFS(Constraints!AP:AP,Constraints!AO:AO,B19)+SUMIFS(Constraints!AS:AS,Constraints!AR:AR,B19)+SUMIFS(Constraints!AV:AV,Constraints!AU:AU,B19)</f>
        <v>0</v>
      </c>
      <c r="H19" s="4"/>
      <c r="I19" s="84"/>
      <c r="J19" s="68"/>
      <c r="K19" s="68"/>
      <c r="L19" s="74"/>
      <c r="M19" s="74"/>
    </row>
    <row r="20" spans="1:13" x14ac:dyDescent="0.25">
      <c r="A20" s="4"/>
      <c r="B20" s="84"/>
      <c r="C20" s="68"/>
      <c r="D20" s="4"/>
      <c r="E20" s="4" t="str">
        <f t="shared" si="0"/>
        <v>-</v>
      </c>
      <c r="F20" s="18">
        <f>SUMIFS(Constraints!AM:AM,Constraints!AL:AL,B20)+SUMIFS(Constraints!AP:AP,Constraints!AO:AO,B20)+SUMIFS(Constraints!AS:AS,Constraints!AR:AR,B20)+SUMIFS(Constraints!AV:AV,Constraints!AU:AU,B20)</f>
        <v>0</v>
      </c>
      <c r="H20" s="4"/>
      <c r="I20" s="84"/>
      <c r="J20" s="68"/>
      <c r="K20" s="68"/>
      <c r="L20" s="74"/>
      <c r="M20" s="74"/>
    </row>
    <row r="21" spans="1:13" x14ac:dyDescent="0.25">
      <c r="A21" s="4"/>
      <c r="B21" s="84"/>
      <c r="C21" s="68"/>
      <c r="D21" s="4"/>
      <c r="E21" s="4" t="str">
        <f t="shared" si="0"/>
        <v>-</v>
      </c>
      <c r="F21" s="18">
        <f>SUMIFS(Constraints!AM:AM,Constraints!AL:AL,B21)+SUMIFS(Constraints!AP:AP,Constraints!AO:AO,B21)+SUMIFS(Constraints!AS:AS,Constraints!AR:AR,B21)+SUMIFS(Constraints!AV:AV,Constraints!AU:AU,B21)</f>
        <v>0</v>
      </c>
      <c r="H21" s="4"/>
      <c r="I21" s="84"/>
      <c r="J21" s="68"/>
      <c r="K21" s="68"/>
      <c r="L21" s="74"/>
      <c r="M21" s="74"/>
    </row>
    <row r="22" spans="1:13" x14ac:dyDescent="0.25">
      <c r="A22" s="4"/>
      <c r="B22" s="84"/>
      <c r="C22" s="68"/>
      <c r="D22" s="4"/>
      <c r="E22" s="4" t="str">
        <f t="shared" si="0"/>
        <v>-</v>
      </c>
      <c r="F22" s="18">
        <f>SUMIFS(Constraints!AM:AM,Constraints!AL:AL,B22)+SUMIFS(Constraints!AP:AP,Constraints!AO:AO,B22)+SUMIFS(Constraints!AS:AS,Constraints!AR:AR,B22)+SUMIFS(Constraints!AV:AV,Constraints!AU:AU,B22)</f>
        <v>0</v>
      </c>
      <c r="H22" s="4"/>
      <c r="I22" s="84"/>
      <c r="J22" s="68"/>
      <c r="K22" s="68"/>
      <c r="L22" s="74"/>
      <c r="M22" s="74"/>
    </row>
    <row r="23" spans="1:13" x14ac:dyDescent="0.25">
      <c r="A23" s="4"/>
      <c r="B23" s="84"/>
      <c r="C23" s="68"/>
      <c r="D23" s="4"/>
      <c r="E23" s="4" t="str">
        <f t="shared" si="0"/>
        <v>-</v>
      </c>
      <c r="F23" s="18">
        <f>SUMIFS(Constraints!AM:AM,Constraints!AL:AL,B23)+SUMIFS(Constraints!AP:AP,Constraints!AO:AO,B23)+SUMIFS(Constraints!AS:AS,Constraints!AR:AR,B23)+SUMIFS(Constraints!AV:AV,Constraints!AU:AU,B23)</f>
        <v>0</v>
      </c>
      <c r="H23" s="4"/>
      <c r="I23" s="84"/>
      <c r="J23" s="68"/>
      <c r="K23" s="68"/>
      <c r="L23" s="74"/>
      <c r="M23" s="74"/>
    </row>
    <row r="24" spans="1:13" x14ac:dyDescent="0.25">
      <c r="A24" s="4"/>
      <c r="B24" s="84"/>
      <c r="C24" s="68"/>
      <c r="D24" s="4"/>
      <c r="E24" s="4" t="str">
        <f t="shared" si="0"/>
        <v>-</v>
      </c>
      <c r="F24" s="18">
        <f>SUMIFS(Constraints!AM:AM,Constraints!AL:AL,B24)+SUMIFS(Constraints!AP:AP,Constraints!AO:AO,B24)+SUMIFS(Constraints!AS:AS,Constraints!AR:AR,B24)+SUMIFS(Constraints!AV:AV,Constraints!AU:AU,B24)</f>
        <v>0</v>
      </c>
      <c r="H24" s="4"/>
      <c r="I24" s="84"/>
      <c r="J24" s="68"/>
      <c r="K24" s="68"/>
      <c r="L24" s="74"/>
      <c r="M24" s="74"/>
    </row>
    <row r="25" spans="1:13" x14ac:dyDescent="0.25">
      <c r="A25" s="4"/>
      <c r="B25" s="84"/>
      <c r="C25" s="68"/>
      <c r="D25" s="4"/>
      <c r="E25" s="4" t="str">
        <f t="shared" si="0"/>
        <v>-</v>
      </c>
      <c r="F25" s="18">
        <f>SUMIFS(Constraints!AM:AM,Constraints!AL:AL,B25)+SUMIFS(Constraints!AP:AP,Constraints!AO:AO,B25)+SUMIFS(Constraints!AS:AS,Constraints!AR:AR,B25)+SUMIFS(Constraints!AV:AV,Constraints!AU:AU,B25)</f>
        <v>0</v>
      </c>
      <c r="H25" s="4"/>
      <c r="I25" s="84"/>
      <c r="J25" s="68"/>
      <c r="K25" s="68"/>
      <c r="L25" s="74"/>
      <c r="M25" s="74"/>
    </row>
    <row r="26" spans="1:13" x14ac:dyDescent="0.25">
      <c r="A26" s="4"/>
      <c r="B26" s="84"/>
      <c r="C26" s="68"/>
      <c r="D26" s="4"/>
      <c r="E26" s="4" t="str">
        <f t="shared" si="0"/>
        <v>-</v>
      </c>
      <c r="F26" s="18">
        <f>SUMIFS(Constraints!AM:AM,Constraints!AL:AL,B26)+SUMIFS(Constraints!AP:AP,Constraints!AO:AO,B26)+SUMIFS(Constraints!AS:AS,Constraints!AR:AR,B26)+SUMIFS(Constraints!AV:AV,Constraints!AU:AU,B26)</f>
        <v>0</v>
      </c>
      <c r="H26" s="4"/>
      <c r="I26" s="84"/>
      <c r="J26" s="68"/>
      <c r="K26" s="68"/>
      <c r="L26" s="74"/>
      <c r="M26" s="74"/>
    </row>
    <row r="27" spans="1:13" x14ac:dyDescent="0.25">
      <c r="A27" s="4"/>
      <c r="B27" s="84"/>
      <c r="C27" s="68"/>
      <c r="D27" s="4"/>
      <c r="E27" s="4" t="str">
        <f t="shared" si="0"/>
        <v>-</v>
      </c>
      <c r="F27" s="18">
        <f>SUMIFS(Constraints!AM:AM,Constraints!AL:AL,B27)+SUMIFS(Constraints!AP:AP,Constraints!AO:AO,B27)+SUMIFS(Constraints!AS:AS,Constraints!AR:AR,B27)+SUMIFS(Constraints!AV:AV,Constraints!AU:AU,B27)</f>
        <v>0</v>
      </c>
      <c r="H27" s="4"/>
      <c r="I27" s="84"/>
      <c r="J27" s="68"/>
      <c r="K27" s="68"/>
      <c r="L27" s="74"/>
      <c r="M27" s="74"/>
    </row>
    <row r="28" spans="1:13" x14ac:dyDescent="0.25">
      <c r="A28" s="4"/>
      <c r="B28" s="84"/>
      <c r="C28" s="68"/>
      <c r="D28" s="4"/>
      <c r="E28" s="4" t="str">
        <f t="shared" si="0"/>
        <v>-</v>
      </c>
      <c r="F28" s="18">
        <f>SUMIFS(Constraints!AM:AM,Constraints!AL:AL,B28)+SUMIFS(Constraints!AP:AP,Constraints!AO:AO,B28)+SUMIFS(Constraints!AS:AS,Constraints!AR:AR,B28)+SUMIFS(Constraints!AV:AV,Constraints!AU:AU,B28)</f>
        <v>0</v>
      </c>
      <c r="H28" s="4"/>
      <c r="I28" s="84"/>
      <c r="J28" s="68"/>
      <c r="K28" s="68"/>
      <c r="L28" s="74"/>
      <c r="M28" s="74"/>
    </row>
    <row r="29" spans="1:13" x14ac:dyDescent="0.25">
      <c r="A29" s="4"/>
      <c r="B29" s="84"/>
      <c r="C29" s="68"/>
      <c r="D29" s="4"/>
      <c r="E29" s="4" t="str">
        <f t="shared" si="0"/>
        <v>-</v>
      </c>
      <c r="F29" s="18">
        <f>SUMIFS(Constraints!AM:AM,Constraints!AL:AL,B29)+SUMIFS(Constraints!AP:AP,Constraints!AO:AO,B29)+SUMIFS(Constraints!AS:AS,Constraints!AR:AR,B29)+SUMIFS(Constraints!AV:AV,Constraints!AU:AU,B29)</f>
        <v>0</v>
      </c>
      <c r="H29" s="4"/>
      <c r="I29" s="84"/>
      <c r="J29" s="68"/>
      <c r="K29" s="68"/>
      <c r="L29" s="74"/>
      <c r="M29" s="74"/>
    </row>
    <row r="30" spans="1:13" x14ac:dyDescent="0.25">
      <c r="A30" s="4"/>
      <c r="B30" s="84"/>
      <c r="C30" s="68"/>
      <c r="D30" s="4"/>
      <c r="E30" s="4" t="str">
        <f t="shared" si="0"/>
        <v>-</v>
      </c>
      <c r="F30" s="18">
        <f>SUMIFS(Constraints!AM:AM,Constraints!AL:AL,B30)+SUMIFS(Constraints!AP:AP,Constraints!AO:AO,B30)+SUMIFS(Constraints!AS:AS,Constraints!AR:AR,B30)+SUMIFS(Constraints!AV:AV,Constraints!AU:AU,B30)</f>
        <v>0</v>
      </c>
      <c r="H30" s="4"/>
      <c r="I30" s="84"/>
      <c r="J30" s="68"/>
      <c r="K30" s="68"/>
      <c r="L30" s="74"/>
      <c r="M30" s="74"/>
    </row>
  </sheetData>
  <autoFilter ref="H1:M7" xr:uid="{4C89D590-CD0D-4A9F-A415-6A93D074B792}">
    <filterColumn colId="1" showButton="0"/>
    <filterColumn colId="2" showButton="0"/>
    <filterColumn colId="3" showButton="0"/>
    <filterColumn colId="4" showButton="0"/>
  </autoFilter>
  <mergeCells count="4">
    <mergeCell ref="B1:E1"/>
    <mergeCell ref="I1:M1"/>
    <mergeCell ref="H1:H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65A29-DEC7-464B-995F-FA414C974E54}">
  <sheetPr>
    <tabColor rgb="FFFF0000"/>
  </sheetPr>
  <dimension ref="A1:BK102"/>
  <sheetViews>
    <sheetView tabSelected="1" topLeftCell="H1" zoomScaleNormal="100" workbookViewId="0">
      <pane ySplit="2" topLeftCell="A15" activePane="bottomLeft" state="frozen"/>
      <selection pane="bottomLeft" activeCell="AM17" sqref="AM17"/>
    </sheetView>
  </sheetViews>
  <sheetFormatPr defaultRowHeight="15" x14ac:dyDescent="0.25"/>
  <cols>
    <col min="1" max="1" width="10.5703125" bestFit="1" customWidth="1"/>
    <col min="2" max="3" width="3.5703125" style="25" bestFit="1" customWidth="1"/>
    <col min="4" max="4" width="4.42578125" style="25" bestFit="1" customWidth="1"/>
    <col min="5" max="5" width="3.5703125" style="25" bestFit="1" customWidth="1"/>
    <col min="6" max="6" width="10.28515625" style="40" bestFit="1" customWidth="1"/>
    <col min="7" max="7" width="32.42578125" bestFit="1" customWidth="1"/>
    <col min="8" max="8" width="24.42578125" style="40" bestFit="1" customWidth="1"/>
    <col min="9" max="9" width="0.85546875" style="21" customWidth="1"/>
    <col min="10" max="10" width="4.140625" style="25" bestFit="1" customWidth="1"/>
    <col min="11" max="11" width="0.85546875" style="21" customWidth="1"/>
    <col min="12" max="15" width="3.5703125" style="25" bestFit="1" customWidth="1"/>
    <col min="16" max="16" width="0.85546875" style="21" customWidth="1"/>
    <col min="17" max="17" width="3.85546875" style="25" bestFit="1" customWidth="1"/>
    <col min="18" max="18" width="3.5703125" style="25" bestFit="1" customWidth="1"/>
    <col min="19" max="19" width="4.42578125" style="25" bestFit="1" customWidth="1"/>
    <col min="20" max="20" width="3.5703125" style="25" bestFit="1" customWidth="1"/>
    <col min="21" max="21" width="0.85546875" style="21" customWidth="1"/>
    <col min="22" max="22" width="3.85546875" style="25" bestFit="1" customWidth="1"/>
    <col min="23" max="23" width="3.5703125" style="25" bestFit="1" customWidth="1"/>
    <col min="24" max="24" width="4.42578125" style="25" bestFit="1" customWidth="1"/>
    <col min="25" max="25" width="3.5703125" style="25" bestFit="1" customWidth="1"/>
    <col min="26" max="26" width="0.85546875" style="49" customWidth="1"/>
    <col min="27" max="27" width="5.7109375" style="40" bestFit="1" customWidth="1"/>
    <col min="28" max="28" width="4.140625" style="110" bestFit="1" customWidth="1"/>
    <col min="29" max="29" width="0.85546875" style="21" customWidth="1"/>
    <col min="30" max="30" width="2.85546875" style="18" bestFit="1" customWidth="1"/>
    <col min="31" max="31" width="3.7109375" style="18" bestFit="1" customWidth="1"/>
    <col min="32" max="32" width="2.85546875" style="18" bestFit="1" customWidth="1"/>
    <col min="33" max="33" width="3.7109375" style="18" customWidth="1"/>
    <col min="34" max="34" width="0.85546875" style="49" customWidth="1"/>
    <col min="35" max="35" width="5.7109375" style="40" bestFit="1" customWidth="1"/>
    <col min="36" max="36" width="4.140625" style="110" bestFit="1" customWidth="1"/>
    <col min="37" max="37" width="0.85546875" style="21" customWidth="1"/>
    <col min="38" max="38" width="1.85546875" style="25" bestFit="1" customWidth="1"/>
    <col min="39" max="39" width="14.5703125" style="17" bestFit="1" customWidth="1"/>
    <col min="40" max="40" width="3.5703125" style="18" bestFit="1" customWidth="1"/>
    <col min="41" max="41" width="3.7109375" style="18" bestFit="1" customWidth="1"/>
    <col min="42" max="42" width="3.5703125" style="18" bestFit="1" customWidth="1"/>
    <col min="43" max="43" width="3.7109375" style="18" bestFit="1" customWidth="1"/>
    <col min="44" max="44" width="0.85546875" style="49" customWidth="1"/>
    <col min="45" max="46" width="3.5703125" style="25" bestFit="1" customWidth="1"/>
    <col min="47" max="48" width="4.42578125" style="25" bestFit="1" customWidth="1"/>
    <col min="49" max="49" width="0.85546875" style="49" customWidth="1"/>
    <col min="50" max="50" width="3.140625" style="18" bestFit="1" customWidth="1"/>
    <col min="51" max="51" width="3.7109375" style="18" bestFit="1" customWidth="1"/>
    <col min="52" max="52" width="3.140625" style="18" bestFit="1" customWidth="1"/>
    <col min="53" max="53" width="3.7109375" style="18" bestFit="1" customWidth="1"/>
    <col min="54" max="54" width="0.85546875" style="21" customWidth="1"/>
    <col min="55" max="57" width="10" style="18" bestFit="1" customWidth="1"/>
    <col min="58" max="58" width="0.85546875" style="21" customWidth="1"/>
    <col min="59" max="59" width="2.28515625" style="25" bestFit="1" customWidth="1"/>
    <col min="60" max="60" width="2.85546875" style="25" bestFit="1" customWidth="1"/>
    <col min="61" max="61" width="2.42578125" style="25" bestFit="1" customWidth="1"/>
    <col min="62" max="62" width="3" style="25" bestFit="1" customWidth="1"/>
    <col min="63" max="63" width="9.7109375" bestFit="1" customWidth="1"/>
  </cols>
  <sheetData>
    <row r="1" spans="1:63" ht="45" customHeight="1" x14ac:dyDescent="0.35">
      <c r="B1" s="146" t="s">
        <v>336</v>
      </c>
      <c r="C1" s="147"/>
      <c r="D1" s="147"/>
      <c r="E1" s="147"/>
      <c r="F1" s="40" t="s">
        <v>0</v>
      </c>
      <c r="G1" t="s">
        <v>1</v>
      </c>
      <c r="H1" s="40" t="s">
        <v>257</v>
      </c>
      <c r="J1" s="50" t="s">
        <v>299</v>
      </c>
      <c r="L1" s="144" t="s">
        <v>337</v>
      </c>
      <c r="M1" s="145"/>
      <c r="N1" s="145"/>
      <c r="O1" s="145"/>
      <c r="Q1" s="65">
        <f>Constraints!D3/100</f>
        <v>0.15</v>
      </c>
      <c r="R1" s="151" t="s">
        <v>249</v>
      </c>
      <c r="S1" s="152"/>
      <c r="T1" s="153"/>
      <c r="V1" s="65">
        <f>Constraints!D4/100</f>
        <v>0.2</v>
      </c>
      <c r="W1" s="151" t="s">
        <v>248</v>
      </c>
      <c r="X1" s="152"/>
      <c r="Y1" s="153"/>
      <c r="AA1" s="40" t="s">
        <v>270</v>
      </c>
      <c r="AB1" s="87" t="s">
        <v>286</v>
      </c>
      <c r="AD1" s="149" t="s">
        <v>349</v>
      </c>
      <c r="AE1" s="150"/>
      <c r="AF1" s="150"/>
      <c r="AG1" s="150"/>
      <c r="AI1" s="40" t="s">
        <v>270</v>
      </c>
      <c r="AJ1" s="87" t="s">
        <v>293</v>
      </c>
      <c r="AL1" s="77"/>
      <c r="AM1" s="55"/>
      <c r="AN1" s="136" t="s">
        <v>294</v>
      </c>
      <c r="AO1" s="136"/>
      <c r="AP1" s="136"/>
      <c r="AQ1" s="136"/>
      <c r="AS1" s="148" t="s">
        <v>301</v>
      </c>
      <c r="AT1" s="148"/>
      <c r="AU1" s="148"/>
      <c r="AV1" s="148"/>
      <c r="AX1" s="136" t="s">
        <v>298</v>
      </c>
      <c r="AY1" s="136"/>
      <c r="AZ1" s="136"/>
      <c r="BA1" s="136"/>
      <c r="BC1" s="53" t="str">
        <f>"     "&amp;COUNTIF(BC3:BC100,"X")&amp;"     "</f>
        <v xml:space="preserve">     19     </v>
      </c>
      <c r="BD1" s="53" t="str">
        <f>"     "&amp;COUNTIF(BD3:BD100,"X")&amp;"     "</f>
        <v xml:space="preserve">     5     </v>
      </c>
      <c r="BE1" s="53" t="str">
        <f>"     "&amp;COUNTIF(BE3:BE100,"X")&amp;"     "</f>
        <v xml:space="preserve">     0     </v>
      </c>
      <c r="BG1" s="143" t="s">
        <v>331</v>
      </c>
      <c r="BH1" s="143"/>
      <c r="BI1" s="143"/>
      <c r="BJ1" s="143"/>
      <c r="BK1" t="s">
        <v>290</v>
      </c>
    </row>
    <row r="2" spans="1:63" s="17" customFormat="1" x14ac:dyDescent="0.25">
      <c r="A2" s="3" t="s">
        <v>69</v>
      </c>
      <c r="B2" s="62" t="s">
        <v>4</v>
      </c>
      <c r="C2" s="62" t="s">
        <v>6</v>
      </c>
      <c r="D2" s="62" t="s">
        <v>3</v>
      </c>
      <c r="E2" s="62" t="s">
        <v>5</v>
      </c>
      <c r="F2" s="111">
        <v>3</v>
      </c>
      <c r="G2" s="112">
        <v>6</v>
      </c>
      <c r="H2" s="111">
        <v>7</v>
      </c>
      <c r="I2" s="51"/>
      <c r="J2" s="25"/>
      <c r="K2" s="51"/>
      <c r="L2" s="62" t="s">
        <v>4</v>
      </c>
      <c r="M2" s="62" t="s">
        <v>6</v>
      </c>
      <c r="N2" s="62" t="s">
        <v>3</v>
      </c>
      <c r="O2" s="62" t="s">
        <v>5</v>
      </c>
      <c r="P2" s="66"/>
      <c r="Q2" s="62" t="s">
        <v>4</v>
      </c>
      <c r="R2" s="62" t="s">
        <v>6</v>
      </c>
      <c r="S2" s="62" t="s">
        <v>3</v>
      </c>
      <c r="T2" s="62" t="s">
        <v>5</v>
      </c>
      <c r="U2" s="66"/>
      <c r="V2" s="62" t="s">
        <v>4</v>
      </c>
      <c r="W2" s="62" t="s">
        <v>6</v>
      </c>
      <c r="X2" s="62" t="s">
        <v>3</v>
      </c>
      <c r="Y2" s="62" t="s">
        <v>5</v>
      </c>
      <c r="Z2" s="52"/>
      <c r="AA2" s="32"/>
      <c r="AB2" s="110"/>
      <c r="AC2" s="51"/>
      <c r="AD2" s="63" t="s">
        <v>4</v>
      </c>
      <c r="AE2" s="63" t="s">
        <v>6</v>
      </c>
      <c r="AF2" s="63" t="s">
        <v>3</v>
      </c>
      <c r="AG2" s="63" t="s">
        <v>5</v>
      </c>
      <c r="AH2" s="52"/>
      <c r="AI2" s="32"/>
      <c r="AJ2" s="110"/>
      <c r="AK2" s="51"/>
      <c r="AL2" s="25"/>
      <c r="AM2" s="17" t="s">
        <v>300</v>
      </c>
      <c r="AN2" s="63" t="s">
        <v>4</v>
      </c>
      <c r="AO2" s="63" t="s">
        <v>6</v>
      </c>
      <c r="AP2" s="63" t="s">
        <v>3</v>
      </c>
      <c r="AQ2" s="63" t="s">
        <v>5</v>
      </c>
      <c r="AR2" s="52"/>
      <c r="AS2" s="62" t="s">
        <v>4</v>
      </c>
      <c r="AT2" s="62" t="s">
        <v>6</v>
      </c>
      <c r="AU2" s="62" t="s">
        <v>3</v>
      </c>
      <c r="AV2" s="62" t="s">
        <v>5</v>
      </c>
      <c r="AW2" s="52"/>
      <c r="AX2" s="63" t="s">
        <v>4</v>
      </c>
      <c r="AY2" s="63" t="s">
        <v>6</v>
      </c>
      <c r="AZ2" s="63" t="s">
        <v>3</v>
      </c>
      <c r="BA2" s="63" t="s">
        <v>5</v>
      </c>
      <c r="BB2" s="51"/>
      <c r="BC2" s="18"/>
      <c r="BD2" s="18"/>
      <c r="BE2" s="18"/>
      <c r="BF2" s="51"/>
      <c r="BG2" s="62" t="s">
        <v>4</v>
      </c>
      <c r="BH2" s="62" t="s">
        <v>6</v>
      </c>
      <c r="BI2" s="62" t="s">
        <v>3</v>
      </c>
      <c r="BJ2" s="62" t="s">
        <v>5</v>
      </c>
    </row>
    <row r="3" spans="1:63" x14ac:dyDescent="0.25">
      <c r="A3" t="s">
        <v>205</v>
      </c>
      <c r="B3" s="62">
        <f>SUMIFS(Areas!J:J,Areas!$A:$A,Rios!$A3)</f>
        <v>2</v>
      </c>
      <c r="C3" s="62">
        <f>SUMIFS(Areas!K:K,Areas!$A:$A,Rios!$A3)</f>
        <v>0</v>
      </c>
      <c r="D3" s="62">
        <f>SUMIFS(Areas!L:L,Areas!$A:$A,Rios!$A3)</f>
        <v>0</v>
      </c>
      <c r="E3" s="62">
        <f>SUMIFS(Areas!M:M,Areas!$A:$A,Rios!$A3)</f>
        <v>4</v>
      </c>
      <c r="F3" s="40" t="str">
        <f>IF($A3&lt;&gt;"",VLOOKUP(Rios!$A3,Areas!$A:$I,F$2,FALSE),"-")</f>
        <v>3184-PLC-001</v>
      </c>
      <c r="G3" t="str">
        <f>IF($A3&lt;&gt;"",VLOOKUP(Rios!$A3,Areas!$A:$I,G$2,FALSE),"-")</f>
        <v>ROM</v>
      </c>
      <c r="H3" s="40" t="str">
        <f>IF($A3&lt;&gt;"",VLOOKUP(Rios!$A3,Areas!$A:$I,H$2,FALSE),"-")</f>
        <v>ROM</v>
      </c>
      <c r="J3" s="48">
        <v>1</v>
      </c>
      <c r="L3" s="54">
        <f t="shared" ref="L3:L34" si="0">IF($J3&gt;0,ROUNDUP(B3/$J3,0),"-")</f>
        <v>2</v>
      </c>
      <c r="M3" s="54">
        <f t="shared" ref="M3:M34" si="1">IF($J3&gt;0,ROUNDUP(C3/$J3,0),"-")</f>
        <v>0</v>
      </c>
      <c r="N3" s="54">
        <f t="shared" ref="N3:N34" si="2">IF($J3&gt;0,ROUNDUP(D3/$J3,0),"-")</f>
        <v>0</v>
      </c>
      <c r="O3" s="54">
        <f t="shared" ref="O3:O34" si="3">IF($J3&gt;0,ROUNDUP(E3/$J3,0),"-")</f>
        <v>4</v>
      </c>
      <c r="Q3" s="54">
        <f>IF($J3&gt;0,ROUNDUP((L3*Constraints!$D$3/$J3/100)+L3,0),"-")</f>
        <v>3</v>
      </c>
      <c r="R3" s="54">
        <f>IF($J3&gt;0,ROUNDUP((M3*Constraints!$D$3/$J3/100)+M3,0),"-")</f>
        <v>0</v>
      </c>
      <c r="S3" s="54">
        <f>IF($J3&gt;0,ROUNDUP((N3*Constraints!$D$3/$J3/100)+N3,0),"-")</f>
        <v>0</v>
      </c>
      <c r="T3" s="54">
        <f>IF($J3&gt;0,ROUNDUP((O3*Constraints!$D$3/$J3/100)+O3,0),"-")</f>
        <v>5</v>
      </c>
      <c r="V3" s="54">
        <f>IF($J3&gt;0,ROUNDUP((Q3*Constraints!$D$4/$J3/100)+Q3,0),"-")</f>
        <v>4</v>
      </c>
      <c r="W3" s="54">
        <f>IF($J3&gt;0,ROUNDUP((R3*Constraints!$D$4/$J3/100)+R3,0),"-")</f>
        <v>0</v>
      </c>
      <c r="X3" s="54">
        <f>IF($J3&gt;0,ROUNDUP((S3*Constraints!$D$4/$J3/100)+S3,0),"-")</f>
        <v>0</v>
      </c>
      <c r="Y3" s="54">
        <f>IF($J3&gt;0,ROUNDUP((T3*Constraints!$D$4/$J3/100)+T3,0),"-")</f>
        <v>6</v>
      </c>
      <c r="AA3" s="25">
        <f>SUM(V3:Y3)</f>
        <v>10</v>
      </c>
      <c r="AB3" s="110" t="str">
        <f>IF(AA3&gt;Constraints!$D$5,Rios!AA3-Constraints!$D$5,"-")</f>
        <v>-</v>
      </c>
      <c r="AD3" s="30">
        <f t="shared" ref="AD3:AD34" si="4">IF(ISNUMBER(V3),ROUNDUP(V3/(AS3/AN3),0),"-")</f>
        <v>1</v>
      </c>
      <c r="AE3" s="30">
        <f t="shared" ref="AE3:AE34" si="5">IF(ISNUMBER(W3),ROUNDUP(W3/(AT3/AO3),0),"-")</f>
        <v>0</v>
      </c>
      <c r="AF3" s="30">
        <f t="shared" ref="AF3:AF34" si="6">IF(ISNUMBER(X3),ROUNDUP(X3/(AU3/AP3),0),"-")</f>
        <v>0</v>
      </c>
      <c r="AG3" s="30">
        <f t="shared" ref="AG3:AG34" si="7">IF(ISNUMBER(Y3),ROUNDUP(Y3/(AV3/AQ3),0),"-")</f>
        <v>1</v>
      </c>
      <c r="AI3" s="25">
        <f>SUM(AD3:AG3)</f>
        <v>2</v>
      </c>
      <c r="AJ3" s="110" t="str">
        <f>IF(AI3&gt;Constraints!$D$6,Rios!AI3-Constraints!$D$6,"-")</f>
        <v>-</v>
      </c>
      <c r="AL3" s="25">
        <f>IF(AM3&lt;&gt;"",VLOOKUP(AM3,Constraints!I:J,2,FALSE),"")</f>
        <v>2</v>
      </c>
      <c r="AM3" s="105" t="s">
        <v>421</v>
      </c>
      <c r="AN3" s="30">
        <f>IF($AL3&lt;&gt;"",VLOOKUP($AL3,Constraints!$H:$V,4,FALSE),"-")</f>
        <v>2</v>
      </c>
      <c r="AO3" s="30">
        <f>IF($AL3&lt;&gt;"",VLOOKUP($AL3,Constraints!$H:$V,7,FALSE),"-")</f>
        <v>1</v>
      </c>
      <c r="AP3" s="30">
        <f>IF($AL3&lt;&gt;"",VLOOKUP($AL3,Constraints!$H:$V,10,FALSE),"-")</f>
        <v>2</v>
      </c>
      <c r="AQ3" s="30">
        <f>IF($AL3&lt;&gt;"",VLOOKUP($AL3,Constraints!$H:$V,13,FALSE),"-")</f>
        <v>1</v>
      </c>
      <c r="AS3" s="54">
        <f>IF($AL3&lt;&gt;"",VLOOKUP($AL3,Constraints!$H:$AG,23,FALSE),"-")</f>
        <v>16</v>
      </c>
      <c r="AT3" s="54">
        <f>IF($AL3&lt;&gt;"",VLOOKUP($AL3,Constraints!$H:$AG,24,FALSE),"-")</f>
        <v>4</v>
      </c>
      <c r="AU3" s="54">
        <f>IF($AL3&lt;&gt;"",VLOOKUP($AL3,Constraints!$H:$AG,25,FALSE),"-")</f>
        <v>32</v>
      </c>
      <c r="AV3" s="54">
        <f>IF($AL3&lt;&gt;"",VLOOKUP($AL3,Constraints!$H:$AG,26,FALSE),"-")</f>
        <v>16</v>
      </c>
      <c r="AX3" s="30" t="str">
        <f t="shared" ref="AX3:AX34" si="8">IF(ISNUMBER(AN3),IF(AN3-AD3&gt;=0,"-",AN3-AD3),"na")</f>
        <v>-</v>
      </c>
      <c r="AY3" s="30" t="str">
        <f t="shared" ref="AY3:AY34" si="9">IF(ISNUMBER(AO3),IF(AO3-AE3&gt;=0,"-",AO3-AE3),"na")</f>
        <v>-</v>
      </c>
      <c r="AZ3" s="30" t="str">
        <f t="shared" ref="AZ3:AZ34" si="10">IF(ISNUMBER(AP3),IF(AP3-AF3&gt;=0,"-",AP3-AF3),"na")</f>
        <v>-</v>
      </c>
      <c r="BA3" s="30" t="str">
        <f t="shared" ref="BA3:BA34" si="11">IF(ISNUMBER(AQ3),IF(AQ3-AG3&gt;=0,"-",AQ3-AG3),"na")</f>
        <v>-</v>
      </c>
      <c r="BC3" s="18" t="str">
        <f>IF(SUM(AX3:BA3)&lt;0,"X","-")</f>
        <v>-</v>
      </c>
      <c r="BD3" s="18" t="str">
        <f t="shared" ref="BD3:BD34" si="12">IF(AB3="-","-","X")</f>
        <v>-</v>
      </c>
      <c r="BE3" s="18" t="str">
        <f t="shared" ref="BE3:BE34" si="13">IF(AJ3="-","-","X")</f>
        <v>-</v>
      </c>
      <c r="BG3" s="54" t="str">
        <f t="shared" ref="BG3:BG34" si="14">IF($A3&lt;&gt;"",IF(V3-AS3&lt;=0,"-",V3-AS3),"-")</f>
        <v>-</v>
      </c>
      <c r="BH3" s="54" t="str">
        <f t="shared" ref="BH3:BH34" si="15">IF($A3&lt;&gt;"",IF(W3-AT3&lt;=0,"-",W3-AT3),"-")</f>
        <v>-</v>
      </c>
      <c r="BI3" s="54" t="str">
        <f t="shared" ref="BI3:BI34" si="16">IF($A3&lt;&gt;"",IF(X3-AU3&lt;=0,"-",X3-AU3),"-")</f>
        <v>-</v>
      </c>
      <c r="BJ3" s="54" t="str">
        <f t="shared" ref="BJ3:BJ34" si="17">IF($A3&lt;&gt;"",IF(Y3-AV3&lt;=0,"-",Y3-AV3),"-")</f>
        <v>-</v>
      </c>
      <c r="BK3" s="58"/>
    </row>
    <row r="4" spans="1:63" x14ac:dyDescent="0.25">
      <c r="A4" t="s">
        <v>206</v>
      </c>
      <c r="B4" s="62">
        <f>SUMIFS(Areas!J:J,Areas!$A:$A,Rios!$A4)</f>
        <v>12</v>
      </c>
      <c r="C4" s="62">
        <f>SUMIFS(Areas!K:K,Areas!$A:$A,Rios!$A4)</f>
        <v>0</v>
      </c>
      <c r="D4" s="62">
        <f>SUMIFS(Areas!L:L,Areas!$A:$A,Rios!$A4)</f>
        <v>52</v>
      </c>
      <c r="E4" s="62">
        <f>SUMIFS(Areas!M:M,Areas!$A:$A,Rios!$A4)</f>
        <v>8</v>
      </c>
      <c r="F4" s="40" t="str">
        <f>IF($A4&lt;&gt;"",VLOOKUP(Rios!$A4,Areas!$A:$I,F$2,FALSE),"-")</f>
        <v>3184-PLC-001</v>
      </c>
      <c r="G4" t="str">
        <f>IF($A4&lt;&gt;"",VLOOKUP(Rios!$A4,Areas!$A:$I,G$2,FALSE),"-")</f>
        <v>Primary Crushing</v>
      </c>
      <c r="H4" s="40" t="str">
        <f>IF($A4&lt;&gt;"",VLOOKUP(Rios!$A4,Areas!$A:$I,H$2,FALSE),"-")</f>
        <v>Primary Crushing</v>
      </c>
      <c r="J4" s="48">
        <v>2</v>
      </c>
      <c r="L4" s="54">
        <f t="shared" si="0"/>
        <v>6</v>
      </c>
      <c r="M4" s="54">
        <f t="shared" si="1"/>
        <v>0</v>
      </c>
      <c r="N4" s="54">
        <f t="shared" si="2"/>
        <v>26</v>
      </c>
      <c r="O4" s="54">
        <f t="shared" si="3"/>
        <v>4</v>
      </c>
      <c r="Q4" s="54">
        <f>IF($J4&gt;0,ROUNDUP((L4*Constraints!$D$3/$J4/100)+L4,0),"-")</f>
        <v>7</v>
      </c>
      <c r="R4" s="54">
        <f>IF($J4&gt;0,ROUNDUP((M4*Constraints!$D$3/$J4/100)+M4,0),"-")</f>
        <v>0</v>
      </c>
      <c r="S4" s="54">
        <f>IF($J4&gt;0,ROUNDUP((N4*Constraints!$D$3/$J4/100)+N4,0),"-")</f>
        <v>28</v>
      </c>
      <c r="T4" s="54">
        <f>IF($J4&gt;0,ROUNDUP((O4*Constraints!$D$3/$J4/100)+O4,0),"-")</f>
        <v>5</v>
      </c>
      <c r="V4" s="54">
        <f>IF($J4&gt;0,ROUNDUP((Q4*Constraints!$D$4/$J4/100)+Q4,0),"-")</f>
        <v>8</v>
      </c>
      <c r="W4" s="54">
        <f>IF($J4&gt;0,ROUNDUP((R4*Constraints!$D$4/$J4/100)+R4,0),"-")</f>
        <v>0</v>
      </c>
      <c r="X4" s="54">
        <f>IF($J4&gt;0,ROUNDUP((S4*Constraints!$D$4/$J4/100)+S4,0),"-")</f>
        <v>31</v>
      </c>
      <c r="Y4" s="54">
        <f>IF($J4&gt;0,ROUNDUP((T4*Constraints!$D$4/$J4/100)+T4,0),"-")</f>
        <v>6</v>
      </c>
      <c r="AA4" s="25">
        <f>SUM(V4:Y4)</f>
        <v>45</v>
      </c>
      <c r="AB4" s="110" t="str">
        <f>IF(AA4&gt;Constraints!$D$5,Rios!AA4-Constraints!$D$5,"-")</f>
        <v>-</v>
      </c>
      <c r="AD4" s="30">
        <f t="shared" si="4"/>
        <v>1</v>
      </c>
      <c r="AE4" s="30">
        <f t="shared" si="5"/>
        <v>0</v>
      </c>
      <c r="AF4" s="30">
        <f t="shared" si="6"/>
        <v>2</v>
      </c>
      <c r="AG4" s="30">
        <f t="shared" si="7"/>
        <v>1</v>
      </c>
      <c r="AI4" s="25">
        <f t="shared" ref="AI4:AI67" si="18">SUM(AD4:AG4)</f>
        <v>4</v>
      </c>
      <c r="AJ4" s="110" t="str">
        <f>IF(AI4&gt;Constraints!$D$6,Rios!AI4-Constraints!$D$6,"-")</f>
        <v>-</v>
      </c>
      <c r="AL4" s="25">
        <f>IF(AM4&lt;&gt;"",VLOOKUP(AM4,Constraints!I:J,2,FALSE),"")</f>
        <v>2</v>
      </c>
      <c r="AM4" s="105" t="s">
        <v>421</v>
      </c>
      <c r="AN4" s="30">
        <f>IF($AL4&lt;&gt;"",VLOOKUP($AL4,Constraints!$H:$V,4,FALSE),"-")</f>
        <v>2</v>
      </c>
      <c r="AO4" s="30">
        <f>IF($AL4&lt;&gt;"",VLOOKUP($AL4,Constraints!$H:$V,7,FALSE),"-")</f>
        <v>1</v>
      </c>
      <c r="AP4" s="30">
        <f>IF($AL4&lt;&gt;"",VLOOKUP($AL4,Constraints!$H:$V,10,FALSE),"-")</f>
        <v>2</v>
      </c>
      <c r="AQ4" s="30">
        <f>IF($AL4&lt;&gt;"",VLOOKUP($AL4,Constraints!$H:$V,13,FALSE),"-")</f>
        <v>1</v>
      </c>
      <c r="AS4" s="54">
        <f>IF($AL4&lt;&gt;"",VLOOKUP($AL4,Constraints!$H:$AG,23,FALSE),"-")</f>
        <v>16</v>
      </c>
      <c r="AT4" s="54">
        <f>IF($AL4&lt;&gt;"",VLOOKUP($AL4,Constraints!$H:$AG,24,FALSE),"-")</f>
        <v>4</v>
      </c>
      <c r="AU4" s="54">
        <f>IF($AL4&lt;&gt;"",VLOOKUP($AL4,Constraints!$H:$AG,25,FALSE),"-")</f>
        <v>32</v>
      </c>
      <c r="AV4" s="54">
        <f>IF($AL4&lt;&gt;"",VLOOKUP($AL4,Constraints!$H:$AG,26,FALSE),"-")</f>
        <v>16</v>
      </c>
      <c r="AX4" s="30" t="str">
        <f t="shared" si="8"/>
        <v>-</v>
      </c>
      <c r="AY4" s="30" t="str">
        <f t="shared" si="9"/>
        <v>-</v>
      </c>
      <c r="AZ4" s="30" t="str">
        <f t="shared" si="10"/>
        <v>-</v>
      </c>
      <c r="BA4" s="30" t="str">
        <f t="shared" si="11"/>
        <v>-</v>
      </c>
      <c r="BC4" s="18" t="str">
        <f t="shared" ref="BC4:BC67" si="19">IF(SUM(AX4:BA4)&lt;0,"X","-")</f>
        <v>-</v>
      </c>
      <c r="BD4" s="18" t="str">
        <f t="shared" si="12"/>
        <v>-</v>
      </c>
      <c r="BE4" s="18" t="str">
        <f t="shared" si="13"/>
        <v>-</v>
      </c>
      <c r="BG4" s="54" t="str">
        <f t="shared" si="14"/>
        <v>-</v>
      </c>
      <c r="BH4" s="54" t="str">
        <f t="shared" si="15"/>
        <v>-</v>
      </c>
      <c r="BI4" s="54" t="str">
        <f t="shared" si="16"/>
        <v>-</v>
      </c>
      <c r="BJ4" s="54" t="str">
        <f t="shared" si="17"/>
        <v>-</v>
      </c>
      <c r="BK4" s="58"/>
    </row>
    <row r="5" spans="1:63" x14ac:dyDescent="0.25">
      <c r="A5" t="s">
        <v>208</v>
      </c>
      <c r="B5" s="62">
        <f>SUMIFS(Areas!J:J,Areas!$A:$A,Rios!$A5)</f>
        <v>5</v>
      </c>
      <c r="C5" s="62">
        <f>SUMIFS(Areas!K:K,Areas!$A:$A,Rios!$A5)</f>
        <v>0</v>
      </c>
      <c r="D5" s="62">
        <f>SUMIFS(Areas!L:L,Areas!$A:$A,Rios!$A5)</f>
        <v>25</v>
      </c>
      <c r="E5" s="62">
        <f>SUMIFS(Areas!M:M,Areas!$A:$A,Rios!$A5)</f>
        <v>10</v>
      </c>
      <c r="F5" s="40" t="str">
        <f>IF($A5&lt;&gt;"",VLOOKUP(Rios!$A5,Areas!$A:$I,F$2,FALSE),"-")</f>
        <v>3184-PLC-001</v>
      </c>
      <c r="G5" t="str">
        <f>IF($A5&lt;&gt;"",VLOOKUP(Rios!$A5,Areas!$A:$I,G$2,FALSE),"-")</f>
        <v>Screening</v>
      </c>
      <c r="H5" s="40" t="str">
        <f>IF($A5&lt;&gt;"",VLOOKUP(Rios!$A5,Areas!$A:$I,H$2,FALSE),"-")</f>
        <v>Screening</v>
      </c>
      <c r="J5" s="48">
        <v>1</v>
      </c>
      <c r="L5" s="54">
        <f t="shared" si="0"/>
        <v>5</v>
      </c>
      <c r="M5" s="54">
        <f t="shared" si="1"/>
        <v>0</v>
      </c>
      <c r="N5" s="54">
        <f t="shared" si="2"/>
        <v>25</v>
      </c>
      <c r="O5" s="54">
        <f t="shared" si="3"/>
        <v>10</v>
      </c>
      <c r="Q5" s="54">
        <f>IF($J5&gt;0,ROUNDUP((L5*Constraints!$D$3/$J5/100)+L5,0),"-")</f>
        <v>6</v>
      </c>
      <c r="R5" s="54">
        <f>IF($J5&gt;0,ROUNDUP((M5*Constraints!$D$3/$J5/100)+M5,0),"-")</f>
        <v>0</v>
      </c>
      <c r="S5" s="54">
        <f>IF($J5&gt;0,ROUNDUP((N5*Constraints!$D$3/$J5/100)+N5,0),"-")</f>
        <v>29</v>
      </c>
      <c r="T5" s="54">
        <f>IF($J5&gt;0,ROUNDUP((O5*Constraints!$D$3/$J5/100)+O5,0),"-")</f>
        <v>12</v>
      </c>
      <c r="V5" s="54">
        <f>IF($J5&gt;0,ROUNDUP((Q5*Constraints!$D$4/$J5/100)+Q5,0),"-")</f>
        <v>8</v>
      </c>
      <c r="W5" s="54">
        <f>IF($J5&gt;0,ROUNDUP((R5*Constraints!$D$4/$J5/100)+R5,0),"-")</f>
        <v>0</v>
      </c>
      <c r="X5" s="54">
        <f>IF($J5&gt;0,ROUNDUP((S5*Constraints!$D$4/$J5/100)+S5,0),"-")</f>
        <v>35</v>
      </c>
      <c r="Y5" s="54">
        <f>IF($J5&gt;0,ROUNDUP((T5*Constraints!$D$4/$J5/100)+T5,0),"-")</f>
        <v>15</v>
      </c>
      <c r="AA5" s="25">
        <f t="shared" ref="AA5:AA67" si="20">SUM(V5:Y5)</f>
        <v>58</v>
      </c>
      <c r="AB5" s="110" t="str">
        <f>IF(AA5&gt;Constraints!$D$5,Rios!AA5-Constraints!$D$5,"-")</f>
        <v>-</v>
      </c>
      <c r="AD5" s="30">
        <f t="shared" si="4"/>
        <v>1</v>
      </c>
      <c r="AE5" s="30">
        <f t="shared" si="5"/>
        <v>0</v>
      </c>
      <c r="AF5" s="30">
        <f t="shared" si="6"/>
        <v>3</v>
      </c>
      <c r="AG5" s="30">
        <f t="shared" si="7"/>
        <v>1</v>
      </c>
      <c r="AI5" s="25">
        <f t="shared" si="18"/>
        <v>5</v>
      </c>
      <c r="AJ5" s="110" t="str">
        <f>IF(AI5&gt;Constraints!$D$6,Rios!AI5-Constraints!$D$6,"-")</f>
        <v>-</v>
      </c>
      <c r="AL5" s="25">
        <f>IF(AM5&lt;&gt;"",VLOOKUP(AM5,Constraints!I:J,2,FALSE),"")</f>
        <v>2</v>
      </c>
      <c r="AM5" s="105" t="s">
        <v>421</v>
      </c>
      <c r="AN5" s="30">
        <f>IF($AL5&lt;&gt;"",VLOOKUP($AL5,Constraints!$H:$V,4,FALSE),"-")</f>
        <v>2</v>
      </c>
      <c r="AO5" s="30">
        <f>IF($AL5&lt;&gt;"",VLOOKUP($AL5,Constraints!$H:$V,7,FALSE),"-")</f>
        <v>1</v>
      </c>
      <c r="AP5" s="30">
        <f>IF($AL5&lt;&gt;"",VLOOKUP($AL5,Constraints!$H:$V,10,FALSE),"-")</f>
        <v>2</v>
      </c>
      <c r="AQ5" s="30">
        <f>IF($AL5&lt;&gt;"",VLOOKUP($AL5,Constraints!$H:$V,13,FALSE),"-")</f>
        <v>1</v>
      </c>
      <c r="AS5" s="54">
        <f>IF($AL5&lt;&gt;"",VLOOKUP($AL5,Constraints!$H:$AG,23,FALSE),"-")</f>
        <v>16</v>
      </c>
      <c r="AT5" s="54">
        <f>IF($AL5&lt;&gt;"",VLOOKUP($AL5,Constraints!$H:$AG,24,FALSE),"-")</f>
        <v>4</v>
      </c>
      <c r="AU5" s="54">
        <f>IF($AL5&lt;&gt;"",VLOOKUP($AL5,Constraints!$H:$AG,25,FALSE),"-")</f>
        <v>32</v>
      </c>
      <c r="AV5" s="54">
        <f>IF($AL5&lt;&gt;"",VLOOKUP($AL5,Constraints!$H:$AG,26,FALSE),"-")</f>
        <v>16</v>
      </c>
      <c r="AX5" s="30" t="str">
        <f t="shared" si="8"/>
        <v>-</v>
      </c>
      <c r="AY5" s="30" t="str">
        <f t="shared" si="9"/>
        <v>-</v>
      </c>
      <c r="AZ5" s="30">
        <f t="shared" si="10"/>
        <v>-1</v>
      </c>
      <c r="BA5" s="30" t="str">
        <f t="shared" si="11"/>
        <v>-</v>
      </c>
      <c r="BC5" s="18" t="str">
        <f>IF(SUM(AX5:BA5)&lt;0,"X","-")</f>
        <v>X</v>
      </c>
      <c r="BD5" s="18" t="str">
        <f t="shared" si="12"/>
        <v>-</v>
      </c>
      <c r="BE5" s="18" t="str">
        <f t="shared" si="13"/>
        <v>-</v>
      </c>
      <c r="BG5" s="54" t="str">
        <f t="shared" si="14"/>
        <v>-</v>
      </c>
      <c r="BH5" s="54" t="str">
        <f t="shared" si="15"/>
        <v>-</v>
      </c>
      <c r="BI5" s="54">
        <f t="shared" si="16"/>
        <v>3</v>
      </c>
      <c r="BJ5" s="54" t="str">
        <f t="shared" si="17"/>
        <v>-</v>
      </c>
      <c r="BK5" s="58"/>
    </row>
    <row r="6" spans="1:63" x14ac:dyDescent="0.25">
      <c r="A6" t="s">
        <v>207</v>
      </c>
      <c r="B6" s="62">
        <f>SUMIFS(Areas!J:J,Areas!$A:$A,Rios!$A6)</f>
        <v>12</v>
      </c>
      <c r="C6" s="62">
        <f>SUMIFS(Areas!K:K,Areas!$A:$A,Rios!$A6)</f>
        <v>0</v>
      </c>
      <c r="D6" s="62">
        <f>SUMIFS(Areas!L:L,Areas!$A:$A,Rios!$A6)</f>
        <v>52</v>
      </c>
      <c r="E6" s="62">
        <f>SUMIFS(Areas!M:M,Areas!$A:$A,Rios!$A6)</f>
        <v>8</v>
      </c>
      <c r="F6" s="40" t="str">
        <f>IF($A6&lt;&gt;"",VLOOKUP(Rios!$A6,Areas!$A:$I,F$2,FALSE),"-")</f>
        <v>3184-PLC-001</v>
      </c>
      <c r="G6" t="str">
        <f>IF($A6&lt;&gt;"",VLOOKUP(Rios!$A6,Areas!$A:$I,G$2,FALSE),"-")</f>
        <v>Secondary Crushing</v>
      </c>
      <c r="H6" s="40" t="str">
        <f>IF($A6&lt;&gt;"",VLOOKUP(Rios!$A6,Areas!$A:$I,H$2,FALSE),"-")</f>
        <v>Secondary Crushing</v>
      </c>
      <c r="J6" s="48">
        <v>2</v>
      </c>
      <c r="L6" s="54">
        <f t="shared" si="0"/>
        <v>6</v>
      </c>
      <c r="M6" s="54">
        <f t="shared" si="1"/>
        <v>0</v>
      </c>
      <c r="N6" s="54">
        <f t="shared" si="2"/>
        <v>26</v>
      </c>
      <c r="O6" s="54">
        <f t="shared" si="3"/>
        <v>4</v>
      </c>
      <c r="Q6" s="54">
        <f>IF($J6&gt;0,ROUNDUP((L6*Constraints!$D$3/$J6/100)+L6,0),"-")</f>
        <v>7</v>
      </c>
      <c r="R6" s="54">
        <f>IF($J6&gt;0,ROUNDUP((M6*Constraints!$D$3/$J6/100)+M6,0),"-")</f>
        <v>0</v>
      </c>
      <c r="S6" s="54">
        <f>IF($J6&gt;0,ROUNDUP((N6*Constraints!$D$3/$J6/100)+N6,0),"-")</f>
        <v>28</v>
      </c>
      <c r="T6" s="54">
        <f>IF($J6&gt;0,ROUNDUP((O6*Constraints!$D$3/$J6/100)+O6,0),"-")</f>
        <v>5</v>
      </c>
      <c r="V6" s="54">
        <f>IF($J6&gt;0,ROUNDUP((Q6*Constraints!$D$4/$J6/100)+Q6,0),"-")</f>
        <v>8</v>
      </c>
      <c r="W6" s="54">
        <f>IF($J6&gt;0,ROUNDUP((R6*Constraints!$D$4/$J6/100)+R6,0),"-")</f>
        <v>0</v>
      </c>
      <c r="X6" s="54">
        <f>IF($J6&gt;0,ROUNDUP((S6*Constraints!$D$4/$J6/100)+S6,0),"-")</f>
        <v>31</v>
      </c>
      <c r="Y6" s="54">
        <f>IF($J6&gt;0,ROUNDUP((T6*Constraints!$D$4/$J6/100)+T6,0),"-")</f>
        <v>6</v>
      </c>
      <c r="AA6" s="25">
        <f t="shared" si="20"/>
        <v>45</v>
      </c>
      <c r="AB6" s="110" t="str">
        <f>IF(AA6&gt;Constraints!$D$5,Rios!AA6-Constraints!$D$5,"-")</f>
        <v>-</v>
      </c>
      <c r="AD6" s="30">
        <f t="shared" si="4"/>
        <v>1</v>
      </c>
      <c r="AE6" s="30">
        <f t="shared" si="5"/>
        <v>0</v>
      </c>
      <c r="AF6" s="30">
        <f t="shared" si="6"/>
        <v>2</v>
      </c>
      <c r="AG6" s="30">
        <f t="shared" si="7"/>
        <v>1</v>
      </c>
      <c r="AI6" s="25">
        <f t="shared" si="18"/>
        <v>4</v>
      </c>
      <c r="AJ6" s="110" t="str">
        <f>IF(AI6&gt;Constraints!$D$6,Rios!AI6-Constraints!$D$6,"-")</f>
        <v>-</v>
      </c>
      <c r="AL6" s="25">
        <f>IF(AM6&lt;&gt;"",VLOOKUP(AM6,Constraints!I:J,2,FALSE),"")</f>
        <v>2</v>
      </c>
      <c r="AM6" s="105" t="s">
        <v>421</v>
      </c>
      <c r="AN6" s="30">
        <f>IF($AL6&lt;&gt;"",VLOOKUP($AL6,Constraints!$H:$V,4,FALSE),"-")</f>
        <v>2</v>
      </c>
      <c r="AO6" s="30">
        <f>IF($AL6&lt;&gt;"",VLOOKUP($AL6,Constraints!$H:$V,7,FALSE),"-")</f>
        <v>1</v>
      </c>
      <c r="AP6" s="30">
        <f>IF($AL6&lt;&gt;"",VLOOKUP($AL6,Constraints!$H:$V,10,FALSE),"-")</f>
        <v>2</v>
      </c>
      <c r="AQ6" s="30">
        <f>IF($AL6&lt;&gt;"",VLOOKUP($AL6,Constraints!$H:$V,13,FALSE),"-")</f>
        <v>1</v>
      </c>
      <c r="AS6" s="54">
        <f>IF($AL6&lt;&gt;"",VLOOKUP($AL6,Constraints!$H:$AG,23,FALSE),"-")</f>
        <v>16</v>
      </c>
      <c r="AT6" s="54">
        <f>IF($AL6&lt;&gt;"",VLOOKUP($AL6,Constraints!$H:$AG,24,FALSE),"-")</f>
        <v>4</v>
      </c>
      <c r="AU6" s="54">
        <f>IF($AL6&lt;&gt;"",VLOOKUP($AL6,Constraints!$H:$AG,25,FALSE),"-")</f>
        <v>32</v>
      </c>
      <c r="AV6" s="54">
        <f>IF($AL6&lt;&gt;"",VLOOKUP($AL6,Constraints!$H:$AG,26,FALSE),"-")</f>
        <v>16</v>
      </c>
      <c r="AX6" s="30" t="str">
        <f t="shared" si="8"/>
        <v>-</v>
      </c>
      <c r="AY6" s="30" t="str">
        <f t="shared" si="9"/>
        <v>-</v>
      </c>
      <c r="AZ6" s="30" t="str">
        <f t="shared" si="10"/>
        <v>-</v>
      </c>
      <c r="BA6" s="30" t="str">
        <f t="shared" si="11"/>
        <v>-</v>
      </c>
      <c r="BC6" s="18" t="str">
        <f t="shared" si="19"/>
        <v>-</v>
      </c>
      <c r="BD6" s="18" t="str">
        <f t="shared" si="12"/>
        <v>-</v>
      </c>
      <c r="BE6" s="18" t="str">
        <f t="shared" si="13"/>
        <v>-</v>
      </c>
      <c r="BG6" s="54" t="str">
        <f t="shared" si="14"/>
        <v>-</v>
      </c>
      <c r="BH6" s="54" t="str">
        <f t="shared" si="15"/>
        <v>-</v>
      </c>
      <c r="BI6" s="54" t="str">
        <f t="shared" si="16"/>
        <v>-</v>
      </c>
      <c r="BJ6" s="54" t="str">
        <f t="shared" si="17"/>
        <v>-</v>
      </c>
      <c r="BK6" s="58"/>
    </row>
    <row r="7" spans="1:63" x14ac:dyDescent="0.25">
      <c r="A7" t="s">
        <v>209</v>
      </c>
      <c r="B7" s="62">
        <f>SUMIFS(Areas!J:J,Areas!$A:$A,Rios!$A7)</f>
        <v>6</v>
      </c>
      <c r="C7" s="62">
        <f>SUMIFS(Areas!K:K,Areas!$A:$A,Rios!$A7)</f>
        <v>0</v>
      </c>
      <c r="D7" s="62">
        <f>SUMIFS(Areas!L:L,Areas!$A:$A,Rios!$A7)</f>
        <v>36</v>
      </c>
      <c r="E7" s="62">
        <f>SUMIFS(Areas!M:M,Areas!$A:$A,Rios!$A7)</f>
        <v>24</v>
      </c>
      <c r="F7" s="40" t="str">
        <f>IF($A7&lt;&gt;"",VLOOKUP(Rios!$A7,Areas!$A:$I,F$2,FALSE),"-")</f>
        <v>3184-PLC-002</v>
      </c>
      <c r="G7" t="str">
        <f>IF($A7&lt;&gt;"",VLOOKUP(Rios!$A7,Areas!$A:$I,G$2,FALSE),"-")</f>
        <v>Mill Feed &amp; Ball Loader</v>
      </c>
      <c r="H7" s="40" t="str">
        <f>IF($A7&lt;&gt;"",VLOOKUP(Rios!$A7,Areas!$A:$I,H$2,FALSE),"-")</f>
        <v>Mill Feed &amp; Ball Loader</v>
      </c>
      <c r="J7" s="48">
        <v>2</v>
      </c>
      <c r="L7" s="54">
        <f t="shared" si="0"/>
        <v>3</v>
      </c>
      <c r="M7" s="54">
        <f t="shared" si="1"/>
        <v>0</v>
      </c>
      <c r="N7" s="54">
        <f t="shared" si="2"/>
        <v>18</v>
      </c>
      <c r="O7" s="54">
        <f t="shared" si="3"/>
        <v>12</v>
      </c>
      <c r="Q7" s="54">
        <f>IF($J7&gt;0,ROUNDUP((L7*Constraints!$D$3/$J7/100)+L7,0),"-")</f>
        <v>4</v>
      </c>
      <c r="R7" s="54">
        <f>IF($J7&gt;0,ROUNDUP((M7*Constraints!$D$3/$J7/100)+M7,0),"-")</f>
        <v>0</v>
      </c>
      <c r="S7" s="54">
        <f>IF($J7&gt;0,ROUNDUP((N7*Constraints!$D$3/$J7/100)+N7,0),"-")</f>
        <v>20</v>
      </c>
      <c r="T7" s="54">
        <f>IF($J7&gt;0,ROUNDUP((O7*Constraints!$D$3/$J7/100)+O7,0),"-")</f>
        <v>13</v>
      </c>
      <c r="V7" s="54">
        <f>IF($J7&gt;0,ROUNDUP((Q7*Constraints!$D$4/$J7/100)+Q7,0),"-")</f>
        <v>5</v>
      </c>
      <c r="W7" s="54">
        <f>IF($J7&gt;0,ROUNDUP((R7*Constraints!$D$4/$J7/100)+R7,0),"-")</f>
        <v>0</v>
      </c>
      <c r="X7" s="54">
        <f>IF($J7&gt;0,ROUNDUP((S7*Constraints!$D$4/$J7/100)+S7,0),"-")</f>
        <v>22</v>
      </c>
      <c r="Y7" s="54">
        <f>IF($J7&gt;0,ROUNDUP((T7*Constraints!$D$4/$J7/100)+T7,0),"-")</f>
        <v>15</v>
      </c>
      <c r="AA7" s="25">
        <f t="shared" si="20"/>
        <v>42</v>
      </c>
      <c r="AB7" s="110" t="str">
        <f>IF(AA7&gt;Constraints!$D$5,Rios!AA7-Constraints!$D$5,"-")</f>
        <v>-</v>
      </c>
      <c r="AD7" s="30">
        <f t="shared" si="4"/>
        <v>1</v>
      </c>
      <c r="AE7" s="30">
        <f t="shared" si="5"/>
        <v>0</v>
      </c>
      <c r="AF7" s="30">
        <f t="shared" si="6"/>
        <v>2</v>
      </c>
      <c r="AG7" s="30">
        <f t="shared" si="7"/>
        <v>1</v>
      </c>
      <c r="AI7" s="25">
        <f t="shared" si="18"/>
        <v>4</v>
      </c>
      <c r="AJ7" s="110" t="str">
        <f>IF(AI7&gt;Constraints!$D$6,Rios!AI7-Constraints!$D$6,"-")</f>
        <v>-</v>
      </c>
      <c r="AL7" s="25">
        <f>IF(AM7&lt;&gt;"",VLOOKUP(AM7,Constraints!I:J,2,FALSE),"")</f>
        <v>2</v>
      </c>
      <c r="AM7" s="105" t="s">
        <v>421</v>
      </c>
      <c r="AN7" s="30">
        <f>IF($AL7&lt;&gt;"",VLOOKUP($AL7,Constraints!$H:$V,4,FALSE),"-")</f>
        <v>2</v>
      </c>
      <c r="AO7" s="30">
        <f>IF($AL7&lt;&gt;"",VLOOKUP($AL7,Constraints!$H:$V,7,FALSE),"-")</f>
        <v>1</v>
      </c>
      <c r="AP7" s="30">
        <f>IF($AL7&lt;&gt;"",VLOOKUP($AL7,Constraints!$H:$V,10,FALSE),"-")</f>
        <v>2</v>
      </c>
      <c r="AQ7" s="30">
        <f>IF($AL7&lt;&gt;"",VLOOKUP($AL7,Constraints!$H:$V,13,FALSE),"-")</f>
        <v>1</v>
      </c>
      <c r="AS7" s="54">
        <f>IF($AL7&lt;&gt;"",VLOOKUP($AL7,Constraints!$H:$AG,23,FALSE),"-")</f>
        <v>16</v>
      </c>
      <c r="AT7" s="54">
        <f>IF($AL7&lt;&gt;"",VLOOKUP($AL7,Constraints!$H:$AG,24,FALSE),"-")</f>
        <v>4</v>
      </c>
      <c r="AU7" s="54">
        <f>IF($AL7&lt;&gt;"",VLOOKUP($AL7,Constraints!$H:$AG,25,FALSE),"-")</f>
        <v>32</v>
      </c>
      <c r="AV7" s="54">
        <f>IF($AL7&lt;&gt;"",VLOOKUP($AL7,Constraints!$H:$AG,26,FALSE),"-")</f>
        <v>16</v>
      </c>
      <c r="AX7" s="30" t="str">
        <f t="shared" si="8"/>
        <v>-</v>
      </c>
      <c r="AY7" s="30" t="str">
        <f t="shared" si="9"/>
        <v>-</v>
      </c>
      <c r="AZ7" s="30" t="str">
        <f t="shared" si="10"/>
        <v>-</v>
      </c>
      <c r="BA7" s="30" t="str">
        <f t="shared" si="11"/>
        <v>-</v>
      </c>
      <c r="BC7" s="18" t="str">
        <f t="shared" si="19"/>
        <v>-</v>
      </c>
      <c r="BD7" s="18" t="str">
        <f t="shared" si="12"/>
        <v>-</v>
      </c>
      <c r="BE7" s="18" t="str">
        <f t="shared" si="13"/>
        <v>-</v>
      </c>
      <c r="BG7" s="54" t="str">
        <f t="shared" si="14"/>
        <v>-</v>
      </c>
      <c r="BH7" s="54" t="str">
        <f t="shared" si="15"/>
        <v>-</v>
      </c>
      <c r="BI7" s="54" t="str">
        <f t="shared" si="16"/>
        <v>-</v>
      </c>
      <c r="BJ7" s="54" t="str">
        <f t="shared" si="17"/>
        <v>-</v>
      </c>
      <c r="BK7" s="58" t="s">
        <v>332</v>
      </c>
    </row>
    <row r="8" spans="1:63" x14ac:dyDescent="0.25">
      <c r="A8" t="s">
        <v>210</v>
      </c>
      <c r="B8" s="62">
        <f>SUMIFS(Areas!J:J,Areas!$A:$A,Rios!$A8)</f>
        <v>41</v>
      </c>
      <c r="C8" s="62">
        <f>SUMIFS(Areas!K:K,Areas!$A:$A,Rios!$A8)</f>
        <v>0</v>
      </c>
      <c r="D8" s="62">
        <f>SUMIFS(Areas!L:L,Areas!$A:$A,Rios!$A8)</f>
        <v>38</v>
      </c>
      <c r="E8" s="62">
        <f>SUMIFS(Areas!M:M,Areas!$A:$A,Rios!$A8)</f>
        <v>21</v>
      </c>
      <c r="F8" s="40" t="str">
        <f>IF($A8&lt;&gt;"",VLOOKUP(Rios!$A8,Areas!$A:$I,F$2,FALSE),"-")</f>
        <v>3184-PLC-002</v>
      </c>
      <c r="G8" t="str">
        <f>IF($A8&lt;&gt;"",VLOOKUP(Rios!$A8,Areas!$A:$I,G$2,FALSE),"-")</f>
        <v>Primary Mill</v>
      </c>
      <c r="H8" s="40" t="str">
        <f>IF($A8&lt;&gt;"",VLOOKUP(Rios!$A8,Areas!$A:$I,H$2,FALSE),"-")</f>
        <v>Services</v>
      </c>
      <c r="J8" s="48">
        <v>2</v>
      </c>
      <c r="L8" s="54">
        <f t="shared" si="0"/>
        <v>21</v>
      </c>
      <c r="M8" s="54">
        <f t="shared" si="1"/>
        <v>0</v>
      </c>
      <c r="N8" s="54">
        <f t="shared" si="2"/>
        <v>19</v>
      </c>
      <c r="O8" s="54">
        <f t="shared" si="3"/>
        <v>11</v>
      </c>
      <c r="Q8" s="54">
        <f>IF($J8&gt;0,ROUNDUP((L8*Constraints!$D$3/$J8/100)+L8,0),"-")</f>
        <v>23</v>
      </c>
      <c r="R8" s="54">
        <f>IF($J8&gt;0,ROUNDUP((M8*Constraints!$D$3/$J8/100)+M8,0),"-")</f>
        <v>0</v>
      </c>
      <c r="S8" s="54">
        <f>IF($J8&gt;0,ROUNDUP((N8*Constraints!$D$3/$J8/100)+N8,0),"-")</f>
        <v>21</v>
      </c>
      <c r="T8" s="54">
        <f>IF($J8&gt;0,ROUNDUP((O8*Constraints!$D$3/$J8/100)+O8,0),"-")</f>
        <v>12</v>
      </c>
      <c r="V8" s="54">
        <f>IF($J8&gt;0,ROUNDUP((Q8*Constraints!$D$4/$J8/100)+Q8,0),"-")</f>
        <v>26</v>
      </c>
      <c r="W8" s="54">
        <f>IF($J8&gt;0,ROUNDUP((R8*Constraints!$D$4/$J8/100)+R8,0),"-")</f>
        <v>0</v>
      </c>
      <c r="X8" s="54">
        <f>IF($J8&gt;0,ROUNDUP((S8*Constraints!$D$4/$J8/100)+S8,0),"-")</f>
        <v>24</v>
      </c>
      <c r="Y8" s="54">
        <f>IF($J8&gt;0,ROUNDUP((T8*Constraints!$D$4/$J8/100)+T8,0),"-")</f>
        <v>14</v>
      </c>
      <c r="AA8" s="25">
        <f t="shared" si="20"/>
        <v>64</v>
      </c>
      <c r="AB8" s="110" t="str">
        <f>IF(AA8&gt;Constraints!$D$5,Rios!AA8-Constraints!$D$5,"-")</f>
        <v>-</v>
      </c>
      <c r="AD8" s="30">
        <f t="shared" si="4"/>
        <v>4</v>
      </c>
      <c r="AE8" s="30">
        <f t="shared" si="5"/>
        <v>0</v>
      </c>
      <c r="AF8" s="30">
        <f t="shared" si="6"/>
        <v>2</v>
      </c>
      <c r="AG8" s="30">
        <f t="shared" si="7"/>
        <v>1</v>
      </c>
      <c r="AI8" s="25">
        <f t="shared" si="18"/>
        <v>7</v>
      </c>
      <c r="AJ8" s="110" t="str">
        <f>IF(AI8&gt;Constraints!$D$6,Rios!AI8-Constraints!$D$6,"-")</f>
        <v>-</v>
      </c>
      <c r="AL8" s="25">
        <f>IF(AM8&lt;&gt;"",VLOOKUP(AM8,Constraints!I:J,2,FALSE),"")</f>
        <v>1</v>
      </c>
      <c r="AM8" s="105" t="s">
        <v>297</v>
      </c>
      <c r="AN8" s="30">
        <f>IF($AL8&lt;&gt;"",VLOOKUP($AL8,Constraints!$H:$V,4,FALSE),"-")</f>
        <v>4</v>
      </c>
      <c r="AO8" s="30">
        <f>IF($AL8&lt;&gt;"",VLOOKUP($AL8,Constraints!$H:$V,7,FALSE),"-")</f>
        <v>2</v>
      </c>
      <c r="AP8" s="30">
        <f>IF($AL8&lt;&gt;"",VLOOKUP($AL8,Constraints!$H:$V,10,FALSE),"-")</f>
        <v>4</v>
      </c>
      <c r="AQ8" s="30">
        <f>IF($AL8&lt;&gt;"",VLOOKUP($AL8,Constraints!$H:$V,13,FALSE),"-")</f>
        <v>2</v>
      </c>
      <c r="AS8" s="54">
        <f>IF($AL8&lt;&gt;"",VLOOKUP($AL8,Constraints!$H:$AG,23,FALSE),"-")</f>
        <v>32</v>
      </c>
      <c r="AT8" s="54">
        <f>IF($AL8&lt;&gt;"",VLOOKUP($AL8,Constraints!$H:$AG,24,FALSE),"-")</f>
        <v>8</v>
      </c>
      <c r="AU8" s="54">
        <f>IF($AL8&lt;&gt;"",VLOOKUP($AL8,Constraints!$H:$AG,25,FALSE),"-")</f>
        <v>64</v>
      </c>
      <c r="AV8" s="54">
        <f>IF($AL8&lt;&gt;"",VLOOKUP($AL8,Constraints!$H:$AG,26,FALSE),"-")</f>
        <v>32</v>
      </c>
      <c r="AX8" s="30" t="str">
        <f t="shared" si="8"/>
        <v>-</v>
      </c>
      <c r="AY8" s="30" t="str">
        <f t="shared" si="9"/>
        <v>-</v>
      </c>
      <c r="AZ8" s="30" t="str">
        <f t="shared" si="10"/>
        <v>-</v>
      </c>
      <c r="BA8" s="30" t="str">
        <f t="shared" si="11"/>
        <v>-</v>
      </c>
      <c r="BC8" s="18" t="str">
        <f t="shared" si="19"/>
        <v>-</v>
      </c>
      <c r="BD8" s="18" t="str">
        <f t="shared" si="12"/>
        <v>-</v>
      </c>
      <c r="BE8" s="18" t="str">
        <f t="shared" si="13"/>
        <v>-</v>
      </c>
      <c r="BG8" s="54" t="str">
        <f t="shared" si="14"/>
        <v>-</v>
      </c>
      <c r="BH8" s="54" t="str">
        <f t="shared" si="15"/>
        <v>-</v>
      </c>
      <c r="BI8" s="54" t="str">
        <f t="shared" si="16"/>
        <v>-</v>
      </c>
      <c r="BJ8" s="54" t="str">
        <f t="shared" si="17"/>
        <v>-</v>
      </c>
      <c r="BK8" s="58"/>
    </row>
    <row r="9" spans="1:63" x14ac:dyDescent="0.25">
      <c r="A9" t="s">
        <v>211</v>
      </c>
      <c r="B9" s="62">
        <f>SUMIFS(Areas!J:J,Areas!$A:$A,Rios!$A9)</f>
        <v>41</v>
      </c>
      <c r="C9" s="62">
        <f>SUMIFS(Areas!K:K,Areas!$A:$A,Rios!$A9)</f>
        <v>0</v>
      </c>
      <c r="D9" s="62">
        <f>SUMIFS(Areas!L:L,Areas!$A:$A,Rios!$A9)</f>
        <v>38</v>
      </c>
      <c r="E9" s="62">
        <f>SUMIFS(Areas!M:M,Areas!$A:$A,Rios!$A9)</f>
        <v>21</v>
      </c>
      <c r="F9" s="40" t="str">
        <f>IF($A9&lt;&gt;"",VLOOKUP(Rios!$A9,Areas!$A:$I,F$2,FALSE),"-")</f>
        <v>3184-PLC-002</v>
      </c>
      <c r="G9" t="str">
        <f>IF($A9&lt;&gt;"",VLOOKUP(Rios!$A9,Areas!$A:$I,G$2,FALSE),"-")</f>
        <v>Primary Mill</v>
      </c>
      <c r="H9" s="40" t="str">
        <f>IF($A9&lt;&gt;"",VLOOKUP(Rios!$A9,Areas!$A:$I,H$2,FALSE),"-")</f>
        <v>LHS</v>
      </c>
      <c r="J9" s="48">
        <v>2</v>
      </c>
      <c r="L9" s="54">
        <f t="shared" si="0"/>
        <v>21</v>
      </c>
      <c r="M9" s="54">
        <f t="shared" si="1"/>
        <v>0</v>
      </c>
      <c r="N9" s="54">
        <f t="shared" si="2"/>
        <v>19</v>
      </c>
      <c r="O9" s="54">
        <f t="shared" si="3"/>
        <v>11</v>
      </c>
      <c r="Q9" s="54">
        <f>IF($J9&gt;0,ROUNDUP((L9*Constraints!$D$3/$J9/100)+L9,0),"-")</f>
        <v>23</v>
      </c>
      <c r="R9" s="54">
        <f>IF($J9&gt;0,ROUNDUP((M9*Constraints!$D$3/$J9/100)+M9,0),"-")</f>
        <v>0</v>
      </c>
      <c r="S9" s="54">
        <f>IF($J9&gt;0,ROUNDUP((N9*Constraints!$D$3/$J9/100)+N9,0),"-")</f>
        <v>21</v>
      </c>
      <c r="T9" s="54">
        <f>IF($J9&gt;0,ROUNDUP((O9*Constraints!$D$3/$J9/100)+O9,0),"-")</f>
        <v>12</v>
      </c>
      <c r="V9" s="54">
        <f>IF($J9&gt;0,ROUNDUP((Q9*Constraints!$D$4/$J9/100)+Q9,0),"-")</f>
        <v>26</v>
      </c>
      <c r="W9" s="54">
        <f>IF($J9&gt;0,ROUNDUP((R9*Constraints!$D$4/$J9/100)+R9,0),"-")</f>
        <v>0</v>
      </c>
      <c r="X9" s="54">
        <f>IF($J9&gt;0,ROUNDUP((S9*Constraints!$D$4/$J9/100)+S9,0),"-")</f>
        <v>24</v>
      </c>
      <c r="Y9" s="54">
        <f>IF($J9&gt;0,ROUNDUP((T9*Constraints!$D$4/$J9/100)+T9,0),"-")</f>
        <v>14</v>
      </c>
      <c r="AA9" s="25">
        <f t="shared" si="20"/>
        <v>64</v>
      </c>
      <c r="AB9" s="110" t="str">
        <f>IF(AA9&gt;Constraints!$D$5,Rios!AA9-Constraints!$D$5,"-")</f>
        <v>-</v>
      </c>
      <c r="AD9" s="30">
        <f t="shared" si="4"/>
        <v>4</v>
      </c>
      <c r="AE9" s="30">
        <f t="shared" si="5"/>
        <v>0</v>
      </c>
      <c r="AF9" s="30">
        <f t="shared" si="6"/>
        <v>2</v>
      </c>
      <c r="AG9" s="30">
        <f t="shared" si="7"/>
        <v>1</v>
      </c>
      <c r="AI9" s="25">
        <f t="shared" si="18"/>
        <v>7</v>
      </c>
      <c r="AJ9" s="110" t="str">
        <f>IF(AI9&gt;Constraints!$D$6,Rios!AI9-Constraints!$D$6,"-")</f>
        <v>-</v>
      </c>
      <c r="AL9" s="25">
        <f>IF(AM9&lt;&gt;"",VLOOKUP(AM9,Constraints!I:J,2,FALSE),"")</f>
        <v>1</v>
      </c>
      <c r="AM9" s="105" t="s">
        <v>297</v>
      </c>
      <c r="AN9" s="30">
        <f>IF($AL9&lt;&gt;"",VLOOKUP($AL9,Constraints!$H:$V,4,FALSE),"-")</f>
        <v>4</v>
      </c>
      <c r="AO9" s="30">
        <f>IF($AL9&lt;&gt;"",VLOOKUP($AL9,Constraints!$H:$V,7,FALSE),"-")</f>
        <v>2</v>
      </c>
      <c r="AP9" s="30">
        <f>IF($AL9&lt;&gt;"",VLOOKUP($AL9,Constraints!$H:$V,10,FALSE),"-")</f>
        <v>4</v>
      </c>
      <c r="AQ9" s="30">
        <f>IF($AL9&lt;&gt;"",VLOOKUP($AL9,Constraints!$H:$V,13,FALSE),"-")</f>
        <v>2</v>
      </c>
      <c r="AS9" s="54">
        <f>IF($AL9&lt;&gt;"",VLOOKUP($AL9,Constraints!$H:$AG,23,FALSE),"-")</f>
        <v>32</v>
      </c>
      <c r="AT9" s="54">
        <f>IF($AL9&lt;&gt;"",VLOOKUP($AL9,Constraints!$H:$AG,24,FALSE),"-")</f>
        <v>8</v>
      </c>
      <c r="AU9" s="54">
        <f>IF($AL9&lt;&gt;"",VLOOKUP($AL9,Constraints!$H:$AG,25,FALSE),"-")</f>
        <v>64</v>
      </c>
      <c r="AV9" s="54">
        <f>IF($AL9&lt;&gt;"",VLOOKUP($AL9,Constraints!$H:$AG,26,FALSE),"-")</f>
        <v>32</v>
      </c>
      <c r="AX9" s="30" t="str">
        <f t="shared" si="8"/>
        <v>-</v>
      </c>
      <c r="AY9" s="30" t="str">
        <f t="shared" si="9"/>
        <v>-</v>
      </c>
      <c r="AZ9" s="30" t="str">
        <f t="shared" si="10"/>
        <v>-</v>
      </c>
      <c r="BA9" s="30" t="str">
        <f t="shared" si="11"/>
        <v>-</v>
      </c>
      <c r="BC9" s="18" t="str">
        <f t="shared" si="19"/>
        <v>-</v>
      </c>
      <c r="BD9" s="18" t="str">
        <f t="shared" si="12"/>
        <v>-</v>
      </c>
      <c r="BE9" s="18" t="str">
        <f t="shared" si="13"/>
        <v>-</v>
      </c>
      <c r="BG9" s="54" t="str">
        <f t="shared" si="14"/>
        <v>-</v>
      </c>
      <c r="BH9" s="54" t="str">
        <f t="shared" si="15"/>
        <v>-</v>
      </c>
      <c r="BI9" s="54" t="str">
        <f t="shared" si="16"/>
        <v>-</v>
      </c>
      <c r="BJ9" s="54" t="str">
        <f t="shared" si="17"/>
        <v>-</v>
      </c>
      <c r="BK9" s="58"/>
    </row>
    <row r="10" spans="1:63" x14ac:dyDescent="0.25">
      <c r="A10" t="s">
        <v>212</v>
      </c>
      <c r="B10" s="62">
        <f>SUMIFS(Areas!J:J,Areas!$A:$A,Rios!$A10)</f>
        <v>41</v>
      </c>
      <c r="C10" s="62">
        <f>SUMIFS(Areas!K:K,Areas!$A:$A,Rios!$A10)</f>
        <v>3</v>
      </c>
      <c r="D10" s="62">
        <f>SUMIFS(Areas!L:L,Areas!$A:$A,Rios!$A10)</f>
        <v>38</v>
      </c>
      <c r="E10" s="62">
        <f>SUMIFS(Areas!M:M,Areas!$A:$A,Rios!$A10)</f>
        <v>21</v>
      </c>
      <c r="F10" s="40" t="str">
        <f>IF($A10&lt;&gt;"",VLOOKUP(Rios!$A10,Areas!$A:$I,F$2,FALSE),"-")</f>
        <v>3184-PLC-002</v>
      </c>
      <c r="G10" t="str">
        <f>IF($A10&lt;&gt;"",VLOOKUP(Rios!$A10,Areas!$A:$I,G$2,FALSE),"-")</f>
        <v>Primary Mill</v>
      </c>
      <c r="H10" s="40" t="str">
        <f>IF($A10&lt;&gt;"",VLOOKUP(Rios!$A10,Areas!$A:$I,H$2,FALSE),"-")</f>
        <v>RHS</v>
      </c>
      <c r="J10" s="48">
        <v>2</v>
      </c>
      <c r="L10" s="54">
        <f t="shared" si="0"/>
        <v>21</v>
      </c>
      <c r="M10" s="54">
        <f t="shared" si="1"/>
        <v>2</v>
      </c>
      <c r="N10" s="54">
        <f t="shared" si="2"/>
        <v>19</v>
      </c>
      <c r="O10" s="54">
        <f t="shared" si="3"/>
        <v>11</v>
      </c>
      <c r="Q10" s="54">
        <f>IF($J10&gt;0,ROUNDUP((L10*Constraints!$D$3/$J10/100)+L10,0),"-")</f>
        <v>23</v>
      </c>
      <c r="R10" s="54">
        <f>IF($J10&gt;0,ROUNDUP((M10*Constraints!$D$3/$J10/100)+M10,0),"-")</f>
        <v>3</v>
      </c>
      <c r="S10" s="54">
        <f>IF($J10&gt;0,ROUNDUP((N10*Constraints!$D$3/$J10/100)+N10,0),"-")</f>
        <v>21</v>
      </c>
      <c r="T10" s="54">
        <f>IF($J10&gt;0,ROUNDUP((O10*Constraints!$D$3/$J10/100)+O10,0),"-")</f>
        <v>12</v>
      </c>
      <c r="V10" s="54">
        <f>IF($J10&gt;0,ROUNDUP((Q10*Constraints!$D$4/$J10/100)+Q10,0),"-")</f>
        <v>26</v>
      </c>
      <c r="W10" s="54">
        <f>IF($J10&gt;0,ROUNDUP((R10*Constraints!$D$4/$J10/100)+R10,0),"-")</f>
        <v>4</v>
      </c>
      <c r="X10" s="54">
        <f>IF($J10&gt;0,ROUNDUP((S10*Constraints!$D$4/$J10/100)+S10,0),"-")</f>
        <v>24</v>
      </c>
      <c r="Y10" s="54">
        <f>IF($J10&gt;0,ROUNDUP((T10*Constraints!$D$4/$J10/100)+T10,0),"-")</f>
        <v>14</v>
      </c>
      <c r="AA10" s="25">
        <f t="shared" si="20"/>
        <v>68</v>
      </c>
      <c r="AB10" s="110" t="str">
        <f>IF(AA10&gt;Constraints!$D$5,Rios!AA10-Constraints!$D$5,"-")</f>
        <v>-</v>
      </c>
      <c r="AD10" s="30">
        <f t="shared" si="4"/>
        <v>4</v>
      </c>
      <c r="AE10" s="30">
        <f t="shared" si="5"/>
        <v>1</v>
      </c>
      <c r="AF10" s="30">
        <f t="shared" si="6"/>
        <v>2</v>
      </c>
      <c r="AG10" s="30">
        <f t="shared" si="7"/>
        <v>1</v>
      </c>
      <c r="AI10" s="25">
        <f t="shared" si="18"/>
        <v>8</v>
      </c>
      <c r="AJ10" s="110" t="str">
        <f>IF(AI10&gt;Constraints!$D$6,Rios!AI10-Constraints!$D$6,"-")</f>
        <v>-</v>
      </c>
      <c r="AL10" s="25">
        <f>IF(AM10&lt;&gt;"",VLOOKUP(AM10,Constraints!I:J,2,FALSE),"")</f>
        <v>1</v>
      </c>
      <c r="AM10" s="105" t="s">
        <v>297</v>
      </c>
      <c r="AN10" s="30">
        <f>IF($AL10&lt;&gt;"",VLOOKUP($AL10,Constraints!$H:$V,4,FALSE),"-")</f>
        <v>4</v>
      </c>
      <c r="AO10" s="30">
        <f>IF($AL10&lt;&gt;"",VLOOKUP($AL10,Constraints!$H:$V,7,FALSE),"-")</f>
        <v>2</v>
      </c>
      <c r="AP10" s="30">
        <f>IF($AL10&lt;&gt;"",VLOOKUP($AL10,Constraints!$H:$V,10,FALSE),"-")</f>
        <v>4</v>
      </c>
      <c r="AQ10" s="30">
        <f>IF($AL10&lt;&gt;"",VLOOKUP($AL10,Constraints!$H:$V,13,FALSE),"-")</f>
        <v>2</v>
      </c>
      <c r="AS10" s="54">
        <f>IF($AL10&lt;&gt;"",VLOOKUP($AL10,Constraints!$H:$AG,23,FALSE),"-")</f>
        <v>32</v>
      </c>
      <c r="AT10" s="54">
        <f>IF($AL10&lt;&gt;"",VLOOKUP($AL10,Constraints!$H:$AG,24,FALSE),"-")</f>
        <v>8</v>
      </c>
      <c r="AU10" s="54">
        <f>IF($AL10&lt;&gt;"",VLOOKUP($AL10,Constraints!$H:$AG,25,FALSE),"-")</f>
        <v>64</v>
      </c>
      <c r="AV10" s="54">
        <f>IF($AL10&lt;&gt;"",VLOOKUP($AL10,Constraints!$H:$AG,26,FALSE),"-")</f>
        <v>32</v>
      </c>
      <c r="AX10" s="30" t="str">
        <f t="shared" si="8"/>
        <v>-</v>
      </c>
      <c r="AY10" s="30" t="str">
        <f t="shared" si="9"/>
        <v>-</v>
      </c>
      <c r="AZ10" s="30" t="str">
        <f t="shared" si="10"/>
        <v>-</v>
      </c>
      <c r="BA10" s="30" t="str">
        <f t="shared" si="11"/>
        <v>-</v>
      </c>
      <c r="BC10" s="18" t="str">
        <f t="shared" si="19"/>
        <v>-</v>
      </c>
      <c r="BD10" s="18" t="str">
        <f t="shared" si="12"/>
        <v>-</v>
      </c>
      <c r="BE10" s="18" t="str">
        <f t="shared" si="13"/>
        <v>-</v>
      </c>
      <c r="BG10" s="54" t="str">
        <f t="shared" si="14"/>
        <v>-</v>
      </c>
      <c r="BH10" s="54" t="str">
        <f t="shared" si="15"/>
        <v>-</v>
      </c>
      <c r="BI10" s="54" t="str">
        <f t="shared" si="16"/>
        <v>-</v>
      </c>
      <c r="BJ10" s="54" t="str">
        <f t="shared" si="17"/>
        <v>-</v>
      </c>
      <c r="BK10" s="58"/>
    </row>
    <row r="11" spans="1:63" x14ac:dyDescent="0.25">
      <c r="A11" t="s">
        <v>144</v>
      </c>
      <c r="B11" s="62">
        <f>SUMIFS(Areas!J:J,Areas!$A:$A,Rios!$A11)</f>
        <v>1</v>
      </c>
      <c r="C11" s="62">
        <f>SUMIFS(Areas!K:K,Areas!$A:$A,Rios!$A11)</f>
        <v>0</v>
      </c>
      <c r="D11" s="62">
        <f>SUMIFS(Areas!L:L,Areas!$A:$A,Rios!$A11)</f>
        <v>44</v>
      </c>
      <c r="E11" s="62">
        <f>SUMIFS(Areas!M:M,Areas!$A:$A,Rios!$A11)</f>
        <v>42</v>
      </c>
      <c r="F11" s="40" t="str">
        <f>IF($A11&lt;&gt;"",VLOOKUP(Rios!$A11,Areas!$A:$I,F$2,FALSE),"-")</f>
        <v>3184-PLC-003</v>
      </c>
      <c r="G11" t="str">
        <f>IF($A11&lt;&gt;"",VLOOKUP(Rios!$A11,Areas!$A:$I,G$2,FALSE),"-")</f>
        <v>Regrind Milling</v>
      </c>
      <c r="H11" s="40" t="str">
        <f>IF($A11&lt;&gt;"",VLOOKUP(Rios!$A11,Areas!$A:$I,H$2,FALSE),"-")</f>
        <v>Cyclones</v>
      </c>
      <c r="J11" s="48">
        <v>1</v>
      </c>
      <c r="L11" s="54">
        <f t="shared" si="0"/>
        <v>1</v>
      </c>
      <c r="M11" s="54">
        <f t="shared" si="1"/>
        <v>0</v>
      </c>
      <c r="N11" s="54">
        <f t="shared" si="2"/>
        <v>44</v>
      </c>
      <c r="O11" s="54">
        <f t="shared" si="3"/>
        <v>42</v>
      </c>
      <c r="Q11" s="54">
        <f>IF($J11&gt;0,ROUNDUP((L11*Constraints!$D$3/$J11/100)+L11,0),"-")</f>
        <v>2</v>
      </c>
      <c r="R11" s="54">
        <f>IF($J11&gt;0,ROUNDUP((M11*Constraints!$D$3/$J11/100)+M11,0),"-")</f>
        <v>0</v>
      </c>
      <c r="S11" s="54">
        <f>IF($J11&gt;0,ROUNDUP((N11*Constraints!$D$3/$J11/100)+N11,0),"-")</f>
        <v>51</v>
      </c>
      <c r="T11" s="54">
        <f>IF($J11&gt;0,ROUNDUP((O11*Constraints!$D$3/$J11/100)+O11,0),"-")</f>
        <v>49</v>
      </c>
      <c r="V11" s="54">
        <f>IF($J11&gt;0,ROUNDUP((Q11*Constraints!$D$4/$J11/100)+Q11,0),"-")</f>
        <v>3</v>
      </c>
      <c r="W11" s="54">
        <f>IF($J11&gt;0,ROUNDUP((R11*Constraints!$D$4/$J11/100)+R11,0),"-")</f>
        <v>0</v>
      </c>
      <c r="X11" s="54">
        <f>IF($J11&gt;0,ROUNDUP((S11*Constraints!$D$4/$J11/100)+S11,0),"-")</f>
        <v>62</v>
      </c>
      <c r="Y11" s="54">
        <f>IF($J11&gt;0,ROUNDUP((T11*Constraints!$D$4/$J11/100)+T11,0),"-")</f>
        <v>59</v>
      </c>
      <c r="AA11" s="25">
        <f t="shared" si="20"/>
        <v>124</v>
      </c>
      <c r="AB11" s="110">
        <f>IF(AA11&gt;Constraints!$D$5,Rios!AA11-Constraints!$D$5,"-")</f>
        <v>4</v>
      </c>
      <c r="AD11" s="30">
        <f t="shared" si="4"/>
        <v>1</v>
      </c>
      <c r="AE11" s="30">
        <f t="shared" si="5"/>
        <v>0</v>
      </c>
      <c r="AF11" s="30">
        <f t="shared" si="6"/>
        <v>4</v>
      </c>
      <c r="AG11" s="30">
        <f t="shared" si="7"/>
        <v>4</v>
      </c>
      <c r="AI11" s="25">
        <f t="shared" si="18"/>
        <v>9</v>
      </c>
      <c r="AJ11" s="110" t="str">
        <f>IF(AI11&gt;Constraints!$D$6,Rios!AI11-Constraints!$D$6,"-")</f>
        <v>-</v>
      </c>
      <c r="AL11" s="25">
        <f>IF(AM11&lt;&gt;"",VLOOKUP(AM11,Constraints!I:J,2,FALSE),"")</f>
        <v>3</v>
      </c>
      <c r="AM11" s="105" t="s">
        <v>329</v>
      </c>
      <c r="AN11" s="30">
        <f>IF($AL11&lt;&gt;"",VLOOKUP($AL11,Constraints!$H:$V,4,FALSE),"-")</f>
        <v>1</v>
      </c>
      <c r="AO11" s="30">
        <f>IF($AL11&lt;&gt;"",VLOOKUP($AL11,Constraints!$H:$V,7,FALSE),"-")</f>
        <v>1</v>
      </c>
      <c r="AP11" s="30">
        <f>IF($AL11&lt;&gt;"",VLOOKUP($AL11,Constraints!$H:$V,10,FALSE),"-")</f>
        <v>5</v>
      </c>
      <c r="AQ11" s="30">
        <f>IF($AL11&lt;&gt;"",VLOOKUP($AL11,Constraints!$H:$V,13,FALSE),"-")</f>
        <v>5</v>
      </c>
      <c r="AS11" s="54">
        <f>IF($AL11&lt;&gt;"",VLOOKUP($AL11,Constraints!$H:$AG,23,FALSE),"-")</f>
        <v>8</v>
      </c>
      <c r="AT11" s="54">
        <f>IF($AL11&lt;&gt;"",VLOOKUP($AL11,Constraints!$H:$AG,24,FALSE),"-")</f>
        <v>4</v>
      </c>
      <c r="AU11" s="54">
        <f>IF($AL11&lt;&gt;"",VLOOKUP($AL11,Constraints!$H:$AG,25,FALSE),"-")</f>
        <v>80</v>
      </c>
      <c r="AV11" s="54">
        <f>IF($AL11&lt;&gt;"",VLOOKUP($AL11,Constraints!$H:$AG,26,FALSE),"-")</f>
        <v>80</v>
      </c>
      <c r="AX11" s="30" t="str">
        <f t="shared" si="8"/>
        <v>-</v>
      </c>
      <c r="AY11" s="30" t="str">
        <f t="shared" si="9"/>
        <v>-</v>
      </c>
      <c r="AZ11" s="30" t="str">
        <f t="shared" si="10"/>
        <v>-</v>
      </c>
      <c r="BA11" s="30" t="str">
        <f t="shared" si="11"/>
        <v>-</v>
      </c>
      <c r="BC11" s="18" t="str">
        <f t="shared" si="19"/>
        <v>-</v>
      </c>
      <c r="BD11" s="18" t="str">
        <f t="shared" si="12"/>
        <v>X</v>
      </c>
      <c r="BE11" s="18" t="str">
        <f t="shared" si="13"/>
        <v>-</v>
      </c>
      <c r="BG11" s="54" t="str">
        <f t="shared" si="14"/>
        <v>-</v>
      </c>
      <c r="BH11" s="54" t="str">
        <f t="shared" si="15"/>
        <v>-</v>
      </c>
      <c r="BI11" s="54" t="str">
        <f t="shared" si="16"/>
        <v>-</v>
      </c>
      <c r="BJ11" s="54" t="str">
        <f t="shared" si="17"/>
        <v>-</v>
      </c>
      <c r="BK11" s="58"/>
    </row>
    <row r="12" spans="1:63" x14ac:dyDescent="0.25">
      <c r="A12" t="s">
        <v>326</v>
      </c>
      <c r="B12" s="62">
        <f>SUMIFS(Areas!J:J,Areas!$A:$A,Rios!$A12)</f>
        <v>0</v>
      </c>
      <c r="C12" s="62">
        <f>SUMIFS(Areas!K:K,Areas!$A:$A,Rios!$A12)</f>
        <v>0</v>
      </c>
      <c r="D12" s="62">
        <f>SUMIFS(Areas!L:L,Areas!$A:$A,Rios!$A12)</f>
        <v>38</v>
      </c>
      <c r="E12" s="62">
        <f>SUMIFS(Areas!M:M,Areas!$A:$A,Rios!$A12)</f>
        <v>22</v>
      </c>
      <c r="F12" s="40" t="str">
        <f>IF($A12&lt;&gt;"",VLOOKUP(Rios!$A12,Areas!$A:$I,F$2,FALSE),"-")</f>
        <v>3184-PLC-003</v>
      </c>
      <c r="G12" t="str">
        <f>IF($A12&lt;&gt;"",VLOOKUP(Rios!$A12,Areas!$A:$I,G$2,FALSE),"-")</f>
        <v>Regrind Milling</v>
      </c>
      <c r="H12" s="40" t="str">
        <f>IF($A12&lt;&gt;"",VLOOKUP(Rios!$A12,Areas!$A:$I,H$2,FALSE),"-")</f>
        <v>Cyclones</v>
      </c>
      <c r="J12" s="48">
        <v>1</v>
      </c>
      <c r="L12" s="54">
        <f t="shared" si="0"/>
        <v>0</v>
      </c>
      <c r="M12" s="54">
        <f t="shared" si="1"/>
        <v>0</v>
      </c>
      <c r="N12" s="54">
        <f t="shared" si="2"/>
        <v>38</v>
      </c>
      <c r="O12" s="54">
        <f t="shared" si="3"/>
        <v>22</v>
      </c>
      <c r="Q12" s="54">
        <f>IF($J12&gt;0,ROUNDUP((L12*Constraints!$D$3/$J12/100)+L12,0),"-")</f>
        <v>0</v>
      </c>
      <c r="R12" s="54">
        <f>IF($J12&gt;0,ROUNDUP((M12*Constraints!$D$3/$J12/100)+M12,0),"-")</f>
        <v>0</v>
      </c>
      <c r="S12" s="54">
        <f>IF($J12&gt;0,ROUNDUP((N12*Constraints!$D$3/$J12/100)+N12,0),"-")</f>
        <v>44</v>
      </c>
      <c r="T12" s="54">
        <f>IF($J12&gt;0,ROUNDUP((O12*Constraints!$D$3/$J12/100)+O12,0),"-")</f>
        <v>26</v>
      </c>
      <c r="V12" s="54">
        <f>IF($J12&gt;0,ROUNDUP((Q12*Constraints!$D$4/$J12/100)+Q12,0),"-")</f>
        <v>0</v>
      </c>
      <c r="W12" s="54">
        <f>IF($J12&gt;0,ROUNDUP((R12*Constraints!$D$4/$J12/100)+R12,0),"-")</f>
        <v>0</v>
      </c>
      <c r="X12" s="54">
        <f>IF($J12&gt;0,ROUNDUP((S12*Constraints!$D$4/$J12/100)+S12,0),"-")</f>
        <v>53</v>
      </c>
      <c r="Y12" s="54">
        <f>IF($J12&gt;0,ROUNDUP((T12*Constraints!$D$4/$J12/100)+T12,0),"-")</f>
        <v>32</v>
      </c>
      <c r="AA12" s="25">
        <f t="shared" si="20"/>
        <v>85</v>
      </c>
      <c r="AB12" s="110" t="str">
        <f>IF(AA12&gt;Constraints!$D$5,Rios!AA12-Constraints!$D$5,"-")</f>
        <v>-</v>
      </c>
      <c r="AD12" s="30">
        <f t="shared" si="4"/>
        <v>0</v>
      </c>
      <c r="AE12" s="30">
        <f t="shared" si="5"/>
        <v>0</v>
      </c>
      <c r="AF12" s="30">
        <f t="shared" si="6"/>
        <v>4</v>
      </c>
      <c r="AG12" s="30">
        <f t="shared" si="7"/>
        <v>2</v>
      </c>
      <c r="AI12" s="25">
        <f t="shared" si="18"/>
        <v>6</v>
      </c>
      <c r="AJ12" s="110" t="str">
        <f>IF(AI12&gt;Constraints!$D$6,Rios!AI12-Constraints!$D$6,"-")</f>
        <v>-</v>
      </c>
      <c r="AL12" s="25">
        <f>IF(AM12&lt;&gt;"",VLOOKUP(AM12,Constraints!I:J,2,FALSE),"")</f>
        <v>3</v>
      </c>
      <c r="AM12" s="105" t="s">
        <v>329</v>
      </c>
      <c r="AN12" s="30">
        <f>IF($AL12&lt;&gt;"",VLOOKUP($AL12,Constraints!$H:$V,4,FALSE),"-")</f>
        <v>1</v>
      </c>
      <c r="AO12" s="30">
        <f>IF($AL12&lt;&gt;"",VLOOKUP($AL12,Constraints!$H:$V,7,FALSE),"-")</f>
        <v>1</v>
      </c>
      <c r="AP12" s="30">
        <f>IF($AL12&lt;&gt;"",VLOOKUP($AL12,Constraints!$H:$V,10,FALSE),"-")</f>
        <v>5</v>
      </c>
      <c r="AQ12" s="30">
        <f>IF($AL12&lt;&gt;"",VLOOKUP($AL12,Constraints!$H:$V,13,FALSE),"-")</f>
        <v>5</v>
      </c>
      <c r="AS12" s="54">
        <f>IF($AL12&lt;&gt;"",VLOOKUP($AL12,Constraints!$H:$AG,23,FALSE),"-")</f>
        <v>8</v>
      </c>
      <c r="AT12" s="54">
        <f>IF($AL12&lt;&gt;"",VLOOKUP($AL12,Constraints!$H:$AG,24,FALSE),"-")</f>
        <v>4</v>
      </c>
      <c r="AU12" s="54">
        <f>IF($AL12&lt;&gt;"",VLOOKUP($AL12,Constraints!$H:$AG,25,FALSE),"-")</f>
        <v>80</v>
      </c>
      <c r="AV12" s="54">
        <f>IF($AL12&lt;&gt;"",VLOOKUP($AL12,Constraints!$H:$AG,26,FALSE),"-")</f>
        <v>80</v>
      </c>
      <c r="AX12" s="30" t="str">
        <f t="shared" si="8"/>
        <v>-</v>
      </c>
      <c r="AY12" s="30" t="str">
        <f t="shared" si="9"/>
        <v>-</v>
      </c>
      <c r="AZ12" s="30" t="str">
        <f t="shared" si="10"/>
        <v>-</v>
      </c>
      <c r="BA12" s="30" t="str">
        <f t="shared" si="11"/>
        <v>-</v>
      </c>
      <c r="BC12" s="18" t="str">
        <f t="shared" si="19"/>
        <v>-</v>
      </c>
      <c r="BD12" s="18" t="str">
        <f t="shared" si="12"/>
        <v>-</v>
      </c>
      <c r="BE12" s="18" t="str">
        <f t="shared" si="13"/>
        <v>-</v>
      </c>
      <c r="BG12" s="54" t="str">
        <f t="shared" si="14"/>
        <v>-</v>
      </c>
      <c r="BH12" s="54" t="str">
        <f t="shared" si="15"/>
        <v>-</v>
      </c>
      <c r="BI12" s="54" t="str">
        <f t="shared" si="16"/>
        <v>-</v>
      </c>
      <c r="BJ12" s="54" t="str">
        <f t="shared" si="17"/>
        <v>-</v>
      </c>
      <c r="BK12" s="58"/>
    </row>
    <row r="13" spans="1:63" x14ac:dyDescent="0.25">
      <c r="A13" t="s">
        <v>327</v>
      </c>
      <c r="B13" s="62">
        <f>SUMIFS(Areas!J:J,Areas!$A:$A,Rios!$A13)</f>
        <v>22</v>
      </c>
      <c r="C13" s="62">
        <f>SUMIFS(Areas!K:K,Areas!$A:$A,Rios!$A13)</f>
        <v>0</v>
      </c>
      <c r="D13" s="62">
        <f>SUMIFS(Areas!L:L,Areas!$A:$A,Rios!$A13)</f>
        <v>36</v>
      </c>
      <c r="E13" s="62">
        <f>SUMIFS(Areas!M:M,Areas!$A:$A,Rios!$A13)</f>
        <v>17</v>
      </c>
      <c r="F13" s="40" t="str">
        <f>IF($A13&lt;&gt;"",VLOOKUP(Rios!$A13,Areas!$A:$I,F$2,FALSE),"-")</f>
        <v>3184-PLC-003</v>
      </c>
      <c r="G13" t="str">
        <f>IF($A13&lt;&gt;"",VLOOKUP(Rios!$A13,Areas!$A:$I,G$2,FALSE),"-")</f>
        <v>Regrind Milling</v>
      </c>
      <c r="H13" s="40" t="str">
        <f>IF($A13&lt;&gt;"",VLOOKUP(Rios!$A13,Areas!$A:$I,H$2,FALSE),"-")</f>
        <v>Regrind Mill</v>
      </c>
      <c r="J13" s="48">
        <v>2</v>
      </c>
      <c r="L13" s="54">
        <f t="shared" si="0"/>
        <v>11</v>
      </c>
      <c r="M13" s="54">
        <f t="shared" si="1"/>
        <v>0</v>
      </c>
      <c r="N13" s="54">
        <f t="shared" si="2"/>
        <v>18</v>
      </c>
      <c r="O13" s="54">
        <f t="shared" si="3"/>
        <v>9</v>
      </c>
      <c r="Q13" s="54">
        <f>IF($J13&gt;0,ROUNDUP((L13*Constraints!$D$3/$J13/100)+L13,0),"-")</f>
        <v>12</v>
      </c>
      <c r="R13" s="54">
        <f>IF($J13&gt;0,ROUNDUP((M13*Constraints!$D$3/$J13/100)+M13,0),"-")</f>
        <v>0</v>
      </c>
      <c r="S13" s="54">
        <f>IF($J13&gt;0,ROUNDUP((N13*Constraints!$D$3/$J13/100)+N13,0),"-")</f>
        <v>20</v>
      </c>
      <c r="T13" s="54">
        <f>IF($J13&gt;0,ROUNDUP((O13*Constraints!$D$3/$J13/100)+O13,0),"-")</f>
        <v>10</v>
      </c>
      <c r="V13" s="54">
        <f>IF($J13&gt;0,ROUNDUP((Q13*Constraints!$D$4/$J13/100)+Q13,0),"-")</f>
        <v>14</v>
      </c>
      <c r="W13" s="54">
        <f>IF($J13&gt;0,ROUNDUP((R13*Constraints!$D$4/$J13/100)+R13,0),"-")</f>
        <v>0</v>
      </c>
      <c r="X13" s="54">
        <f>IF($J13&gt;0,ROUNDUP((S13*Constraints!$D$4/$J13/100)+S13,0),"-")</f>
        <v>22</v>
      </c>
      <c r="Y13" s="54">
        <f>IF($J13&gt;0,ROUNDUP((T13*Constraints!$D$4/$J13/100)+T13,0),"-")</f>
        <v>11</v>
      </c>
      <c r="AA13" s="25">
        <f t="shared" si="20"/>
        <v>47</v>
      </c>
      <c r="AB13" s="110" t="str">
        <f>IF(AA13&gt;Constraints!$D$5,Rios!AA13-Constraints!$D$5,"-")</f>
        <v>-</v>
      </c>
      <c r="AD13" s="30">
        <f t="shared" si="4"/>
        <v>2</v>
      </c>
      <c r="AE13" s="30">
        <f t="shared" si="5"/>
        <v>0</v>
      </c>
      <c r="AF13" s="30">
        <f t="shared" si="6"/>
        <v>2</v>
      </c>
      <c r="AG13" s="30">
        <f t="shared" si="7"/>
        <v>1</v>
      </c>
      <c r="AI13" s="25">
        <f t="shared" si="18"/>
        <v>5</v>
      </c>
      <c r="AJ13" s="110" t="str">
        <f>IF(AI13&gt;Constraints!$D$6,Rios!AI13-Constraints!$D$6,"-")</f>
        <v>-</v>
      </c>
      <c r="AL13" s="25">
        <f>IF(AM13&lt;&gt;"",VLOOKUP(AM13,Constraints!I:J,2,FALSE),"")</f>
        <v>2</v>
      </c>
      <c r="AM13" s="105" t="s">
        <v>421</v>
      </c>
      <c r="AN13" s="30">
        <f>IF($AL13&lt;&gt;"",VLOOKUP($AL13,Constraints!$H:$V,4,FALSE),"-")</f>
        <v>2</v>
      </c>
      <c r="AO13" s="30">
        <f>IF($AL13&lt;&gt;"",VLOOKUP($AL13,Constraints!$H:$V,7,FALSE),"-")</f>
        <v>1</v>
      </c>
      <c r="AP13" s="30">
        <f>IF($AL13&lt;&gt;"",VLOOKUP($AL13,Constraints!$H:$V,10,FALSE),"-")</f>
        <v>2</v>
      </c>
      <c r="AQ13" s="30">
        <f>IF($AL13&lt;&gt;"",VLOOKUP($AL13,Constraints!$H:$V,13,FALSE),"-")</f>
        <v>1</v>
      </c>
      <c r="AS13" s="54">
        <f>IF($AL13&lt;&gt;"",VLOOKUP($AL13,Constraints!$H:$AG,23,FALSE),"-")</f>
        <v>16</v>
      </c>
      <c r="AT13" s="54">
        <f>IF($AL13&lt;&gt;"",VLOOKUP($AL13,Constraints!$H:$AG,24,FALSE),"-")</f>
        <v>4</v>
      </c>
      <c r="AU13" s="54">
        <f>IF($AL13&lt;&gt;"",VLOOKUP($AL13,Constraints!$H:$AG,25,FALSE),"-")</f>
        <v>32</v>
      </c>
      <c r="AV13" s="54">
        <f>IF($AL13&lt;&gt;"",VLOOKUP($AL13,Constraints!$H:$AG,26,FALSE),"-")</f>
        <v>16</v>
      </c>
      <c r="AX13" s="30" t="str">
        <f t="shared" si="8"/>
        <v>-</v>
      </c>
      <c r="AY13" s="30" t="str">
        <f t="shared" si="9"/>
        <v>-</v>
      </c>
      <c r="AZ13" s="30" t="str">
        <f t="shared" si="10"/>
        <v>-</v>
      </c>
      <c r="BA13" s="30" t="str">
        <f t="shared" si="11"/>
        <v>-</v>
      </c>
      <c r="BC13" s="18" t="str">
        <f>IF(SUM(AX13:BA13)&lt;0,"X","-")</f>
        <v>-</v>
      </c>
      <c r="BD13" s="18" t="str">
        <f t="shared" si="12"/>
        <v>-</v>
      </c>
      <c r="BE13" s="18" t="str">
        <f t="shared" si="13"/>
        <v>-</v>
      </c>
      <c r="BG13" s="54" t="str">
        <f t="shared" si="14"/>
        <v>-</v>
      </c>
      <c r="BH13" s="54" t="str">
        <f t="shared" si="15"/>
        <v>-</v>
      </c>
      <c r="BI13" s="54" t="str">
        <f t="shared" si="16"/>
        <v>-</v>
      </c>
      <c r="BJ13" s="54" t="str">
        <f t="shared" si="17"/>
        <v>-</v>
      </c>
      <c r="BK13" s="58" t="s">
        <v>332</v>
      </c>
    </row>
    <row r="14" spans="1:63" x14ac:dyDescent="0.25">
      <c r="A14" t="s">
        <v>328</v>
      </c>
      <c r="B14" s="62">
        <f>SUMIFS(Areas!J:J,Areas!$A:$A,Rios!$A14)</f>
        <v>12</v>
      </c>
      <c r="C14" s="62">
        <f>SUMIFS(Areas!K:K,Areas!$A:$A,Rios!$A14)</f>
        <v>2</v>
      </c>
      <c r="D14" s="62">
        <f>SUMIFS(Areas!L:L,Areas!$A:$A,Rios!$A14)</f>
        <v>32</v>
      </c>
      <c r="E14" s="62">
        <f>SUMIFS(Areas!M:M,Areas!$A:$A,Rios!$A14)</f>
        <v>20</v>
      </c>
      <c r="F14" s="40" t="str">
        <f>IF($A14&lt;&gt;"",VLOOKUP(Rios!$A14,Areas!$A:$I,F$2,FALSE),"-")</f>
        <v>3184-PLC-003</v>
      </c>
      <c r="G14" t="str">
        <f>IF($A14&lt;&gt;"",VLOOKUP(Rios!$A14,Areas!$A:$I,G$2,FALSE),"-")</f>
        <v>Regrind Milling</v>
      </c>
      <c r="H14" s="40" t="str">
        <f>IF($A14&lt;&gt;"",VLOOKUP(Rios!$A14,Areas!$A:$I,H$2,FALSE),"-")</f>
        <v>Regrind Mill</v>
      </c>
      <c r="J14" s="48">
        <v>2</v>
      </c>
      <c r="L14" s="54">
        <f t="shared" si="0"/>
        <v>6</v>
      </c>
      <c r="M14" s="54">
        <f t="shared" si="1"/>
        <v>1</v>
      </c>
      <c r="N14" s="54">
        <f t="shared" si="2"/>
        <v>16</v>
      </c>
      <c r="O14" s="54">
        <f t="shared" si="3"/>
        <v>10</v>
      </c>
      <c r="Q14" s="54">
        <f>IF($J14&gt;0,ROUNDUP((L14*Constraints!$D$3/$J14/100)+L14,0),"-")</f>
        <v>7</v>
      </c>
      <c r="R14" s="54">
        <f>IF($J14&gt;0,ROUNDUP((M14*Constraints!$D$3/$J14/100)+M14,0),"-")</f>
        <v>2</v>
      </c>
      <c r="S14" s="54">
        <f>IF($J14&gt;0,ROUNDUP((N14*Constraints!$D$3/$J14/100)+N14,0),"-")</f>
        <v>18</v>
      </c>
      <c r="T14" s="54">
        <f>IF($J14&gt;0,ROUNDUP((O14*Constraints!$D$3/$J14/100)+O14,0),"-")</f>
        <v>11</v>
      </c>
      <c r="V14" s="54">
        <f>IF($J14&gt;0,ROUNDUP((Q14*Constraints!$D$4/$J14/100)+Q14,0),"-")</f>
        <v>8</v>
      </c>
      <c r="W14" s="54">
        <f>IF($J14&gt;0,ROUNDUP((R14*Constraints!$D$4/$J14/100)+R14,0),"-")</f>
        <v>3</v>
      </c>
      <c r="X14" s="54">
        <f>IF($J14&gt;0,ROUNDUP((S14*Constraints!$D$4/$J14/100)+S14,0),"-")</f>
        <v>20</v>
      </c>
      <c r="Y14" s="54">
        <f>IF($J14&gt;0,ROUNDUP((T14*Constraints!$D$4/$J14/100)+T14,0),"-")</f>
        <v>13</v>
      </c>
      <c r="AA14" s="25">
        <f t="shared" si="20"/>
        <v>44</v>
      </c>
      <c r="AB14" s="110" t="str">
        <f>IF(AA14&gt;Constraints!$D$5,Rios!AA14-Constraints!$D$5,"-")</f>
        <v>-</v>
      </c>
      <c r="AD14" s="30">
        <f t="shared" si="4"/>
        <v>1</v>
      </c>
      <c r="AE14" s="30">
        <f t="shared" si="5"/>
        <v>1</v>
      </c>
      <c r="AF14" s="30">
        <f t="shared" si="6"/>
        <v>2</v>
      </c>
      <c r="AG14" s="30">
        <f t="shared" si="7"/>
        <v>1</v>
      </c>
      <c r="AI14" s="25">
        <f t="shared" si="18"/>
        <v>5</v>
      </c>
      <c r="AJ14" s="110" t="str">
        <f>IF(AI14&gt;Constraints!$D$6,Rios!AI14-Constraints!$D$6,"-")</f>
        <v>-</v>
      </c>
      <c r="AL14" s="25">
        <f>IF(AM14&lt;&gt;"",VLOOKUP(AM14,Constraints!I:J,2,FALSE),"")</f>
        <v>2</v>
      </c>
      <c r="AM14" s="105" t="s">
        <v>421</v>
      </c>
      <c r="AN14" s="30">
        <f>IF($AL14&lt;&gt;"",VLOOKUP($AL14,Constraints!$H:$V,4,FALSE),"-")</f>
        <v>2</v>
      </c>
      <c r="AO14" s="30">
        <f>IF($AL14&lt;&gt;"",VLOOKUP($AL14,Constraints!$H:$V,7,FALSE),"-")</f>
        <v>1</v>
      </c>
      <c r="AP14" s="30">
        <f>IF($AL14&lt;&gt;"",VLOOKUP($AL14,Constraints!$H:$V,10,FALSE),"-")</f>
        <v>2</v>
      </c>
      <c r="AQ14" s="30">
        <f>IF($AL14&lt;&gt;"",VLOOKUP($AL14,Constraints!$H:$V,13,FALSE),"-")</f>
        <v>1</v>
      </c>
      <c r="AS14" s="54">
        <f>IF($AL14&lt;&gt;"",VLOOKUP($AL14,Constraints!$H:$AG,23,FALSE),"-")</f>
        <v>16</v>
      </c>
      <c r="AT14" s="54">
        <f>IF($AL14&lt;&gt;"",VLOOKUP($AL14,Constraints!$H:$AG,24,FALSE),"-")</f>
        <v>4</v>
      </c>
      <c r="AU14" s="54">
        <f>IF($AL14&lt;&gt;"",VLOOKUP($AL14,Constraints!$H:$AG,25,FALSE),"-")</f>
        <v>32</v>
      </c>
      <c r="AV14" s="54">
        <f>IF($AL14&lt;&gt;"",VLOOKUP($AL14,Constraints!$H:$AG,26,FALSE),"-")</f>
        <v>16</v>
      </c>
      <c r="AX14" s="30" t="str">
        <f t="shared" si="8"/>
        <v>-</v>
      </c>
      <c r="AY14" s="30" t="str">
        <f t="shared" si="9"/>
        <v>-</v>
      </c>
      <c r="AZ14" s="30" t="str">
        <f t="shared" si="10"/>
        <v>-</v>
      </c>
      <c r="BA14" s="30" t="str">
        <f t="shared" si="11"/>
        <v>-</v>
      </c>
      <c r="BC14" s="18" t="str">
        <f t="shared" si="19"/>
        <v>-</v>
      </c>
      <c r="BD14" s="18" t="str">
        <f t="shared" si="12"/>
        <v>-</v>
      </c>
      <c r="BE14" s="18" t="str">
        <f t="shared" si="13"/>
        <v>-</v>
      </c>
      <c r="BG14" s="54" t="str">
        <f t="shared" si="14"/>
        <v>-</v>
      </c>
      <c r="BH14" s="54" t="str">
        <f t="shared" si="15"/>
        <v>-</v>
      </c>
      <c r="BI14" s="54" t="str">
        <f t="shared" si="16"/>
        <v>-</v>
      </c>
      <c r="BJ14" s="54" t="str">
        <f t="shared" si="17"/>
        <v>-</v>
      </c>
      <c r="BK14" s="58"/>
    </row>
    <row r="15" spans="1:63" x14ac:dyDescent="0.25">
      <c r="A15" t="s">
        <v>140</v>
      </c>
      <c r="B15" s="62">
        <f>SUMIFS(Areas!J:J,Areas!$A:$A,Rios!$A15)</f>
        <v>42</v>
      </c>
      <c r="C15" s="62">
        <f>SUMIFS(Areas!K:K,Areas!$A:$A,Rios!$A15)</f>
        <v>24</v>
      </c>
      <c r="D15" s="62">
        <f>SUMIFS(Areas!L:L,Areas!$A:$A,Rios!$A15)</f>
        <v>24</v>
      </c>
      <c r="E15" s="62">
        <f>SUMIFS(Areas!M:M,Areas!$A:$A,Rios!$A15)</f>
        <v>0</v>
      </c>
      <c r="F15" s="40" t="str">
        <f>IF($A15&lt;&gt;"",VLOOKUP(Rios!$A15,Areas!$A:$I,F$2,FALSE),"-")</f>
        <v>3184-PLC-003</v>
      </c>
      <c r="G15" t="str">
        <f>IF($A15&lt;&gt;"",VLOOKUP(Rios!$A15,Areas!$A:$I,G$2,FALSE),"-")</f>
        <v>Aeration/Rougher/HG Flotation</v>
      </c>
      <c r="H15" s="40" t="str">
        <f>IF($A15&lt;&gt;"",VLOOKUP(Rios!$A15,Areas!$A:$I,H$2,FALSE),"-")</f>
        <v>Aeration</v>
      </c>
      <c r="J15" s="48">
        <v>2</v>
      </c>
      <c r="L15" s="54">
        <f t="shared" si="0"/>
        <v>21</v>
      </c>
      <c r="M15" s="54">
        <f t="shared" si="1"/>
        <v>12</v>
      </c>
      <c r="N15" s="54">
        <f t="shared" si="2"/>
        <v>12</v>
      </c>
      <c r="O15" s="54">
        <f t="shared" si="3"/>
        <v>0</v>
      </c>
      <c r="Q15" s="54">
        <f>IF($J15&gt;0,ROUNDUP((L15*Constraints!$D$3/$J15/100)+L15,0),"-")</f>
        <v>23</v>
      </c>
      <c r="R15" s="54">
        <f>IF($J15&gt;0,ROUNDUP((M15*Constraints!$D$3/$J15/100)+M15,0),"-")</f>
        <v>13</v>
      </c>
      <c r="S15" s="54">
        <f>IF($J15&gt;0,ROUNDUP((N15*Constraints!$D$3/$J15/100)+N15,0),"-")</f>
        <v>13</v>
      </c>
      <c r="T15" s="54">
        <f>IF($J15&gt;0,ROUNDUP((O15*Constraints!$D$3/$J15/100)+O15,0),"-")</f>
        <v>0</v>
      </c>
      <c r="V15" s="54">
        <f>IF($J15&gt;0,ROUNDUP((Q15*Constraints!$D$4/$J15/100)+Q15,0),"-")</f>
        <v>26</v>
      </c>
      <c r="W15" s="54">
        <f>IF($J15&gt;0,ROUNDUP((R15*Constraints!$D$4/$J15/100)+R15,0),"-")</f>
        <v>15</v>
      </c>
      <c r="X15" s="54">
        <f>IF($J15&gt;0,ROUNDUP((S15*Constraints!$D$4/$J15/100)+S15,0),"-")</f>
        <v>15</v>
      </c>
      <c r="Y15" s="54">
        <f>IF($J15&gt;0,ROUNDUP((T15*Constraints!$D$4/$J15/100)+T15,0),"-")</f>
        <v>0</v>
      </c>
      <c r="AA15" s="25">
        <f t="shared" si="20"/>
        <v>56</v>
      </c>
      <c r="AB15" s="110" t="str">
        <f>IF(AA15&gt;Constraints!$D$5,Rios!AA15-Constraints!$D$5,"-")</f>
        <v>-</v>
      </c>
      <c r="AD15" s="30">
        <f t="shared" si="4"/>
        <v>4</v>
      </c>
      <c r="AE15" s="30">
        <f t="shared" si="5"/>
        <v>4</v>
      </c>
      <c r="AF15" s="30">
        <f t="shared" si="6"/>
        <v>1</v>
      </c>
      <c r="AG15" s="30">
        <f t="shared" si="7"/>
        <v>0</v>
      </c>
      <c r="AI15" s="25">
        <f t="shared" si="18"/>
        <v>9</v>
      </c>
      <c r="AJ15" s="110" t="str">
        <f>IF(AI15&gt;Constraints!$D$6,Rios!AI15-Constraints!$D$6,"-")</f>
        <v>-</v>
      </c>
      <c r="AL15" s="25">
        <f>IF(AM15&lt;&gt;"",VLOOKUP(AM15,Constraints!I:J,2,FALSE),"")</f>
        <v>1</v>
      </c>
      <c r="AM15" s="105" t="s">
        <v>297</v>
      </c>
      <c r="AN15" s="30">
        <f>IF($AL15&lt;&gt;"",VLOOKUP($AL15,Constraints!$H:$V,4,FALSE),"-")</f>
        <v>4</v>
      </c>
      <c r="AO15" s="30">
        <f>IF($AL15&lt;&gt;"",VLOOKUP($AL15,Constraints!$H:$V,7,FALSE),"-")</f>
        <v>2</v>
      </c>
      <c r="AP15" s="30">
        <f>IF($AL15&lt;&gt;"",VLOOKUP($AL15,Constraints!$H:$V,10,FALSE),"-")</f>
        <v>4</v>
      </c>
      <c r="AQ15" s="30">
        <f>IF($AL15&lt;&gt;"",VLOOKUP($AL15,Constraints!$H:$V,13,FALSE),"-")</f>
        <v>2</v>
      </c>
      <c r="AS15" s="54">
        <f>IF($AL15&lt;&gt;"",VLOOKUP($AL15,Constraints!$H:$AG,23,FALSE),"-")</f>
        <v>32</v>
      </c>
      <c r="AT15" s="54">
        <f>IF($AL15&lt;&gt;"",VLOOKUP($AL15,Constraints!$H:$AG,24,FALSE),"-")</f>
        <v>8</v>
      </c>
      <c r="AU15" s="54">
        <f>IF($AL15&lt;&gt;"",VLOOKUP($AL15,Constraints!$H:$AG,25,FALSE),"-")</f>
        <v>64</v>
      </c>
      <c r="AV15" s="54">
        <f>IF($AL15&lt;&gt;"",VLOOKUP($AL15,Constraints!$H:$AG,26,FALSE),"-")</f>
        <v>32</v>
      </c>
      <c r="AX15" s="30" t="str">
        <f t="shared" si="8"/>
        <v>-</v>
      </c>
      <c r="AY15" s="30">
        <f t="shared" si="9"/>
        <v>-2</v>
      </c>
      <c r="AZ15" s="30" t="str">
        <f t="shared" si="10"/>
        <v>-</v>
      </c>
      <c r="BA15" s="30" t="str">
        <f t="shared" si="11"/>
        <v>-</v>
      </c>
      <c r="BC15" s="18" t="str">
        <f t="shared" si="19"/>
        <v>X</v>
      </c>
      <c r="BD15" s="18" t="str">
        <f t="shared" si="12"/>
        <v>-</v>
      </c>
      <c r="BE15" s="18" t="str">
        <f t="shared" si="13"/>
        <v>-</v>
      </c>
      <c r="BG15" s="54" t="str">
        <f t="shared" si="14"/>
        <v>-</v>
      </c>
      <c r="BH15" s="54">
        <f t="shared" si="15"/>
        <v>7</v>
      </c>
      <c r="BI15" s="54" t="str">
        <f t="shared" si="16"/>
        <v>-</v>
      </c>
      <c r="BJ15" s="54" t="str">
        <f t="shared" si="17"/>
        <v>-</v>
      </c>
      <c r="BK15" s="58"/>
    </row>
    <row r="16" spans="1:63" x14ac:dyDescent="0.25">
      <c r="A16" t="s">
        <v>141</v>
      </c>
      <c r="B16" s="62">
        <f>SUMIFS(Areas!J:J,Areas!$A:$A,Rios!$A16)</f>
        <v>4</v>
      </c>
      <c r="C16" s="62">
        <f>SUMIFS(Areas!K:K,Areas!$A:$A,Rios!$A16)</f>
        <v>0</v>
      </c>
      <c r="D16" s="62">
        <f>SUMIFS(Areas!L:L,Areas!$A:$A,Rios!$A16)</f>
        <v>14</v>
      </c>
      <c r="E16" s="62">
        <f>SUMIFS(Areas!M:M,Areas!$A:$A,Rios!$A16)</f>
        <v>4</v>
      </c>
      <c r="F16" s="40" t="str">
        <f>IF($A16&lt;&gt;"",VLOOKUP(Rios!$A16,Areas!$A:$I,F$2,FALSE),"-")</f>
        <v>3184-PLC-003</v>
      </c>
      <c r="G16" t="str">
        <f>IF($A16&lt;&gt;"",VLOOKUP(Rios!$A16,Areas!$A:$I,G$2,FALSE),"-")</f>
        <v>Aeration/Rougher/HG Flotation</v>
      </c>
      <c r="H16" s="40" t="str">
        <f>IF($A16&lt;&gt;"",VLOOKUP(Rios!$A16,Areas!$A:$I,H$2,FALSE),"-")</f>
        <v>Aeration</v>
      </c>
      <c r="J16" s="48">
        <v>1</v>
      </c>
      <c r="L16" s="54">
        <f t="shared" si="0"/>
        <v>4</v>
      </c>
      <c r="M16" s="54">
        <f t="shared" si="1"/>
        <v>0</v>
      </c>
      <c r="N16" s="54">
        <f t="shared" si="2"/>
        <v>14</v>
      </c>
      <c r="O16" s="54">
        <f t="shared" si="3"/>
        <v>4</v>
      </c>
      <c r="Q16" s="54">
        <f>IF($J16&gt;0,ROUNDUP((L16*Constraints!$D$3/$J16/100)+L16,0),"-")</f>
        <v>5</v>
      </c>
      <c r="R16" s="54">
        <f>IF($J16&gt;0,ROUNDUP((M16*Constraints!$D$3/$J16/100)+M16,0),"-")</f>
        <v>0</v>
      </c>
      <c r="S16" s="54">
        <f>IF($J16&gt;0,ROUNDUP((N16*Constraints!$D$3/$J16/100)+N16,0),"-")</f>
        <v>17</v>
      </c>
      <c r="T16" s="54">
        <f>IF($J16&gt;0,ROUNDUP((O16*Constraints!$D$3/$J16/100)+O16,0),"-")</f>
        <v>5</v>
      </c>
      <c r="V16" s="54">
        <f>IF($J16&gt;0,ROUNDUP((Q16*Constraints!$D$4/$J16/100)+Q16,0),"-")</f>
        <v>6</v>
      </c>
      <c r="W16" s="54">
        <f>IF($J16&gt;0,ROUNDUP((R16*Constraints!$D$4/$J16/100)+R16,0),"-")</f>
        <v>0</v>
      </c>
      <c r="X16" s="54">
        <f>IF($J16&gt;0,ROUNDUP((S16*Constraints!$D$4/$J16/100)+S16,0),"-")</f>
        <v>21</v>
      </c>
      <c r="Y16" s="54">
        <f>IF($J16&gt;0,ROUNDUP((T16*Constraints!$D$4/$J16/100)+T16,0),"-")</f>
        <v>6</v>
      </c>
      <c r="AA16" s="25">
        <f t="shared" si="20"/>
        <v>33</v>
      </c>
      <c r="AB16" s="110" t="str">
        <f>IF(AA16&gt;Constraints!$D$5,Rios!AA16-Constraints!$D$5,"-")</f>
        <v>-</v>
      </c>
      <c r="AD16" s="30">
        <f t="shared" si="4"/>
        <v>1</v>
      </c>
      <c r="AE16" s="30">
        <f t="shared" si="5"/>
        <v>0</v>
      </c>
      <c r="AF16" s="30">
        <f t="shared" si="6"/>
        <v>2</v>
      </c>
      <c r="AG16" s="30">
        <f t="shared" si="7"/>
        <v>1</v>
      </c>
      <c r="AI16" s="25">
        <f t="shared" si="18"/>
        <v>4</v>
      </c>
      <c r="AJ16" s="110" t="str">
        <f>IF(AI16&gt;Constraints!$D$6,Rios!AI16-Constraints!$D$6,"-")</f>
        <v>-</v>
      </c>
      <c r="AL16" s="25">
        <f>IF(AM16&lt;&gt;"",VLOOKUP(AM16,Constraints!I:J,2,FALSE),"")</f>
        <v>2</v>
      </c>
      <c r="AM16" s="105" t="s">
        <v>421</v>
      </c>
      <c r="AN16" s="30">
        <f>IF($AL16&lt;&gt;"",VLOOKUP($AL16,Constraints!$H:$V,4,FALSE),"-")</f>
        <v>2</v>
      </c>
      <c r="AO16" s="30">
        <f>IF($AL16&lt;&gt;"",VLOOKUP($AL16,Constraints!$H:$V,7,FALSE),"-")</f>
        <v>1</v>
      </c>
      <c r="AP16" s="30">
        <f>IF($AL16&lt;&gt;"",VLOOKUP($AL16,Constraints!$H:$V,10,FALSE),"-")</f>
        <v>2</v>
      </c>
      <c r="AQ16" s="30">
        <f>IF($AL16&lt;&gt;"",VLOOKUP($AL16,Constraints!$H:$V,13,FALSE),"-")</f>
        <v>1</v>
      </c>
      <c r="AS16" s="54">
        <f>IF($AL16&lt;&gt;"",VLOOKUP($AL16,Constraints!$H:$AG,23,FALSE),"-")</f>
        <v>16</v>
      </c>
      <c r="AT16" s="54">
        <f>IF($AL16&lt;&gt;"",VLOOKUP($AL16,Constraints!$H:$AG,24,FALSE),"-")</f>
        <v>4</v>
      </c>
      <c r="AU16" s="54">
        <f>IF($AL16&lt;&gt;"",VLOOKUP($AL16,Constraints!$H:$AG,25,FALSE),"-")</f>
        <v>32</v>
      </c>
      <c r="AV16" s="54">
        <f>IF($AL16&lt;&gt;"",VLOOKUP($AL16,Constraints!$H:$AG,26,FALSE),"-")</f>
        <v>16</v>
      </c>
      <c r="AX16" s="30" t="str">
        <f t="shared" si="8"/>
        <v>-</v>
      </c>
      <c r="AY16" s="30" t="str">
        <f t="shared" si="9"/>
        <v>-</v>
      </c>
      <c r="AZ16" s="30" t="str">
        <f t="shared" si="10"/>
        <v>-</v>
      </c>
      <c r="BA16" s="30" t="str">
        <f t="shared" si="11"/>
        <v>-</v>
      </c>
      <c r="BC16" s="18" t="str">
        <f t="shared" si="19"/>
        <v>-</v>
      </c>
      <c r="BD16" s="18" t="str">
        <f t="shared" si="12"/>
        <v>-</v>
      </c>
      <c r="BE16" s="18" t="str">
        <f t="shared" si="13"/>
        <v>-</v>
      </c>
      <c r="BG16" s="54" t="str">
        <f t="shared" si="14"/>
        <v>-</v>
      </c>
      <c r="BH16" s="54" t="str">
        <f t="shared" si="15"/>
        <v>-</v>
      </c>
      <c r="BI16" s="54" t="str">
        <f t="shared" si="16"/>
        <v>-</v>
      </c>
      <c r="BJ16" s="54" t="str">
        <f t="shared" si="17"/>
        <v>-</v>
      </c>
      <c r="BK16" s="58"/>
    </row>
    <row r="17" spans="1:63" x14ac:dyDescent="0.25">
      <c r="A17" t="s">
        <v>142</v>
      </c>
      <c r="B17" s="62">
        <f>SUMIFS(Areas!J:J,Areas!$A:$A,Rios!$A17)</f>
        <v>42</v>
      </c>
      <c r="C17" s="62">
        <f>SUMIFS(Areas!K:K,Areas!$A:$A,Rios!$A17)</f>
        <v>24</v>
      </c>
      <c r="D17" s="62">
        <f>SUMIFS(Areas!L:L,Areas!$A:$A,Rios!$A17)</f>
        <v>24</v>
      </c>
      <c r="E17" s="62">
        <f>SUMIFS(Areas!M:M,Areas!$A:$A,Rios!$A17)</f>
        <v>0</v>
      </c>
      <c r="F17" s="40" t="str">
        <f>IF($A17&lt;&gt;"",VLOOKUP(Rios!$A17,Areas!$A:$I,F$2,FALSE),"-")</f>
        <v>3184-PLC-003</v>
      </c>
      <c r="G17" t="str">
        <f>IF($A17&lt;&gt;"",VLOOKUP(Rios!$A17,Areas!$A:$I,G$2,FALSE),"-")</f>
        <v>Aeration/Rougher/HG Flotation</v>
      </c>
      <c r="H17" s="40" t="str">
        <f>IF($A17&lt;&gt;"",VLOOKUP(Rios!$A17,Areas!$A:$I,H$2,FALSE),"-")</f>
        <v>Rougher</v>
      </c>
      <c r="J17" s="48">
        <v>2</v>
      </c>
      <c r="L17" s="54">
        <f t="shared" si="0"/>
        <v>21</v>
      </c>
      <c r="M17" s="54">
        <f t="shared" si="1"/>
        <v>12</v>
      </c>
      <c r="N17" s="54">
        <f t="shared" si="2"/>
        <v>12</v>
      </c>
      <c r="O17" s="54">
        <f t="shared" si="3"/>
        <v>0</v>
      </c>
      <c r="Q17" s="54">
        <f>IF($J17&gt;0,ROUNDUP((L17*Constraints!$D$3/$J17/100)+L17,0),"-")</f>
        <v>23</v>
      </c>
      <c r="R17" s="54">
        <f>IF($J17&gt;0,ROUNDUP((M17*Constraints!$D$3/$J17/100)+M17,0),"-")</f>
        <v>13</v>
      </c>
      <c r="S17" s="54">
        <f>IF($J17&gt;0,ROUNDUP((N17*Constraints!$D$3/$J17/100)+N17,0),"-")</f>
        <v>13</v>
      </c>
      <c r="T17" s="54">
        <f>IF($J17&gt;0,ROUNDUP((O17*Constraints!$D$3/$J17/100)+O17,0),"-")</f>
        <v>0</v>
      </c>
      <c r="V17" s="54">
        <f>IF($J17&gt;0,ROUNDUP((Q17*Constraints!$D$4/$J17/100)+Q17,0),"-")</f>
        <v>26</v>
      </c>
      <c r="W17" s="54">
        <f>IF($J17&gt;0,ROUNDUP((R17*Constraints!$D$4/$J17/100)+R17,0),"-")</f>
        <v>15</v>
      </c>
      <c r="X17" s="54">
        <f>IF($J17&gt;0,ROUNDUP((S17*Constraints!$D$4/$J17/100)+S17,0),"-")</f>
        <v>15</v>
      </c>
      <c r="Y17" s="54">
        <f>IF($J17&gt;0,ROUNDUP((T17*Constraints!$D$4/$J17/100)+T17,0),"-")</f>
        <v>0</v>
      </c>
      <c r="AA17" s="25">
        <f t="shared" si="20"/>
        <v>56</v>
      </c>
      <c r="AB17" s="110" t="str">
        <f>IF(AA17&gt;Constraints!$D$5,Rios!AA17-Constraints!$D$5,"-")</f>
        <v>-</v>
      </c>
      <c r="AD17" s="30">
        <f t="shared" si="4"/>
        <v>4</v>
      </c>
      <c r="AE17" s="30">
        <f t="shared" si="5"/>
        <v>4</v>
      </c>
      <c r="AF17" s="30">
        <f t="shared" si="6"/>
        <v>1</v>
      </c>
      <c r="AG17" s="30">
        <f t="shared" si="7"/>
        <v>0</v>
      </c>
      <c r="AI17" s="25">
        <f t="shared" si="18"/>
        <v>9</v>
      </c>
      <c r="AJ17" s="110" t="str">
        <f>IF(AI17&gt;Constraints!$D$6,Rios!AI17-Constraints!$D$6,"-")</f>
        <v>-</v>
      </c>
      <c r="AL17" s="25">
        <f>IF(AM17&lt;&gt;"",VLOOKUP(AM17,Constraints!I:J,2,FALSE),"")</f>
        <v>1</v>
      </c>
      <c r="AM17" s="105" t="s">
        <v>297</v>
      </c>
      <c r="AN17" s="30">
        <f>IF($AL17&lt;&gt;"",VLOOKUP($AL17,Constraints!$H:$V,4,FALSE),"-")</f>
        <v>4</v>
      </c>
      <c r="AO17" s="30">
        <f>IF($AL17&lt;&gt;"",VLOOKUP($AL17,Constraints!$H:$V,7,FALSE),"-")</f>
        <v>2</v>
      </c>
      <c r="AP17" s="30">
        <f>IF($AL17&lt;&gt;"",VLOOKUP($AL17,Constraints!$H:$V,10,FALSE),"-")</f>
        <v>4</v>
      </c>
      <c r="AQ17" s="30">
        <f>IF($AL17&lt;&gt;"",VLOOKUP($AL17,Constraints!$H:$V,13,FALSE),"-")</f>
        <v>2</v>
      </c>
      <c r="AS17" s="54">
        <f>IF($AL17&lt;&gt;"",VLOOKUP($AL17,Constraints!$H:$AG,23,FALSE),"-")</f>
        <v>32</v>
      </c>
      <c r="AT17" s="54">
        <f>IF($AL17&lt;&gt;"",VLOOKUP($AL17,Constraints!$H:$AG,24,FALSE),"-")</f>
        <v>8</v>
      </c>
      <c r="AU17" s="54">
        <f>IF($AL17&lt;&gt;"",VLOOKUP($AL17,Constraints!$H:$AG,25,FALSE),"-")</f>
        <v>64</v>
      </c>
      <c r="AV17" s="54">
        <f>IF($AL17&lt;&gt;"",VLOOKUP($AL17,Constraints!$H:$AG,26,FALSE),"-")</f>
        <v>32</v>
      </c>
      <c r="AX17" s="30" t="str">
        <f t="shared" si="8"/>
        <v>-</v>
      </c>
      <c r="AY17" s="30">
        <f t="shared" si="9"/>
        <v>-2</v>
      </c>
      <c r="AZ17" s="30" t="str">
        <f t="shared" si="10"/>
        <v>-</v>
      </c>
      <c r="BA17" s="30" t="str">
        <f t="shared" si="11"/>
        <v>-</v>
      </c>
      <c r="BC17" s="18" t="str">
        <f t="shared" si="19"/>
        <v>X</v>
      </c>
      <c r="BD17" s="18" t="str">
        <f t="shared" si="12"/>
        <v>-</v>
      </c>
      <c r="BE17" s="18" t="str">
        <f t="shared" si="13"/>
        <v>-</v>
      </c>
      <c r="BG17" s="54" t="str">
        <f t="shared" si="14"/>
        <v>-</v>
      </c>
      <c r="BH17" s="54">
        <f t="shared" si="15"/>
        <v>7</v>
      </c>
      <c r="BI17" s="54" t="str">
        <f t="shared" si="16"/>
        <v>-</v>
      </c>
      <c r="BJ17" s="54" t="str">
        <f t="shared" si="17"/>
        <v>-</v>
      </c>
      <c r="BK17" s="58"/>
    </row>
    <row r="18" spans="1:63" x14ac:dyDescent="0.25">
      <c r="A18" t="s">
        <v>143</v>
      </c>
      <c r="B18" s="62">
        <f>SUMIFS(Areas!J:J,Areas!$A:$A,Rios!$A18)</f>
        <v>4</v>
      </c>
      <c r="C18" s="62">
        <f>SUMIFS(Areas!K:K,Areas!$A:$A,Rios!$A18)</f>
        <v>0</v>
      </c>
      <c r="D18" s="62">
        <f>SUMIFS(Areas!L:L,Areas!$A:$A,Rios!$A18)</f>
        <v>14</v>
      </c>
      <c r="E18" s="62">
        <f>SUMIFS(Areas!M:M,Areas!$A:$A,Rios!$A18)</f>
        <v>4</v>
      </c>
      <c r="F18" s="40" t="str">
        <f>IF($A18&lt;&gt;"",VLOOKUP(Rios!$A18,Areas!$A:$I,F$2,FALSE),"-")</f>
        <v>3184-PLC-003</v>
      </c>
      <c r="G18" t="str">
        <f>IF($A18&lt;&gt;"",VLOOKUP(Rios!$A18,Areas!$A:$I,G$2,FALSE),"-")</f>
        <v>Aeration/Rougher/HG Flotation</v>
      </c>
      <c r="H18" s="40" t="str">
        <f>IF($A18&lt;&gt;"",VLOOKUP(Rios!$A18,Areas!$A:$I,H$2,FALSE),"-")</f>
        <v>Rougher</v>
      </c>
      <c r="J18" s="48">
        <v>1</v>
      </c>
      <c r="L18" s="54">
        <f t="shared" si="0"/>
        <v>4</v>
      </c>
      <c r="M18" s="54">
        <f t="shared" si="1"/>
        <v>0</v>
      </c>
      <c r="N18" s="54">
        <f t="shared" si="2"/>
        <v>14</v>
      </c>
      <c r="O18" s="54">
        <f t="shared" si="3"/>
        <v>4</v>
      </c>
      <c r="Q18" s="54">
        <f>IF($J18&gt;0,ROUNDUP((L18*Constraints!$D$3/$J18/100)+L18,0),"-")</f>
        <v>5</v>
      </c>
      <c r="R18" s="54">
        <f>IF($J18&gt;0,ROUNDUP((M18*Constraints!$D$3/$J18/100)+M18,0),"-")</f>
        <v>0</v>
      </c>
      <c r="S18" s="54">
        <f>IF($J18&gt;0,ROUNDUP((N18*Constraints!$D$3/$J18/100)+N18,0),"-")</f>
        <v>17</v>
      </c>
      <c r="T18" s="54">
        <f>IF($J18&gt;0,ROUNDUP((O18*Constraints!$D$3/$J18/100)+O18,0),"-")</f>
        <v>5</v>
      </c>
      <c r="V18" s="54">
        <f>IF($J18&gt;0,ROUNDUP((Q18*Constraints!$D$4/$J18/100)+Q18,0),"-")</f>
        <v>6</v>
      </c>
      <c r="W18" s="54">
        <f>IF($J18&gt;0,ROUNDUP((R18*Constraints!$D$4/$J18/100)+R18,0),"-")</f>
        <v>0</v>
      </c>
      <c r="X18" s="54">
        <f>IF($J18&gt;0,ROUNDUP((S18*Constraints!$D$4/$J18/100)+S18,0),"-")</f>
        <v>21</v>
      </c>
      <c r="Y18" s="54">
        <f>IF($J18&gt;0,ROUNDUP((T18*Constraints!$D$4/$J18/100)+T18,0),"-")</f>
        <v>6</v>
      </c>
      <c r="AA18" s="25">
        <f t="shared" si="20"/>
        <v>33</v>
      </c>
      <c r="AB18" s="110" t="str">
        <f>IF(AA18&gt;Constraints!$D$5,Rios!AA18-Constraints!$D$5,"-")</f>
        <v>-</v>
      </c>
      <c r="AD18" s="30">
        <f t="shared" si="4"/>
        <v>1</v>
      </c>
      <c r="AE18" s="30">
        <f t="shared" si="5"/>
        <v>0</v>
      </c>
      <c r="AF18" s="30">
        <f t="shared" si="6"/>
        <v>2</v>
      </c>
      <c r="AG18" s="30">
        <f t="shared" si="7"/>
        <v>1</v>
      </c>
      <c r="AI18" s="25">
        <f t="shared" si="18"/>
        <v>4</v>
      </c>
      <c r="AJ18" s="110" t="str">
        <f>IF(AI18&gt;Constraints!$D$6,Rios!AI18-Constraints!$D$6,"-")</f>
        <v>-</v>
      </c>
      <c r="AL18" s="25">
        <f>IF(AM18&lt;&gt;"",VLOOKUP(AM18,Constraints!I:J,2,FALSE),"")</f>
        <v>2</v>
      </c>
      <c r="AM18" s="105" t="s">
        <v>421</v>
      </c>
      <c r="AN18" s="30">
        <f>IF($AL18&lt;&gt;"",VLOOKUP($AL18,Constraints!$H:$V,4,FALSE),"-")</f>
        <v>2</v>
      </c>
      <c r="AO18" s="30">
        <f>IF($AL18&lt;&gt;"",VLOOKUP($AL18,Constraints!$H:$V,7,FALSE),"-")</f>
        <v>1</v>
      </c>
      <c r="AP18" s="30">
        <f>IF($AL18&lt;&gt;"",VLOOKUP($AL18,Constraints!$H:$V,10,FALSE),"-")</f>
        <v>2</v>
      </c>
      <c r="AQ18" s="30">
        <f>IF($AL18&lt;&gt;"",VLOOKUP($AL18,Constraints!$H:$V,13,FALSE),"-")</f>
        <v>1</v>
      </c>
      <c r="AS18" s="54">
        <f>IF($AL18&lt;&gt;"",VLOOKUP($AL18,Constraints!$H:$AG,23,FALSE),"-")</f>
        <v>16</v>
      </c>
      <c r="AT18" s="54">
        <f>IF($AL18&lt;&gt;"",VLOOKUP($AL18,Constraints!$H:$AG,24,FALSE),"-")</f>
        <v>4</v>
      </c>
      <c r="AU18" s="54">
        <f>IF($AL18&lt;&gt;"",VLOOKUP($AL18,Constraints!$H:$AG,25,FALSE),"-")</f>
        <v>32</v>
      </c>
      <c r="AV18" s="54">
        <f>IF($AL18&lt;&gt;"",VLOOKUP($AL18,Constraints!$H:$AG,26,FALSE),"-")</f>
        <v>16</v>
      </c>
      <c r="AX18" s="30" t="str">
        <f t="shared" si="8"/>
        <v>-</v>
      </c>
      <c r="AY18" s="30" t="str">
        <f t="shared" si="9"/>
        <v>-</v>
      </c>
      <c r="AZ18" s="30" t="str">
        <f t="shared" si="10"/>
        <v>-</v>
      </c>
      <c r="BA18" s="30" t="str">
        <f t="shared" si="11"/>
        <v>-</v>
      </c>
      <c r="BC18" s="18" t="str">
        <f t="shared" si="19"/>
        <v>-</v>
      </c>
      <c r="BD18" s="18" t="str">
        <f t="shared" si="12"/>
        <v>-</v>
      </c>
      <c r="BE18" s="18" t="str">
        <f t="shared" si="13"/>
        <v>-</v>
      </c>
      <c r="BG18" s="54" t="str">
        <f t="shared" si="14"/>
        <v>-</v>
      </c>
      <c r="BH18" s="54" t="str">
        <f t="shared" si="15"/>
        <v>-</v>
      </c>
      <c r="BI18" s="54" t="str">
        <f t="shared" si="16"/>
        <v>-</v>
      </c>
      <c r="BJ18" s="54" t="str">
        <f t="shared" si="17"/>
        <v>-</v>
      </c>
      <c r="BK18" s="58"/>
    </row>
    <row r="19" spans="1:63" x14ac:dyDescent="0.25">
      <c r="A19" t="s">
        <v>145</v>
      </c>
      <c r="B19" s="62">
        <f>SUMIFS(Areas!J:J,Areas!$A:$A,Rios!$A19)</f>
        <v>9</v>
      </c>
      <c r="C19" s="62">
        <f>SUMIFS(Areas!K:K,Areas!$A:$A,Rios!$A19)</f>
        <v>3</v>
      </c>
      <c r="D19" s="62">
        <f>SUMIFS(Areas!L:L,Areas!$A:$A,Rios!$A19)</f>
        <v>14</v>
      </c>
      <c r="E19" s="62">
        <f>SUMIFS(Areas!M:M,Areas!$A:$A,Rios!$A19)</f>
        <v>12</v>
      </c>
      <c r="F19" s="40" t="str">
        <f>IF($A19&lt;&gt;"",VLOOKUP(Rios!$A19,Areas!$A:$I,F$2,FALSE),"-")</f>
        <v>3184-PLC-003</v>
      </c>
      <c r="G19" t="str">
        <f>IF($A19&lt;&gt;"",VLOOKUP(Rios!$A19,Areas!$A:$I,G$2,FALSE),"-")</f>
        <v>Aeration/Rougher/HG Flotation</v>
      </c>
      <c r="H19" s="40" t="str">
        <f>IF($A19&lt;&gt;"",VLOOKUP(Rios!$A19,Areas!$A:$I,H$2,FALSE),"-")</f>
        <v>HG</v>
      </c>
      <c r="J19" s="48">
        <v>1</v>
      </c>
      <c r="L19" s="54">
        <f t="shared" si="0"/>
        <v>9</v>
      </c>
      <c r="M19" s="54">
        <f t="shared" si="1"/>
        <v>3</v>
      </c>
      <c r="N19" s="54">
        <f t="shared" si="2"/>
        <v>14</v>
      </c>
      <c r="O19" s="54">
        <f t="shared" si="3"/>
        <v>12</v>
      </c>
      <c r="Q19" s="54">
        <f>IF($J19&gt;0,ROUNDUP((L19*Constraints!$D$3/$J19/100)+L19,0),"-")</f>
        <v>11</v>
      </c>
      <c r="R19" s="54">
        <f>IF($J19&gt;0,ROUNDUP((M19*Constraints!$D$3/$J19/100)+M19,0),"-")</f>
        <v>4</v>
      </c>
      <c r="S19" s="54">
        <f>IF($J19&gt;0,ROUNDUP((N19*Constraints!$D$3/$J19/100)+N19,0),"-")</f>
        <v>17</v>
      </c>
      <c r="T19" s="54">
        <f>IF($J19&gt;0,ROUNDUP((O19*Constraints!$D$3/$J19/100)+O19,0),"-")</f>
        <v>14</v>
      </c>
      <c r="V19" s="54">
        <f>IF($J19&gt;0,ROUNDUP((Q19*Constraints!$D$4/$J19/100)+Q19,0),"-")</f>
        <v>14</v>
      </c>
      <c r="W19" s="54">
        <f>IF($J19&gt;0,ROUNDUP((R19*Constraints!$D$4/$J19/100)+R19,0),"-")</f>
        <v>5</v>
      </c>
      <c r="X19" s="54">
        <f>IF($J19&gt;0,ROUNDUP((S19*Constraints!$D$4/$J19/100)+S19,0),"-")</f>
        <v>21</v>
      </c>
      <c r="Y19" s="54">
        <f>IF($J19&gt;0,ROUNDUP((T19*Constraints!$D$4/$J19/100)+T19,0),"-")</f>
        <v>17</v>
      </c>
      <c r="AA19" s="25">
        <f t="shared" si="20"/>
        <v>57</v>
      </c>
      <c r="AB19" s="110" t="str">
        <f>IF(AA19&gt;Constraints!$D$5,Rios!AA19-Constraints!$D$5,"-")</f>
        <v>-</v>
      </c>
      <c r="AD19" s="30">
        <f t="shared" si="4"/>
        <v>2</v>
      </c>
      <c r="AE19" s="30">
        <f t="shared" si="5"/>
        <v>2</v>
      </c>
      <c r="AF19" s="30">
        <f t="shared" si="6"/>
        <v>2</v>
      </c>
      <c r="AG19" s="30">
        <f t="shared" si="7"/>
        <v>2</v>
      </c>
      <c r="AI19" s="25">
        <f t="shared" si="18"/>
        <v>8</v>
      </c>
      <c r="AJ19" s="110" t="str">
        <f>IF(AI19&gt;Constraints!$D$6,Rios!AI19-Constraints!$D$6,"-")</f>
        <v>-</v>
      </c>
      <c r="AL19" s="25">
        <f>IF(AM19&lt;&gt;"",VLOOKUP(AM19,Constraints!I:J,2,FALSE),"")</f>
        <v>2</v>
      </c>
      <c r="AM19" s="105" t="s">
        <v>421</v>
      </c>
      <c r="AN19" s="30">
        <f>IF($AL19&lt;&gt;"",VLOOKUP($AL19,Constraints!$H:$V,4,FALSE),"-")</f>
        <v>2</v>
      </c>
      <c r="AO19" s="30">
        <f>IF($AL19&lt;&gt;"",VLOOKUP($AL19,Constraints!$H:$V,7,FALSE),"-")</f>
        <v>1</v>
      </c>
      <c r="AP19" s="30">
        <f>IF($AL19&lt;&gt;"",VLOOKUP($AL19,Constraints!$H:$V,10,FALSE),"-")</f>
        <v>2</v>
      </c>
      <c r="AQ19" s="30">
        <f>IF($AL19&lt;&gt;"",VLOOKUP($AL19,Constraints!$H:$V,13,FALSE),"-")</f>
        <v>1</v>
      </c>
      <c r="AS19" s="54">
        <f>IF($AL19&lt;&gt;"",VLOOKUP($AL19,Constraints!$H:$AG,23,FALSE),"-")</f>
        <v>16</v>
      </c>
      <c r="AT19" s="54">
        <f>IF($AL19&lt;&gt;"",VLOOKUP($AL19,Constraints!$H:$AG,24,FALSE),"-")</f>
        <v>4</v>
      </c>
      <c r="AU19" s="54">
        <f>IF($AL19&lt;&gt;"",VLOOKUP($AL19,Constraints!$H:$AG,25,FALSE),"-")</f>
        <v>32</v>
      </c>
      <c r="AV19" s="54">
        <f>IF($AL19&lt;&gt;"",VLOOKUP($AL19,Constraints!$H:$AG,26,FALSE),"-")</f>
        <v>16</v>
      </c>
      <c r="AX19" s="30" t="str">
        <f t="shared" si="8"/>
        <v>-</v>
      </c>
      <c r="AY19" s="30">
        <f t="shared" si="9"/>
        <v>-1</v>
      </c>
      <c r="AZ19" s="30" t="str">
        <f t="shared" si="10"/>
        <v>-</v>
      </c>
      <c r="BA19" s="30">
        <f t="shared" si="11"/>
        <v>-1</v>
      </c>
      <c r="BC19" s="18" t="str">
        <f t="shared" si="19"/>
        <v>X</v>
      </c>
      <c r="BD19" s="18" t="str">
        <f t="shared" si="12"/>
        <v>-</v>
      </c>
      <c r="BE19" s="18" t="str">
        <f t="shared" si="13"/>
        <v>-</v>
      </c>
      <c r="BG19" s="54" t="str">
        <f t="shared" si="14"/>
        <v>-</v>
      </c>
      <c r="BH19" s="54">
        <f t="shared" si="15"/>
        <v>1</v>
      </c>
      <c r="BI19" s="54" t="str">
        <f t="shared" si="16"/>
        <v>-</v>
      </c>
      <c r="BJ19" s="54">
        <f t="shared" si="17"/>
        <v>1</v>
      </c>
      <c r="BK19" s="58"/>
    </row>
    <row r="20" spans="1:63" x14ac:dyDescent="0.25">
      <c r="A20" t="s">
        <v>146</v>
      </c>
      <c r="B20" s="62">
        <f>SUMIFS(Areas!J:J,Areas!$A:$A,Rios!$A20)</f>
        <v>6</v>
      </c>
      <c r="C20" s="62">
        <f>SUMIFS(Areas!K:K,Areas!$A:$A,Rios!$A20)</f>
        <v>2</v>
      </c>
      <c r="D20" s="62">
        <f>SUMIFS(Areas!L:L,Areas!$A:$A,Rios!$A20)</f>
        <v>53</v>
      </c>
      <c r="E20" s="62">
        <f>SUMIFS(Areas!M:M,Areas!$A:$A,Rios!$A20)</f>
        <v>21</v>
      </c>
      <c r="F20" s="40" t="str">
        <f>IF($A20&lt;&gt;"",VLOOKUP(Rios!$A20,Areas!$A:$I,F$2,FALSE),"-")</f>
        <v>3184-PLC-003</v>
      </c>
      <c r="G20" t="str">
        <f>IF($A20&lt;&gt;"",VLOOKUP(Rios!$A20,Areas!$A:$I,G$2,FALSE),"-")</f>
        <v>Aeration/Rougher/HG Flotation</v>
      </c>
      <c r="H20" s="40" t="str">
        <f>IF($A20&lt;&gt;"",VLOOKUP(Rios!$A20,Areas!$A:$I,H$2,FALSE),"-")</f>
        <v>HG</v>
      </c>
      <c r="J20" s="48">
        <v>1</v>
      </c>
      <c r="L20" s="54">
        <f t="shared" si="0"/>
        <v>6</v>
      </c>
      <c r="M20" s="54">
        <f t="shared" si="1"/>
        <v>2</v>
      </c>
      <c r="N20" s="54">
        <f t="shared" si="2"/>
        <v>53</v>
      </c>
      <c r="O20" s="54">
        <f t="shared" si="3"/>
        <v>21</v>
      </c>
      <c r="Q20" s="54">
        <f>IF($J20&gt;0,ROUNDUP((L20*Constraints!$D$3/$J20/100)+L20,0),"-")</f>
        <v>7</v>
      </c>
      <c r="R20" s="54">
        <f>IF($J20&gt;0,ROUNDUP((M20*Constraints!$D$3/$J20/100)+M20,0),"-")</f>
        <v>3</v>
      </c>
      <c r="S20" s="54">
        <f>IF($J20&gt;0,ROUNDUP((N20*Constraints!$D$3/$J20/100)+N20,0),"-")</f>
        <v>61</v>
      </c>
      <c r="T20" s="54">
        <f>IF($J20&gt;0,ROUNDUP((O20*Constraints!$D$3/$J20/100)+O20,0),"-")</f>
        <v>25</v>
      </c>
      <c r="V20" s="54">
        <f>IF($J20&gt;0,ROUNDUP((Q20*Constraints!$D$4/$J20/100)+Q20,0),"-")</f>
        <v>9</v>
      </c>
      <c r="W20" s="54">
        <f>IF($J20&gt;0,ROUNDUP((R20*Constraints!$D$4/$J20/100)+R20,0),"-")</f>
        <v>4</v>
      </c>
      <c r="X20" s="54">
        <f>IF($J20&gt;0,ROUNDUP((S20*Constraints!$D$4/$J20/100)+S20,0),"-")</f>
        <v>74</v>
      </c>
      <c r="Y20" s="54">
        <f>IF($J20&gt;0,ROUNDUP((T20*Constraints!$D$4/$J20/100)+T20,0),"-")</f>
        <v>30</v>
      </c>
      <c r="AA20" s="25">
        <f t="shared" si="20"/>
        <v>117</v>
      </c>
      <c r="AB20" s="110" t="str">
        <f>IF(AA20&gt;Constraints!$D$5,Rios!AA20-Constraints!$D$5,"-")</f>
        <v>-</v>
      </c>
      <c r="AD20" s="30">
        <f t="shared" si="4"/>
        <v>2</v>
      </c>
      <c r="AE20" s="30">
        <f t="shared" si="5"/>
        <v>1</v>
      </c>
      <c r="AF20" s="30">
        <f t="shared" si="6"/>
        <v>5</v>
      </c>
      <c r="AG20" s="30">
        <f t="shared" si="7"/>
        <v>2</v>
      </c>
      <c r="AI20" s="25">
        <f t="shared" si="18"/>
        <v>10</v>
      </c>
      <c r="AJ20" s="110" t="str">
        <f>IF(AI20&gt;Constraints!$D$6,Rios!AI20-Constraints!$D$6,"-")</f>
        <v>-</v>
      </c>
      <c r="AL20" s="25">
        <f>IF(AM20&lt;&gt;"",VLOOKUP(AM20,Constraints!I:J,2,FALSE),"")</f>
        <v>3</v>
      </c>
      <c r="AM20" s="105" t="s">
        <v>329</v>
      </c>
      <c r="AN20" s="30">
        <f>IF($AL20&lt;&gt;"",VLOOKUP($AL20,Constraints!$H:$V,4,FALSE),"-")</f>
        <v>1</v>
      </c>
      <c r="AO20" s="30">
        <f>IF($AL20&lt;&gt;"",VLOOKUP($AL20,Constraints!$H:$V,7,FALSE),"-")</f>
        <v>1</v>
      </c>
      <c r="AP20" s="30">
        <f>IF($AL20&lt;&gt;"",VLOOKUP($AL20,Constraints!$H:$V,10,FALSE),"-")</f>
        <v>5</v>
      </c>
      <c r="AQ20" s="30">
        <f>IF($AL20&lt;&gt;"",VLOOKUP($AL20,Constraints!$H:$V,13,FALSE),"-")</f>
        <v>5</v>
      </c>
      <c r="AS20" s="54">
        <f>IF($AL20&lt;&gt;"",VLOOKUP($AL20,Constraints!$H:$AG,23,FALSE),"-")</f>
        <v>8</v>
      </c>
      <c r="AT20" s="54">
        <f>IF($AL20&lt;&gt;"",VLOOKUP($AL20,Constraints!$H:$AG,24,FALSE),"-")</f>
        <v>4</v>
      </c>
      <c r="AU20" s="54">
        <f>IF($AL20&lt;&gt;"",VLOOKUP($AL20,Constraints!$H:$AG,25,FALSE),"-")</f>
        <v>80</v>
      </c>
      <c r="AV20" s="54">
        <f>IF($AL20&lt;&gt;"",VLOOKUP($AL20,Constraints!$H:$AG,26,FALSE),"-")</f>
        <v>80</v>
      </c>
      <c r="AX20" s="30">
        <f t="shared" si="8"/>
        <v>-1</v>
      </c>
      <c r="AY20" s="30" t="str">
        <f t="shared" si="9"/>
        <v>-</v>
      </c>
      <c r="AZ20" s="30" t="str">
        <f t="shared" si="10"/>
        <v>-</v>
      </c>
      <c r="BA20" s="30" t="str">
        <f t="shared" si="11"/>
        <v>-</v>
      </c>
      <c r="BC20" s="18" t="str">
        <f t="shared" si="19"/>
        <v>X</v>
      </c>
      <c r="BD20" s="18" t="str">
        <f t="shared" si="12"/>
        <v>-</v>
      </c>
      <c r="BE20" s="18" t="str">
        <f t="shared" si="13"/>
        <v>-</v>
      </c>
      <c r="BG20" s="54">
        <f t="shared" si="14"/>
        <v>1</v>
      </c>
      <c r="BH20" s="54" t="str">
        <f t="shared" si="15"/>
        <v>-</v>
      </c>
      <c r="BI20" s="54" t="str">
        <f t="shared" si="16"/>
        <v>-</v>
      </c>
      <c r="BJ20" s="54" t="str">
        <f t="shared" si="17"/>
        <v>-</v>
      </c>
      <c r="BK20" s="58"/>
    </row>
    <row r="21" spans="1:63" x14ac:dyDescent="0.25">
      <c r="A21" t="s">
        <v>147</v>
      </c>
      <c r="B21" s="62">
        <f>SUMIFS(Areas!J:J,Areas!$A:$A,Rios!$A21)</f>
        <v>9</v>
      </c>
      <c r="C21" s="62">
        <f>SUMIFS(Areas!K:K,Areas!$A:$A,Rios!$A21)</f>
        <v>3</v>
      </c>
      <c r="D21" s="62">
        <f>SUMIFS(Areas!L:L,Areas!$A:$A,Rios!$A21)</f>
        <v>14</v>
      </c>
      <c r="E21" s="62">
        <f>SUMIFS(Areas!M:M,Areas!$A:$A,Rios!$A21)</f>
        <v>12</v>
      </c>
      <c r="F21" s="40" t="str">
        <f>IF($A21&lt;&gt;"",VLOOKUP(Rios!$A21,Areas!$A:$I,F$2,FALSE),"-")</f>
        <v>3184-PLC-003</v>
      </c>
      <c r="G21" t="str">
        <f>IF($A21&lt;&gt;"",VLOOKUP(Rios!$A21,Areas!$A:$I,G$2,FALSE),"-")</f>
        <v>MG/Cleaner/Scavenger Flotation</v>
      </c>
      <c r="H21" s="40" t="str">
        <f>IF($A21&lt;&gt;"",VLOOKUP(Rios!$A21,Areas!$A:$I,H$2,FALSE),"-")</f>
        <v>MG</v>
      </c>
      <c r="J21" s="48">
        <v>1</v>
      </c>
      <c r="L21" s="54">
        <f t="shared" si="0"/>
        <v>9</v>
      </c>
      <c r="M21" s="54">
        <f t="shared" si="1"/>
        <v>3</v>
      </c>
      <c r="N21" s="54">
        <f t="shared" si="2"/>
        <v>14</v>
      </c>
      <c r="O21" s="54">
        <f t="shared" si="3"/>
        <v>12</v>
      </c>
      <c r="Q21" s="54">
        <f>IF($J21&gt;0,ROUNDUP((L21*Constraints!$D$3/$J21/100)+L21,0),"-")</f>
        <v>11</v>
      </c>
      <c r="R21" s="54">
        <f>IF($J21&gt;0,ROUNDUP((M21*Constraints!$D$3/$J21/100)+M21,0),"-")</f>
        <v>4</v>
      </c>
      <c r="S21" s="54">
        <f>IF($J21&gt;0,ROUNDUP((N21*Constraints!$D$3/$J21/100)+N21,0),"-")</f>
        <v>17</v>
      </c>
      <c r="T21" s="54">
        <f>IF($J21&gt;0,ROUNDUP((O21*Constraints!$D$3/$J21/100)+O21,0),"-")</f>
        <v>14</v>
      </c>
      <c r="V21" s="54">
        <f>IF($J21&gt;0,ROUNDUP((Q21*Constraints!$D$4/$J21/100)+Q21,0),"-")</f>
        <v>14</v>
      </c>
      <c r="W21" s="54">
        <f>IF($J21&gt;0,ROUNDUP((R21*Constraints!$D$4/$J21/100)+R21,0),"-")</f>
        <v>5</v>
      </c>
      <c r="X21" s="54">
        <f>IF($J21&gt;0,ROUNDUP((S21*Constraints!$D$4/$J21/100)+S21,0),"-")</f>
        <v>21</v>
      </c>
      <c r="Y21" s="54">
        <f>IF($J21&gt;0,ROUNDUP((T21*Constraints!$D$4/$J21/100)+T21,0),"-")</f>
        <v>17</v>
      </c>
      <c r="AA21" s="25">
        <f t="shared" si="20"/>
        <v>57</v>
      </c>
      <c r="AB21" s="110" t="str">
        <f>IF(AA21&gt;Constraints!$D$5,Rios!AA21-Constraints!$D$5,"-")</f>
        <v>-</v>
      </c>
      <c r="AD21" s="30">
        <f t="shared" si="4"/>
        <v>2</v>
      </c>
      <c r="AE21" s="30">
        <f t="shared" si="5"/>
        <v>2</v>
      </c>
      <c r="AF21" s="30">
        <f t="shared" si="6"/>
        <v>2</v>
      </c>
      <c r="AG21" s="30">
        <f t="shared" si="7"/>
        <v>2</v>
      </c>
      <c r="AI21" s="25">
        <f t="shared" si="18"/>
        <v>8</v>
      </c>
      <c r="AJ21" s="110" t="str">
        <f>IF(AI21&gt;Constraints!$D$6,Rios!AI21-Constraints!$D$6,"-")</f>
        <v>-</v>
      </c>
      <c r="AL21" s="25">
        <f>IF(AM21&lt;&gt;"",VLOOKUP(AM21,Constraints!I:J,2,FALSE),"")</f>
        <v>2</v>
      </c>
      <c r="AM21" s="105" t="s">
        <v>421</v>
      </c>
      <c r="AN21" s="30">
        <f>IF($AL21&lt;&gt;"",VLOOKUP($AL21,Constraints!$H:$V,4,FALSE),"-")</f>
        <v>2</v>
      </c>
      <c r="AO21" s="30">
        <f>IF($AL21&lt;&gt;"",VLOOKUP($AL21,Constraints!$H:$V,7,FALSE),"-")</f>
        <v>1</v>
      </c>
      <c r="AP21" s="30">
        <f>IF($AL21&lt;&gt;"",VLOOKUP($AL21,Constraints!$H:$V,10,FALSE),"-")</f>
        <v>2</v>
      </c>
      <c r="AQ21" s="30">
        <f>IF($AL21&lt;&gt;"",VLOOKUP($AL21,Constraints!$H:$V,13,FALSE),"-")</f>
        <v>1</v>
      </c>
      <c r="AS21" s="54">
        <f>IF($AL21&lt;&gt;"",VLOOKUP($AL21,Constraints!$H:$AG,23,FALSE),"-")</f>
        <v>16</v>
      </c>
      <c r="AT21" s="54">
        <f>IF($AL21&lt;&gt;"",VLOOKUP($AL21,Constraints!$H:$AG,24,FALSE),"-")</f>
        <v>4</v>
      </c>
      <c r="AU21" s="54">
        <f>IF($AL21&lt;&gt;"",VLOOKUP($AL21,Constraints!$H:$AG,25,FALSE),"-")</f>
        <v>32</v>
      </c>
      <c r="AV21" s="54">
        <f>IF($AL21&lt;&gt;"",VLOOKUP($AL21,Constraints!$H:$AG,26,FALSE),"-")</f>
        <v>16</v>
      </c>
      <c r="AX21" s="30" t="str">
        <f t="shared" si="8"/>
        <v>-</v>
      </c>
      <c r="AY21" s="30">
        <f t="shared" si="9"/>
        <v>-1</v>
      </c>
      <c r="AZ21" s="30" t="str">
        <f t="shared" si="10"/>
        <v>-</v>
      </c>
      <c r="BA21" s="30">
        <f t="shared" si="11"/>
        <v>-1</v>
      </c>
      <c r="BC21" s="18" t="str">
        <f t="shared" si="19"/>
        <v>X</v>
      </c>
      <c r="BD21" s="18" t="str">
        <f t="shared" si="12"/>
        <v>-</v>
      </c>
      <c r="BE21" s="18" t="str">
        <f t="shared" si="13"/>
        <v>-</v>
      </c>
      <c r="BG21" s="54" t="str">
        <f t="shared" si="14"/>
        <v>-</v>
      </c>
      <c r="BH21" s="54">
        <f t="shared" si="15"/>
        <v>1</v>
      </c>
      <c r="BI21" s="54" t="str">
        <f t="shared" si="16"/>
        <v>-</v>
      </c>
      <c r="BJ21" s="54">
        <f t="shared" si="17"/>
        <v>1</v>
      </c>
      <c r="BK21" s="58"/>
    </row>
    <row r="22" spans="1:63" x14ac:dyDescent="0.25">
      <c r="A22" t="s">
        <v>148</v>
      </c>
      <c r="B22" s="62">
        <f>SUMIFS(Areas!J:J,Areas!$A:$A,Rios!$A22)</f>
        <v>6</v>
      </c>
      <c r="C22" s="62">
        <f>SUMIFS(Areas!K:K,Areas!$A:$A,Rios!$A22)</f>
        <v>2</v>
      </c>
      <c r="D22" s="62">
        <f>SUMIFS(Areas!L:L,Areas!$A:$A,Rios!$A22)</f>
        <v>53</v>
      </c>
      <c r="E22" s="62">
        <f>SUMIFS(Areas!M:M,Areas!$A:$A,Rios!$A22)</f>
        <v>21</v>
      </c>
      <c r="F22" s="40" t="str">
        <f>IF($A22&lt;&gt;"",VLOOKUP(Rios!$A22,Areas!$A:$I,F$2,FALSE),"-")</f>
        <v>3184-PLC-003</v>
      </c>
      <c r="G22" t="str">
        <f>IF($A22&lt;&gt;"",VLOOKUP(Rios!$A22,Areas!$A:$I,G$2,FALSE),"-")</f>
        <v>MG/Cleaner/Scavenger Flotation</v>
      </c>
      <c r="H22" s="40" t="str">
        <f>IF($A22&lt;&gt;"",VLOOKUP(Rios!$A22,Areas!$A:$I,H$2,FALSE),"-")</f>
        <v>MG</v>
      </c>
      <c r="J22" s="48">
        <v>1</v>
      </c>
      <c r="L22" s="54">
        <f t="shared" si="0"/>
        <v>6</v>
      </c>
      <c r="M22" s="54">
        <f t="shared" si="1"/>
        <v>2</v>
      </c>
      <c r="N22" s="54">
        <f t="shared" si="2"/>
        <v>53</v>
      </c>
      <c r="O22" s="54">
        <f t="shared" si="3"/>
        <v>21</v>
      </c>
      <c r="Q22" s="54">
        <f>IF($J22&gt;0,ROUNDUP((L22*Constraints!$D$3/$J22/100)+L22,0),"-")</f>
        <v>7</v>
      </c>
      <c r="R22" s="54">
        <f>IF($J22&gt;0,ROUNDUP((M22*Constraints!$D$3/$J22/100)+M22,0),"-")</f>
        <v>3</v>
      </c>
      <c r="S22" s="54">
        <f>IF($J22&gt;0,ROUNDUP((N22*Constraints!$D$3/$J22/100)+N22,0),"-")</f>
        <v>61</v>
      </c>
      <c r="T22" s="54">
        <f>IF($J22&gt;0,ROUNDUP((O22*Constraints!$D$3/$J22/100)+O22,0),"-")</f>
        <v>25</v>
      </c>
      <c r="V22" s="54">
        <f>IF($J22&gt;0,ROUNDUP((Q22*Constraints!$D$4/$J22/100)+Q22,0),"-")</f>
        <v>9</v>
      </c>
      <c r="W22" s="54">
        <f>IF($J22&gt;0,ROUNDUP((R22*Constraints!$D$4/$J22/100)+R22,0),"-")</f>
        <v>4</v>
      </c>
      <c r="X22" s="54">
        <f>IF($J22&gt;0,ROUNDUP((S22*Constraints!$D$4/$J22/100)+S22,0),"-")</f>
        <v>74</v>
      </c>
      <c r="Y22" s="54">
        <f>IF($J22&gt;0,ROUNDUP((T22*Constraints!$D$4/$J22/100)+T22,0),"-")</f>
        <v>30</v>
      </c>
      <c r="AA22" s="25">
        <f t="shared" si="20"/>
        <v>117</v>
      </c>
      <c r="AB22" s="110" t="str">
        <f>IF(AA22&gt;Constraints!$D$5,Rios!AA22-Constraints!$D$5,"-")</f>
        <v>-</v>
      </c>
      <c r="AD22" s="30">
        <f t="shared" si="4"/>
        <v>2</v>
      </c>
      <c r="AE22" s="30">
        <f t="shared" si="5"/>
        <v>1</v>
      </c>
      <c r="AF22" s="30">
        <f t="shared" si="6"/>
        <v>5</v>
      </c>
      <c r="AG22" s="30">
        <f t="shared" si="7"/>
        <v>2</v>
      </c>
      <c r="AI22" s="25">
        <f t="shared" si="18"/>
        <v>10</v>
      </c>
      <c r="AJ22" s="110" t="str">
        <f>IF(AI22&gt;Constraints!$D$6,Rios!AI22-Constraints!$D$6,"-")</f>
        <v>-</v>
      </c>
      <c r="AL22" s="25">
        <f>IF(AM22&lt;&gt;"",VLOOKUP(AM22,Constraints!I:J,2,FALSE),"")</f>
        <v>3</v>
      </c>
      <c r="AM22" s="105" t="s">
        <v>329</v>
      </c>
      <c r="AN22" s="30">
        <f>IF($AL22&lt;&gt;"",VLOOKUP($AL22,Constraints!$H:$V,4,FALSE),"-")</f>
        <v>1</v>
      </c>
      <c r="AO22" s="30">
        <f>IF($AL22&lt;&gt;"",VLOOKUP($AL22,Constraints!$H:$V,7,FALSE),"-")</f>
        <v>1</v>
      </c>
      <c r="AP22" s="30">
        <f>IF($AL22&lt;&gt;"",VLOOKUP($AL22,Constraints!$H:$V,10,FALSE),"-")</f>
        <v>5</v>
      </c>
      <c r="AQ22" s="30">
        <f>IF($AL22&lt;&gt;"",VLOOKUP($AL22,Constraints!$H:$V,13,FALSE),"-")</f>
        <v>5</v>
      </c>
      <c r="AS22" s="54">
        <f>IF($AL22&lt;&gt;"",VLOOKUP($AL22,Constraints!$H:$AG,23,FALSE),"-")</f>
        <v>8</v>
      </c>
      <c r="AT22" s="54">
        <f>IF($AL22&lt;&gt;"",VLOOKUP($AL22,Constraints!$H:$AG,24,FALSE),"-")</f>
        <v>4</v>
      </c>
      <c r="AU22" s="54">
        <f>IF($AL22&lt;&gt;"",VLOOKUP($AL22,Constraints!$H:$AG,25,FALSE),"-")</f>
        <v>80</v>
      </c>
      <c r="AV22" s="54">
        <f>IF($AL22&lt;&gt;"",VLOOKUP($AL22,Constraints!$H:$AG,26,FALSE),"-")</f>
        <v>80</v>
      </c>
      <c r="AX22" s="30">
        <f t="shared" si="8"/>
        <v>-1</v>
      </c>
      <c r="AY22" s="30" t="str">
        <f t="shared" si="9"/>
        <v>-</v>
      </c>
      <c r="AZ22" s="30" t="str">
        <f t="shared" si="10"/>
        <v>-</v>
      </c>
      <c r="BA22" s="30" t="str">
        <f t="shared" si="11"/>
        <v>-</v>
      </c>
      <c r="BC22" s="18" t="str">
        <f t="shared" si="19"/>
        <v>X</v>
      </c>
      <c r="BD22" s="18" t="str">
        <f t="shared" si="12"/>
        <v>-</v>
      </c>
      <c r="BE22" s="18" t="str">
        <f t="shared" si="13"/>
        <v>-</v>
      </c>
      <c r="BG22" s="54">
        <f t="shared" si="14"/>
        <v>1</v>
      </c>
      <c r="BH22" s="54" t="str">
        <f t="shared" si="15"/>
        <v>-</v>
      </c>
      <c r="BI22" s="54" t="str">
        <f t="shared" si="16"/>
        <v>-</v>
      </c>
      <c r="BJ22" s="54" t="str">
        <f t="shared" si="17"/>
        <v>-</v>
      </c>
      <c r="BK22" s="58"/>
    </row>
    <row r="23" spans="1:63" x14ac:dyDescent="0.25">
      <c r="A23" t="s">
        <v>149</v>
      </c>
      <c r="B23" s="62">
        <f>SUMIFS(Areas!J:J,Areas!$A:$A,Rios!$A23)</f>
        <v>35</v>
      </c>
      <c r="C23" s="62">
        <f>SUMIFS(Areas!K:K,Areas!$A:$A,Rios!$A23)</f>
        <v>20</v>
      </c>
      <c r="D23" s="62">
        <f>SUMIFS(Areas!L:L,Areas!$A:$A,Rios!$A23)</f>
        <v>20</v>
      </c>
      <c r="E23" s="62">
        <f>SUMIFS(Areas!M:M,Areas!$A:$A,Rios!$A23)</f>
        <v>0</v>
      </c>
      <c r="F23" s="40" t="str">
        <f>IF($A23&lt;&gt;"",VLOOKUP(Rios!$A23,Areas!$A:$I,F$2,FALSE),"-")</f>
        <v>3184-PLC-003</v>
      </c>
      <c r="G23" t="str">
        <f>IF($A23&lt;&gt;"",VLOOKUP(Rios!$A23,Areas!$A:$I,G$2,FALSE),"-")</f>
        <v>MG/Cleaner/Scavenger Flotation</v>
      </c>
      <c r="H23" s="40" t="str">
        <f>IF($A23&lt;&gt;"",VLOOKUP(Rios!$A23,Areas!$A:$I,H$2,FALSE),"-")</f>
        <v>Cleaner</v>
      </c>
      <c r="J23" s="48">
        <v>2</v>
      </c>
      <c r="L23" s="54">
        <f t="shared" si="0"/>
        <v>18</v>
      </c>
      <c r="M23" s="54">
        <f t="shared" si="1"/>
        <v>10</v>
      </c>
      <c r="N23" s="54">
        <f t="shared" si="2"/>
        <v>10</v>
      </c>
      <c r="O23" s="54">
        <f t="shared" si="3"/>
        <v>0</v>
      </c>
      <c r="Q23" s="54">
        <f>IF($J23&gt;0,ROUNDUP((L23*Constraints!$D$3/$J23/100)+L23,0),"-")</f>
        <v>20</v>
      </c>
      <c r="R23" s="54">
        <f>IF($J23&gt;0,ROUNDUP((M23*Constraints!$D$3/$J23/100)+M23,0),"-")</f>
        <v>11</v>
      </c>
      <c r="S23" s="54">
        <f>IF($J23&gt;0,ROUNDUP((N23*Constraints!$D$3/$J23/100)+N23,0),"-")</f>
        <v>11</v>
      </c>
      <c r="T23" s="54">
        <f>IF($J23&gt;0,ROUNDUP((O23*Constraints!$D$3/$J23/100)+O23,0),"-")</f>
        <v>0</v>
      </c>
      <c r="V23" s="54">
        <f>IF($J23&gt;0,ROUNDUP((Q23*Constraints!$D$4/$J23/100)+Q23,0),"-")</f>
        <v>22</v>
      </c>
      <c r="W23" s="54">
        <f>IF($J23&gt;0,ROUNDUP((R23*Constraints!$D$4/$J23/100)+R23,0),"-")</f>
        <v>13</v>
      </c>
      <c r="X23" s="54">
        <f>IF($J23&gt;0,ROUNDUP((S23*Constraints!$D$4/$J23/100)+S23,0),"-")</f>
        <v>13</v>
      </c>
      <c r="Y23" s="54">
        <f>IF($J23&gt;0,ROUNDUP((T23*Constraints!$D$4/$J23/100)+T23,0),"-")</f>
        <v>0</v>
      </c>
      <c r="AA23" s="25">
        <f t="shared" si="20"/>
        <v>48</v>
      </c>
      <c r="AB23" s="110" t="str">
        <f>IF(AA23&gt;Constraints!$D$5,Rios!AA23-Constraints!$D$5,"-")</f>
        <v>-</v>
      </c>
      <c r="AD23" s="30">
        <f t="shared" si="4"/>
        <v>3</v>
      </c>
      <c r="AE23" s="30">
        <f t="shared" si="5"/>
        <v>4</v>
      </c>
      <c r="AF23" s="30">
        <f t="shared" si="6"/>
        <v>1</v>
      </c>
      <c r="AG23" s="30">
        <f t="shared" si="7"/>
        <v>0</v>
      </c>
      <c r="AI23" s="25">
        <f t="shared" si="18"/>
        <v>8</v>
      </c>
      <c r="AJ23" s="110" t="str">
        <f>IF(AI23&gt;Constraints!$D$6,Rios!AI23-Constraints!$D$6,"-")</f>
        <v>-</v>
      </c>
      <c r="AL23" s="25">
        <f>IF(AM23&lt;&gt;"",VLOOKUP(AM23,Constraints!I:J,2,FALSE),"")</f>
        <v>1</v>
      </c>
      <c r="AM23" s="105" t="s">
        <v>297</v>
      </c>
      <c r="AN23" s="30">
        <f>IF($AL23&lt;&gt;"",VLOOKUP($AL23,Constraints!$H:$V,4,FALSE),"-")</f>
        <v>4</v>
      </c>
      <c r="AO23" s="30">
        <f>IF($AL23&lt;&gt;"",VLOOKUP($AL23,Constraints!$H:$V,7,FALSE),"-")</f>
        <v>2</v>
      </c>
      <c r="AP23" s="30">
        <f>IF($AL23&lt;&gt;"",VLOOKUP($AL23,Constraints!$H:$V,10,FALSE),"-")</f>
        <v>4</v>
      </c>
      <c r="AQ23" s="30">
        <f>IF($AL23&lt;&gt;"",VLOOKUP($AL23,Constraints!$H:$V,13,FALSE),"-")</f>
        <v>2</v>
      </c>
      <c r="AS23" s="54">
        <f>IF($AL23&lt;&gt;"",VLOOKUP($AL23,Constraints!$H:$AG,23,FALSE),"-")</f>
        <v>32</v>
      </c>
      <c r="AT23" s="54">
        <f>IF($AL23&lt;&gt;"",VLOOKUP($AL23,Constraints!$H:$AG,24,FALSE),"-")</f>
        <v>8</v>
      </c>
      <c r="AU23" s="54">
        <f>IF($AL23&lt;&gt;"",VLOOKUP($AL23,Constraints!$H:$AG,25,FALSE),"-")</f>
        <v>64</v>
      </c>
      <c r="AV23" s="54">
        <f>IF($AL23&lt;&gt;"",VLOOKUP($AL23,Constraints!$H:$AG,26,FALSE),"-")</f>
        <v>32</v>
      </c>
      <c r="AX23" s="30" t="str">
        <f t="shared" si="8"/>
        <v>-</v>
      </c>
      <c r="AY23" s="30">
        <f t="shared" si="9"/>
        <v>-2</v>
      </c>
      <c r="AZ23" s="30" t="str">
        <f t="shared" si="10"/>
        <v>-</v>
      </c>
      <c r="BA23" s="30" t="str">
        <f t="shared" si="11"/>
        <v>-</v>
      </c>
      <c r="BC23" s="18" t="str">
        <f t="shared" si="19"/>
        <v>X</v>
      </c>
      <c r="BD23" s="18" t="str">
        <f t="shared" si="12"/>
        <v>-</v>
      </c>
      <c r="BE23" s="18" t="str">
        <f t="shared" si="13"/>
        <v>-</v>
      </c>
      <c r="BG23" s="54" t="str">
        <f t="shared" si="14"/>
        <v>-</v>
      </c>
      <c r="BH23" s="54">
        <f t="shared" si="15"/>
        <v>5</v>
      </c>
      <c r="BI23" s="54" t="str">
        <f t="shared" si="16"/>
        <v>-</v>
      </c>
      <c r="BJ23" s="54" t="str">
        <f t="shared" si="17"/>
        <v>-</v>
      </c>
      <c r="BK23" s="58"/>
    </row>
    <row r="24" spans="1:63" x14ac:dyDescent="0.25">
      <c r="A24" t="s">
        <v>150</v>
      </c>
      <c r="B24" s="62">
        <f>SUMIFS(Areas!J:J,Areas!$A:$A,Rios!$A24)</f>
        <v>4</v>
      </c>
      <c r="C24" s="62">
        <f>SUMIFS(Areas!K:K,Areas!$A:$A,Rios!$A24)</f>
        <v>0</v>
      </c>
      <c r="D24" s="62">
        <f>SUMIFS(Areas!L:L,Areas!$A:$A,Rios!$A24)</f>
        <v>14</v>
      </c>
      <c r="E24" s="62">
        <f>SUMIFS(Areas!M:M,Areas!$A:$A,Rios!$A24)</f>
        <v>4</v>
      </c>
      <c r="F24" s="40" t="str">
        <f>IF($A24&lt;&gt;"",VLOOKUP(Rios!$A24,Areas!$A:$I,F$2,FALSE),"-")</f>
        <v>3184-PLC-003</v>
      </c>
      <c r="G24" t="str">
        <f>IF($A24&lt;&gt;"",VLOOKUP(Rios!$A24,Areas!$A:$I,G$2,FALSE),"-")</f>
        <v>MG/Cleaner/Scavenger Flotation</v>
      </c>
      <c r="H24" s="40" t="str">
        <f>IF($A24&lt;&gt;"",VLOOKUP(Rios!$A24,Areas!$A:$I,H$2,FALSE),"-")</f>
        <v>Cleaner</v>
      </c>
      <c r="J24" s="48">
        <v>1</v>
      </c>
      <c r="L24" s="54">
        <f t="shared" si="0"/>
        <v>4</v>
      </c>
      <c r="M24" s="54">
        <f t="shared" si="1"/>
        <v>0</v>
      </c>
      <c r="N24" s="54">
        <f t="shared" si="2"/>
        <v>14</v>
      </c>
      <c r="O24" s="54">
        <f t="shared" si="3"/>
        <v>4</v>
      </c>
      <c r="Q24" s="54">
        <f>IF($J24&gt;0,ROUNDUP((L24*Constraints!$D$3/$J24/100)+L24,0),"-")</f>
        <v>5</v>
      </c>
      <c r="R24" s="54">
        <f>IF($J24&gt;0,ROUNDUP((M24*Constraints!$D$3/$J24/100)+M24,0),"-")</f>
        <v>0</v>
      </c>
      <c r="S24" s="54">
        <f>IF($J24&gt;0,ROUNDUP((N24*Constraints!$D$3/$J24/100)+N24,0),"-")</f>
        <v>17</v>
      </c>
      <c r="T24" s="54">
        <f>IF($J24&gt;0,ROUNDUP((O24*Constraints!$D$3/$J24/100)+O24,0),"-")</f>
        <v>5</v>
      </c>
      <c r="V24" s="54">
        <f>IF($J24&gt;0,ROUNDUP((Q24*Constraints!$D$4/$J24/100)+Q24,0),"-")</f>
        <v>6</v>
      </c>
      <c r="W24" s="54">
        <f>IF($J24&gt;0,ROUNDUP((R24*Constraints!$D$4/$J24/100)+R24,0),"-")</f>
        <v>0</v>
      </c>
      <c r="X24" s="54">
        <f>IF($J24&gt;0,ROUNDUP((S24*Constraints!$D$4/$J24/100)+S24,0),"-")</f>
        <v>21</v>
      </c>
      <c r="Y24" s="54">
        <f>IF($J24&gt;0,ROUNDUP((T24*Constraints!$D$4/$J24/100)+T24,0),"-")</f>
        <v>6</v>
      </c>
      <c r="AA24" s="25">
        <f t="shared" si="20"/>
        <v>33</v>
      </c>
      <c r="AB24" s="110" t="str">
        <f>IF(AA24&gt;Constraints!$D$5,Rios!AA24-Constraints!$D$5,"-")</f>
        <v>-</v>
      </c>
      <c r="AD24" s="30">
        <f t="shared" si="4"/>
        <v>1</v>
      </c>
      <c r="AE24" s="30">
        <f t="shared" si="5"/>
        <v>0</v>
      </c>
      <c r="AF24" s="30">
        <f t="shared" si="6"/>
        <v>2</v>
      </c>
      <c r="AG24" s="30">
        <f t="shared" si="7"/>
        <v>1</v>
      </c>
      <c r="AI24" s="25">
        <f t="shared" si="18"/>
        <v>4</v>
      </c>
      <c r="AJ24" s="110" t="str">
        <f>IF(AI24&gt;Constraints!$D$6,Rios!AI24-Constraints!$D$6,"-")</f>
        <v>-</v>
      </c>
      <c r="AL24" s="25">
        <f>IF(AM24&lt;&gt;"",VLOOKUP(AM24,Constraints!I:J,2,FALSE),"")</f>
        <v>2</v>
      </c>
      <c r="AM24" s="105" t="s">
        <v>421</v>
      </c>
      <c r="AN24" s="30">
        <f>IF($AL24&lt;&gt;"",VLOOKUP($AL24,Constraints!$H:$V,4,FALSE),"-")</f>
        <v>2</v>
      </c>
      <c r="AO24" s="30">
        <f>IF($AL24&lt;&gt;"",VLOOKUP($AL24,Constraints!$H:$V,7,FALSE),"-")</f>
        <v>1</v>
      </c>
      <c r="AP24" s="30">
        <f>IF($AL24&lt;&gt;"",VLOOKUP($AL24,Constraints!$H:$V,10,FALSE),"-")</f>
        <v>2</v>
      </c>
      <c r="AQ24" s="30">
        <f>IF($AL24&lt;&gt;"",VLOOKUP($AL24,Constraints!$H:$V,13,FALSE),"-")</f>
        <v>1</v>
      </c>
      <c r="AS24" s="54">
        <f>IF($AL24&lt;&gt;"",VLOOKUP($AL24,Constraints!$H:$AG,23,FALSE),"-")</f>
        <v>16</v>
      </c>
      <c r="AT24" s="54">
        <f>IF($AL24&lt;&gt;"",VLOOKUP($AL24,Constraints!$H:$AG,24,FALSE),"-")</f>
        <v>4</v>
      </c>
      <c r="AU24" s="54">
        <f>IF($AL24&lt;&gt;"",VLOOKUP($AL24,Constraints!$H:$AG,25,FALSE),"-")</f>
        <v>32</v>
      </c>
      <c r="AV24" s="54">
        <f>IF($AL24&lt;&gt;"",VLOOKUP($AL24,Constraints!$H:$AG,26,FALSE),"-")</f>
        <v>16</v>
      </c>
      <c r="AX24" s="30" t="str">
        <f t="shared" si="8"/>
        <v>-</v>
      </c>
      <c r="AY24" s="30" t="str">
        <f t="shared" si="9"/>
        <v>-</v>
      </c>
      <c r="AZ24" s="30" t="str">
        <f t="shared" si="10"/>
        <v>-</v>
      </c>
      <c r="BA24" s="30" t="str">
        <f t="shared" si="11"/>
        <v>-</v>
      </c>
      <c r="BC24" s="18" t="str">
        <f t="shared" si="19"/>
        <v>-</v>
      </c>
      <c r="BD24" s="18" t="str">
        <f t="shared" si="12"/>
        <v>-</v>
      </c>
      <c r="BE24" s="18" t="str">
        <f t="shared" si="13"/>
        <v>-</v>
      </c>
      <c r="BG24" s="54" t="str">
        <f t="shared" si="14"/>
        <v>-</v>
      </c>
      <c r="BH24" s="54" t="str">
        <f t="shared" si="15"/>
        <v>-</v>
      </c>
      <c r="BI24" s="54" t="str">
        <f t="shared" si="16"/>
        <v>-</v>
      </c>
      <c r="BJ24" s="54" t="str">
        <f t="shared" si="17"/>
        <v>-</v>
      </c>
      <c r="BK24" s="58"/>
    </row>
    <row r="25" spans="1:63" x14ac:dyDescent="0.25">
      <c r="A25" t="s">
        <v>151</v>
      </c>
      <c r="B25" s="62">
        <f>SUMIFS(Areas!J:J,Areas!$A:$A,Rios!$A25)</f>
        <v>35</v>
      </c>
      <c r="C25" s="62">
        <f>SUMIFS(Areas!K:K,Areas!$A:$A,Rios!$A25)</f>
        <v>20</v>
      </c>
      <c r="D25" s="62">
        <f>SUMIFS(Areas!L:L,Areas!$A:$A,Rios!$A25)</f>
        <v>20</v>
      </c>
      <c r="E25" s="62">
        <f>SUMIFS(Areas!M:M,Areas!$A:$A,Rios!$A25)</f>
        <v>0</v>
      </c>
      <c r="F25" s="40" t="str">
        <f>IF($A25&lt;&gt;"",VLOOKUP(Rios!$A25,Areas!$A:$I,F$2,FALSE),"-")</f>
        <v>3184-PLC-003</v>
      </c>
      <c r="G25" t="str">
        <f>IF($A25&lt;&gt;"",VLOOKUP(Rios!$A25,Areas!$A:$I,G$2,FALSE),"-")</f>
        <v>MG/Cleaner/Scavenger Flotation</v>
      </c>
      <c r="H25" s="40" t="str">
        <f>IF($A25&lt;&gt;"",VLOOKUP(Rios!$A25,Areas!$A:$I,H$2,FALSE),"-")</f>
        <v>Scavenger</v>
      </c>
      <c r="J25" s="48">
        <v>2</v>
      </c>
      <c r="L25" s="54">
        <f t="shared" si="0"/>
        <v>18</v>
      </c>
      <c r="M25" s="54">
        <f t="shared" si="1"/>
        <v>10</v>
      </c>
      <c r="N25" s="54">
        <f t="shared" si="2"/>
        <v>10</v>
      </c>
      <c r="O25" s="54">
        <f t="shared" si="3"/>
        <v>0</v>
      </c>
      <c r="Q25" s="54">
        <f>IF($J25&gt;0,ROUNDUP((L25*Constraints!$D$3/$J25/100)+L25,0),"-")</f>
        <v>20</v>
      </c>
      <c r="R25" s="54">
        <f>IF($J25&gt;0,ROUNDUP((M25*Constraints!$D$3/$J25/100)+M25,0),"-")</f>
        <v>11</v>
      </c>
      <c r="S25" s="54">
        <f>IF($J25&gt;0,ROUNDUP((N25*Constraints!$D$3/$J25/100)+N25,0),"-")</f>
        <v>11</v>
      </c>
      <c r="T25" s="54">
        <f>IF($J25&gt;0,ROUNDUP((O25*Constraints!$D$3/$J25/100)+O25,0),"-")</f>
        <v>0</v>
      </c>
      <c r="V25" s="54">
        <f>IF($J25&gt;0,ROUNDUP((Q25*Constraints!$D$4/$J25/100)+Q25,0),"-")</f>
        <v>22</v>
      </c>
      <c r="W25" s="54">
        <f>IF($J25&gt;0,ROUNDUP((R25*Constraints!$D$4/$J25/100)+R25,0),"-")</f>
        <v>13</v>
      </c>
      <c r="X25" s="54">
        <f>IF($J25&gt;0,ROUNDUP((S25*Constraints!$D$4/$J25/100)+S25,0),"-")</f>
        <v>13</v>
      </c>
      <c r="Y25" s="54">
        <f>IF($J25&gt;0,ROUNDUP((T25*Constraints!$D$4/$J25/100)+T25,0),"-")</f>
        <v>0</v>
      </c>
      <c r="AA25" s="25">
        <f t="shared" si="20"/>
        <v>48</v>
      </c>
      <c r="AB25" s="110" t="str">
        <f>IF(AA25&gt;Constraints!$D$5,Rios!AA25-Constraints!$D$5,"-")</f>
        <v>-</v>
      </c>
      <c r="AD25" s="30">
        <f t="shared" si="4"/>
        <v>3</v>
      </c>
      <c r="AE25" s="30">
        <f t="shared" si="5"/>
        <v>4</v>
      </c>
      <c r="AF25" s="30">
        <f t="shared" si="6"/>
        <v>1</v>
      </c>
      <c r="AG25" s="30">
        <f t="shared" si="7"/>
        <v>0</v>
      </c>
      <c r="AI25" s="25">
        <f t="shared" si="18"/>
        <v>8</v>
      </c>
      <c r="AJ25" s="110" t="str">
        <f>IF(AI25&gt;Constraints!$D$6,Rios!AI25-Constraints!$D$6,"-")</f>
        <v>-</v>
      </c>
      <c r="AL25" s="25">
        <f>IF(AM25&lt;&gt;"",VLOOKUP(AM25,Constraints!I:J,2,FALSE),"")</f>
        <v>1</v>
      </c>
      <c r="AM25" s="105" t="s">
        <v>297</v>
      </c>
      <c r="AN25" s="30">
        <f>IF($AL25&lt;&gt;"",VLOOKUP($AL25,Constraints!$H:$V,4,FALSE),"-")</f>
        <v>4</v>
      </c>
      <c r="AO25" s="30">
        <f>IF($AL25&lt;&gt;"",VLOOKUP($AL25,Constraints!$H:$V,7,FALSE),"-")</f>
        <v>2</v>
      </c>
      <c r="AP25" s="30">
        <f>IF($AL25&lt;&gt;"",VLOOKUP($AL25,Constraints!$H:$V,10,FALSE),"-")</f>
        <v>4</v>
      </c>
      <c r="AQ25" s="30">
        <f>IF($AL25&lt;&gt;"",VLOOKUP($AL25,Constraints!$H:$V,13,FALSE),"-")</f>
        <v>2</v>
      </c>
      <c r="AS25" s="54">
        <f>IF($AL25&lt;&gt;"",VLOOKUP($AL25,Constraints!$H:$AG,23,FALSE),"-")</f>
        <v>32</v>
      </c>
      <c r="AT25" s="54">
        <f>IF($AL25&lt;&gt;"",VLOOKUP($AL25,Constraints!$H:$AG,24,FALSE),"-")</f>
        <v>8</v>
      </c>
      <c r="AU25" s="54">
        <f>IF($AL25&lt;&gt;"",VLOOKUP($AL25,Constraints!$H:$AG,25,FALSE),"-")</f>
        <v>64</v>
      </c>
      <c r="AV25" s="54">
        <f>IF($AL25&lt;&gt;"",VLOOKUP($AL25,Constraints!$H:$AG,26,FALSE),"-")</f>
        <v>32</v>
      </c>
      <c r="AX25" s="30" t="str">
        <f t="shared" si="8"/>
        <v>-</v>
      </c>
      <c r="AY25" s="30">
        <f t="shared" si="9"/>
        <v>-2</v>
      </c>
      <c r="AZ25" s="30" t="str">
        <f t="shared" si="10"/>
        <v>-</v>
      </c>
      <c r="BA25" s="30" t="str">
        <f t="shared" si="11"/>
        <v>-</v>
      </c>
      <c r="BC25" s="18" t="str">
        <f t="shared" si="19"/>
        <v>X</v>
      </c>
      <c r="BD25" s="18" t="str">
        <f t="shared" si="12"/>
        <v>-</v>
      </c>
      <c r="BE25" s="18" t="str">
        <f t="shared" si="13"/>
        <v>-</v>
      </c>
      <c r="BG25" s="54" t="str">
        <f t="shared" si="14"/>
        <v>-</v>
      </c>
      <c r="BH25" s="54">
        <f t="shared" si="15"/>
        <v>5</v>
      </c>
      <c r="BI25" s="54" t="str">
        <f t="shared" si="16"/>
        <v>-</v>
      </c>
      <c r="BJ25" s="54" t="str">
        <f t="shared" si="17"/>
        <v>-</v>
      </c>
      <c r="BK25" s="58"/>
    </row>
    <row r="26" spans="1:63" x14ac:dyDescent="0.25">
      <c r="A26" t="s">
        <v>266</v>
      </c>
      <c r="B26" s="62">
        <f>SUMIFS(Areas!J:J,Areas!$A:$A,Rios!$A26)</f>
        <v>4</v>
      </c>
      <c r="C26" s="62">
        <f>SUMIFS(Areas!K:K,Areas!$A:$A,Rios!$A26)</f>
        <v>0</v>
      </c>
      <c r="D26" s="62">
        <f>SUMIFS(Areas!L:L,Areas!$A:$A,Rios!$A26)</f>
        <v>14</v>
      </c>
      <c r="E26" s="62">
        <f>SUMIFS(Areas!M:M,Areas!$A:$A,Rios!$A26)</f>
        <v>4</v>
      </c>
      <c r="F26" s="40" t="str">
        <f>IF($A26&lt;&gt;"",VLOOKUP(Rios!$A26,Areas!$A:$I,F$2,FALSE),"-")</f>
        <v>3184-PLC-003</v>
      </c>
      <c r="G26" t="str">
        <f>IF($A26&lt;&gt;"",VLOOKUP(Rios!$A26,Areas!$A:$I,G$2,FALSE),"-")</f>
        <v>MG/Cleaner/Scavenger Flotation</v>
      </c>
      <c r="H26" s="40" t="str">
        <f>IF($A26&lt;&gt;"",VLOOKUP(Rios!$A26,Areas!$A:$I,H$2,FALSE),"-")</f>
        <v>Scavenger</v>
      </c>
      <c r="J26" s="48">
        <v>1</v>
      </c>
      <c r="L26" s="54">
        <f t="shared" si="0"/>
        <v>4</v>
      </c>
      <c r="M26" s="54">
        <f t="shared" si="1"/>
        <v>0</v>
      </c>
      <c r="N26" s="54">
        <f t="shared" si="2"/>
        <v>14</v>
      </c>
      <c r="O26" s="54">
        <f t="shared" si="3"/>
        <v>4</v>
      </c>
      <c r="Q26" s="54">
        <f>IF($J26&gt;0,ROUNDUP((L26*Constraints!$D$3/$J26/100)+L26,0),"-")</f>
        <v>5</v>
      </c>
      <c r="R26" s="54">
        <f>IF($J26&gt;0,ROUNDUP((M26*Constraints!$D$3/$J26/100)+M26,0),"-")</f>
        <v>0</v>
      </c>
      <c r="S26" s="54">
        <f>IF($J26&gt;0,ROUNDUP((N26*Constraints!$D$3/$J26/100)+N26,0),"-")</f>
        <v>17</v>
      </c>
      <c r="T26" s="54">
        <f>IF($J26&gt;0,ROUNDUP((O26*Constraints!$D$3/$J26/100)+O26,0),"-")</f>
        <v>5</v>
      </c>
      <c r="V26" s="54">
        <f>IF($J26&gt;0,ROUNDUP((Q26*Constraints!$D$4/$J26/100)+Q26,0),"-")</f>
        <v>6</v>
      </c>
      <c r="W26" s="54">
        <f>IF($J26&gt;0,ROUNDUP((R26*Constraints!$D$4/$J26/100)+R26,0),"-")</f>
        <v>0</v>
      </c>
      <c r="X26" s="54">
        <f>IF($J26&gt;0,ROUNDUP((S26*Constraints!$D$4/$J26/100)+S26,0),"-")</f>
        <v>21</v>
      </c>
      <c r="Y26" s="54">
        <f>IF($J26&gt;0,ROUNDUP((T26*Constraints!$D$4/$J26/100)+T26,0),"-")</f>
        <v>6</v>
      </c>
      <c r="AA26" s="25">
        <f t="shared" si="20"/>
        <v>33</v>
      </c>
      <c r="AB26" s="110" t="str">
        <f>IF(AA26&gt;Constraints!$D$5,Rios!AA26-Constraints!$D$5,"-")</f>
        <v>-</v>
      </c>
      <c r="AD26" s="30">
        <f t="shared" si="4"/>
        <v>1</v>
      </c>
      <c r="AE26" s="30">
        <f t="shared" si="5"/>
        <v>0</v>
      </c>
      <c r="AF26" s="30">
        <f t="shared" si="6"/>
        <v>2</v>
      </c>
      <c r="AG26" s="30">
        <f t="shared" si="7"/>
        <v>1</v>
      </c>
      <c r="AI26" s="25">
        <f t="shared" si="18"/>
        <v>4</v>
      </c>
      <c r="AJ26" s="110" t="str">
        <f>IF(AI26&gt;Constraints!$D$6,Rios!AI26-Constraints!$D$6,"-")</f>
        <v>-</v>
      </c>
      <c r="AL26" s="25">
        <f>IF(AM26&lt;&gt;"",VLOOKUP(AM26,Constraints!I:J,2,FALSE),"")</f>
        <v>2</v>
      </c>
      <c r="AM26" s="105" t="s">
        <v>421</v>
      </c>
      <c r="AN26" s="30">
        <f>IF($AL26&lt;&gt;"",VLOOKUP($AL26,Constraints!$H:$V,4,FALSE),"-")</f>
        <v>2</v>
      </c>
      <c r="AO26" s="30">
        <f>IF($AL26&lt;&gt;"",VLOOKUP($AL26,Constraints!$H:$V,7,FALSE),"-")</f>
        <v>1</v>
      </c>
      <c r="AP26" s="30">
        <f>IF($AL26&lt;&gt;"",VLOOKUP($AL26,Constraints!$H:$V,10,FALSE),"-")</f>
        <v>2</v>
      </c>
      <c r="AQ26" s="30">
        <f>IF($AL26&lt;&gt;"",VLOOKUP($AL26,Constraints!$H:$V,13,FALSE),"-")</f>
        <v>1</v>
      </c>
      <c r="AS26" s="54">
        <f>IF($AL26&lt;&gt;"",VLOOKUP($AL26,Constraints!$H:$AG,23,FALSE),"-")</f>
        <v>16</v>
      </c>
      <c r="AT26" s="54">
        <f>IF($AL26&lt;&gt;"",VLOOKUP($AL26,Constraints!$H:$AG,24,FALSE),"-")</f>
        <v>4</v>
      </c>
      <c r="AU26" s="54">
        <f>IF($AL26&lt;&gt;"",VLOOKUP($AL26,Constraints!$H:$AG,25,FALSE),"-")</f>
        <v>32</v>
      </c>
      <c r="AV26" s="54">
        <f>IF($AL26&lt;&gt;"",VLOOKUP($AL26,Constraints!$H:$AG,26,FALSE),"-")</f>
        <v>16</v>
      </c>
      <c r="AX26" s="30" t="str">
        <f t="shared" si="8"/>
        <v>-</v>
      </c>
      <c r="AY26" s="30" t="str">
        <f t="shared" si="9"/>
        <v>-</v>
      </c>
      <c r="AZ26" s="30" t="str">
        <f t="shared" si="10"/>
        <v>-</v>
      </c>
      <c r="BA26" s="30" t="str">
        <f t="shared" si="11"/>
        <v>-</v>
      </c>
      <c r="BC26" s="18" t="str">
        <f t="shared" si="19"/>
        <v>-</v>
      </c>
      <c r="BD26" s="18" t="str">
        <f t="shared" si="12"/>
        <v>-</v>
      </c>
      <c r="BE26" s="18" t="str">
        <f t="shared" si="13"/>
        <v>-</v>
      </c>
      <c r="BG26" s="54" t="str">
        <f t="shared" si="14"/>
        <v>-</v>
      </c>
      <c r="BH26" s="54" t="str">
        <f t="shared" si="15"/>
        <v>-</v>
      </c>
      <c r="BI26" s="54" t="str">
        <f t="shared" si="16"/>
        <v>-</v>
      </c>
      <c r="BJ26" s="54" t="str">
        <f t="shared" si="17"/>
        <v>-</v>
      </c>
      <c r="BK26" s="58"/>
    </row>
    <row r="27" spans="1:63" x14ac:dyDescent="0.25">
      <c r="A27" t="s">
        <v>165</v>
      </c>
      <c r="B27" s="62">
        <f>SUMIFS(Areas!J:J,Areas!$A:$A,Rios!$A27)</f>
        <v>39</v>
      </c>
      <c r="C27" s="62">
        <f>SUMIFS(Areas!K:K,Areas!$A:$A,Rios!$A27)</f>
        <v>20</v>
      </c>
      <c r="D27" s="62">
        <f>SUMIFS(Areas!L:L,Areas!$A:$A,Rios!$A27)</f>
        <v>34</v>
      </c>
      <c r="E27" s="62">
        <f>SUMIFS(Areas!M:M,Areas!$A:$A,Rios!$A27)</f>
        <v>4</v>
      </c>
      <c r="F27" s="40" t="str">
        <f>IF($A27&lt;&gt;"",VLOOKUP(Rios!$A27,Areas!$A:$I,F$2,FALSE),"-")</f>
        <v>3184-PLC-004</v>
      </c>
      <c r="G27" t="str">
        <f>IF($A27&lt;&gt;"",VLOOKUP(Rios!$A27,Areas!$A:$I,G$2,FALSE),"-")</f>
        <v>Pyrrhotite Flotation</v>
      </c>
      <c r="H27" s="40" t="str">
        <f>IF($A27&lt;&gt;"",VLOOKUP(Rios!$A27,Areas!$A:$I,H$2,FALSE),"-")</f>
        <v>Pyrrhotite Flotation</v>
      </c>
      <c r="J27" s="48">
        <v>2</v>
      </c>
      <c r="L27" s="54">
        <f t="shared" si="0"/>
        <v>20</v>
      </c>
      <c r="M27" s="54">
        <f t="shared" si="1"/>
        <v>10</v>
      </c>
      <c r="N27" s="54">
        <f t="shared" si="2"/>
        <v>17</v>
      </c>
      <c r="O27" s="54">
        <f t="shared" si="3"/>
        <v>2</v>
      </c>
      <c r="Q27" s="54">
        <f>IF($J27&gt;0,ROUNDUP((L27*Constraints!$D$3/$J27/100)+L27,0),"-")</f>
        <v>22</v>
      </c>
      <c r="R27" s="54">
        <f>IF($J27&gt;0,ROUNDUP((M27*Constraints!$D$3/$J27/100)+M27,0),"-")</f>
        <v>11</v>
      </c>
      <c r="S27" s="54">
        <f>IF($J27&gt;0,ROUNDUP((N27*Constraints!$D$3/$J27/100)+N27,0),"-")</f>
        <v>19</v>
      </c>
      <c r="T27" s="54">
        <f>IF($J27&gt;0,ROUNDUP((O27*Constraints!$D$3/$J27/100)+O27,0),"-")</f>
        <v>3</v>
      </c>
      <c r="V27" s="54">
        <f>IF($J27&gt;0,ROUNDUP((Q27*Constraints!$D$4/$J27/100)+Q27,0),"-")</f>
        <v>25</v>
      </c>
      <c r="W27" s="54">
        <f>IF($J27&gt;0,ROUNDUP((R27*Constraints!$D$4/$J27/100)+R27,0),"-")</f>
        <v>13</v>
      </c>
      <c r="X27" s="54">
        <f>IF($J27&gt;0,ROUNDUP((S27*Constraints!$D$4/$J27/100)+S27,0),"-")</f>
        <v>21</v>
      </c>
      <c r="Y27" s="54">
        <f>IF($J27&gt;0,ROUNDUP((T27*Constraints!$D$4/$J27/100)+T27,0),"-")</f>
        <v>4</v>
      </c>
      <c r="AA27" s="25">
        <f t="shared" si="20"/>
        <v>63</v>
      </c>
      <c r="AB27" s="110" t="str">
        <f>IF(AA27&gt;Constraints!$D$5,Rios!AA27-Constraints!$D$5,"-")</f>
        <v>-</v>
      </c>
      <c r="AD27" s="30">
        <f t="shared" si="4"/>
        <v>4</v>
      </c>
      <c r="AE27" s="30">
        <f t="shared" si="5"/>
        <v>4</v>
      </c>
      <c r="AF27" s="30">
        <f t="shared" si="6"/>
        <v>2</v>
      </c>
      <c r="AG27" s="30">
        <f t="shared" si="7"/>
        <v>1</v>
      </c>
      <c r="AI27" s="25">
        <f t="shared" si="18"/>
        <v>11</v>
      </c>
      <c r="AJ27" s="110" t="str">
        <f>IF(AI27&gt;Constraints!$D$6,Rios!AI27-Constraints!$D$6,"-")</f>
        <v>-</v>
      </c>
      <c r="AL27" s="25">
        <f>IF(AM27&lt;&gt;"",VLOOKUP(AM27,Constraints!I:J,2,FALSE),"")</f>
        <v>1</v>
      </c>
      <c r="AM27" s="105" t="s">
        <v>297</v>
      </c>
      <c r="AN27" s="30">
        <f>IF($AL27&lt;&gt;"",VLOOKUP($AL27,Constraints!$H:$V,4,FALSE),"-")</f>
        <v>4</v>
      </c>
      <c r="AO27" s="30">
        <f>IF($AL27&lt;&gt;"",VLOOKUP($AL27,Constraints!$H:$V,7,FALSE),"-")</f>
        <v>2</v>
      </c>
      <c r="AP27" s="30">
        <f>IF($AL27&lt;&gt;"",VLOOKUP($AL27,Constraints!$H:$V,10,FALSE),"-")</f>
        <v>4</v>
      </c>
      <c r="AQ27" s="30">
        <f>IF($AL27&lt;&gt;"",VLOOKUP($AL27,Constraints!$H:$V,13,FALSE),"-")</f>
        <v>2</v>
      </c>
      <c r="AS27" s="54">
        <f>IF($AL27&lt;&gt;"",VLOOKUP($AL27,Constraints!$H:$AG,23,FALSE),"-")</f>
        <v>32</v>
      </c>
      <c r="AT27" s="54">
        <f>IF($AL27&lt;&gt;"",VLOOKUP($AL27,Constraints!$H:$AG,24,FALSE),"-")</f>
        <v>8</v>
      </c>
      <c r="AU27" s="54">
        <f>IF($AL27&lt;&gt;"",VLOOKUP($AL27,Constraints!$H:$AG,25,FALSE),"-")</f>
        <v>64</v>
      </c>
      <c r="AV27" s="54">
        <f>IF($AL27&lt;&gt;"",VLOOKUP($AL27,Constraints!$H:$AG,26,FALSE),"-")</f>
        <v>32</v>
      </c>
      <c r="AX27" s="30" t="str">
        <f t="shared" si="8"/>
        <v>-</v>
      </c>
      <c r="AY27" s="30">
        <f t="shared" si="9"/>
        <v>-2</v>
      </c>
      <c r="AZ27" s="30" t="str">
        <f t="shared" si="10"/>
        <v>-</v>
      </c>
      <c r="BA27" s="30" t="str">
        <f t="shared" si="11"/>
        <v>-</v>
      </c>
      <c r="BC27" s="18" t="str">
        <f t="shared" si="19"/>
        <v>X</v>
      </c>
      <c r="BD27" s="18" t="str">
        <f t="shared" si="12"/>
        <v>-</v>
      </c>
      <c r="BE27" s="18" t="str">
        <f t="shared" si="13"/>
        <v>-</v>
      </c>
      <c r="BG27" s="54" t="str">
        <f t="shared" si="14"/>
        <v>-</v>
      </c>
      <c r="BH27" s="54">
        <f t="shared" si="15"/>
        <v>5</v>
      </c>
      <c r="BI27" s="54" t="str">
        <f t="shared" si="16"/>
        <v>-</v>
      </c>
      <c r="BJ27" s="54" t="str">
        <f t="shared" si="17"/>
        <v>-</v>
      </c>
      <c r="BK27" s="58"/>
    </row>
    <row r="28" spans="1:63" x14ac:dyDescent="0.25">
      <c r="A28" t="s">
        <v>159</v>
      </c>
      <c r="B28" s="62">
        <f>SUMIFS(Areas!J:J,Areas!$A:$A,Rios!$A28)</f>
        <v>7</v>
      </c>
      <c r="C28" s="62">
        <f>SUMIFS(Areas!K:K,Areas!$A:$A,Rios!$A28)</f>
        <v>0</v>
      </c>
      <c r="D28" s="62">
        <f>SUMIFS(Areas!L:L,Areas!$A:$A,Rios!$A28)</f>
        <v>10</v>
      </c>
      <c r="E28" s="62">
        <f>SUMIFS(Areas!M:M,Areas!$A:$A,Rios!$A28)</f>
        <v>5</v>
      </c>
      <c r="F28" s="40" t="str">
        <f>IF($A28&lt;&gt;"",VLOOKUP(Rios!$A28,Areas!$A:$I,F$2,FALSE),"-")</f>
        <v>3184-PLC-004</v>
      </c>
      <c r="G28" t="str">
        <f>IF($A28&lt;&gt;"",VLOOKUP(Rios!$A28,Areas!$A:$I,G$2,FALSE),"-")</f>
        <v>Intermediate Thickener</v>
      </c>
      <c r="H28" s="40" t="str">
        <f>IF($A28&lt;&gt;"",VLOOKUP(Rios!$A28,Areas!$A:$I,H$2,FALSE),"-")</f>
        <v>Intermediate Thickener</v>
      </c>
      <c r="J28" s="48">
        <v>1</v>
      </c>
      <c r="L28" s="54">
        <f t="shared" si="0"/>
        <v>7</v>
      </c>
      <c r="M28" s="54">
        <f t="shared" si="1"/>
        <v>0</v>
      </c>
      <c r="N28" s="54">
        <f t="shared" si="2"/>
        <v>10</v>
      </c>
      <c r="O28" s="54">
        <f t="shared" si="3"/>
        <v>5</v>
      </c>
      <c r="Q28" s="54">
        <f>IF($J28&gt;0,ROUNDUP((L28*Constraints!$D$3/$J28/100)+L28,0),"-")</f>
        <v>9</v>
      </c>
      <c r="R28" s="54">
        <f>IF($J28&gt;0,ROUNDUP((M28*Constraints!$D$3/$J28/100)+M28,0),"-")</f>
        <v>0</v>
      </c>
      <c r="S28" s="54">
        <f>IF($J28&gt;0,ROUNDUP((N28*Constraints!$D$3/$J28/100)+N28,0),"-")</f>
        <v>12</v>
      </c>
      <c r="T28" s="54">
        <f>IF($J28&gt;0,ROUNDUP((O28*Constraints!$D$3/$J28/100)+O28,0),"-")</f>
        <v>6</v>
      </c>
      <c r="V28" s="54">
        <f>IF($J28&gt;0,ROUNDUP((Q28*Constraints!$D$4/$J28/100)+Q28,0),"-")</f>
        <v>11</v>
      </c>
      <c r="W28" s="54">
        <f>IF($J28&gt;0,ROUNDUP((R28*Constraints!$D$4/$J28/100)+R28,0),"-")</f>
        <v>0</v>
      </c>
      <c r="X28" s="54">
        <f>IF($J28&gt;0,ROUNDUP((S28*Constraints!$D$4/$J28/100)+S28,0),"-")</f>
        <v>15</v>
      </c>
      <c r="Y28" s="54">
        <f>IF($J28&gt;0,ROUNDUP((T28*Constraints!$D$4/$J28/100)+T28,0),"-")</f>
        <v>8</v>
      </c>
      <c r="AA28" s="25">
        <f t="shared" si="20"/>
        <v>34</v>
      </c>
      <c r="AB28" s="110" t="str">
        <f>IF(AA28&gt;Constraints!$D$5,Rios!AA28-Constraints!$D$5,"-")</f>
        <v>-</v>
      </c>
      <c r="AD28" s="30">
        <f t="shared" si="4"/>
        <v>2</v>
      </c>
      <c r="AE28" s="30">
        <f t="shared" si="5"/>
        <v>0</v>
      </c>
      <c r="AF28" s="30">
        <f t="shared" si="6"/>
        <v>1</v>
      </c>
      <c r="AG28" s="30">
        <f t="shared" si="7"/>
        <v>1</v>
      </c>
      <c r="AI28" s="25">
        <f t="shared" si="18"/>
        <v>4</v>
      </c>
      <c r="AJ28" s="110" t="str">
        <f>IF(AI28&gt;Constraints!$D$6,Rios!AI28-Constraints!$D$6,"-")</f>
        <v>-</v>
      </c>
      <c r="AL28" s="25">
        <f>IF(AM28&lt;&gt;"",VLOOKUP(AM28,Constraints!I:J,2,FALSE),"")</f>
        <v>2</v>
      </c>
      <c r="AM28" s="105" t="s">
        <v>421</v>
      </c>
      <c r="AN28" s="30">
        <f>IF($AL28&lt;&gt;"",VLOOKUP($AL28,Constraints!$H:$V,4,FALSE),"-")</f>
        <v>2</v>
      </c>
      <c r="AO28" s="30">
        <f>IF($AL28&lt;&gt;"",VLOOKUP($AL28,Constraints!$H:$V,7,FALSE),"-")</f>
        <v>1</v>
      </c>
      <c r="AP28" s="30">
        <f>IF($AL28&lt;&gt;"",VLOOKUP($AL28,Constraints!$H:$V,10,FALSE),"-")</f>
        <v>2</v>
      </c>
      <c r="AQ28" s="30">
        <f>IF($AL28&lt;&gt;"",VLOOKUP($AL28,Constraints!$H:$V,13,FALSE),"-")</f>
        <v>1</v>
      </c>
      <c r="AS28" s="54">
        <f>IF($AL28&lt;&gt;"",VLOOKUP($AL28,Constraints!$H:$AG,23,FALSE),"-")</f>
        <v>16</v>
      </c>
      <c r="AT28" s="54">
        <f>IF($AL28&lt;&gt;"",VLOOKUP($AL28,Constraints!$H:$AG,24,FALSE),"-")</f>
        <v>4</v>
      </c>
      <c r="AU28" s="54">
        <f>IF($AL28&lt;&gt;"",VLOOKUP($AL28,Constraints!$H:$AG,25,FALSE),"-")</f>
        <v>32</v>
      </c>
      <c r="AV28" s="54">
        <f>IF($AL28&lt;&gt;"",VLOOKUP($AL28,Constraints!$H:$AG,26,FALSE),"-")</f>
        <v>16</v>
      </c>
      <c r="AX28" s="30" t="str">
        <f t="shared" si="8"/>
        <v>-</v>
      </c>
      <c r="AY28" s="30" t="str">
        <f t="shared" si="9"/>
        <v>-</v>
      </c>
      <c r="AZ28" s="30" t="str">
        <f t="shared" si="10"/>
        <v>-</v>
      </c>
      <c r="BA28" s="30" t="str">
        <f t="shared" si="11"/>
        <v>-</v>
      </c>
      <c r="BC28" s="18" t="str">
        <f t="shared" si="19"/>
        <v>-</v>
      </c>
      <c r="BD28" s="18" t="str">
        <f t="shared" si="12"/>
        <v>-</v>
      </c>
      <c r="BE28" s="18" t="str">
        <f t="shared" si="13"/>
        <v>-</v>
      </c>
      <c r="BG28" s="54" t="str">
        <f t="shared" si="14"/>
        <v>-</v>
      </c>
      <c r="BH28" s="54" t="str">
        <f t="shared" si="15"/>
        <v>-</v>
      </c>
      <c r="BI28" s="54" t="str">
        <f t="shared" si="16"/>
        <v>-</v>
      </c>
      <c r="BJ28" s="54" t="str">
        <f t="shared" si="17"/>
        <v>-</v>
      </c>
      <c r="BK28" s="58"/>
    </row>
    <row r="29" spans="1:63" x14ac:dyDescent="0.25">
      <c r="A29" t="s">
        <v>160</v>
      </c>
      <c r="B29" s="62">
        <f>SUMIFS(Areas!J:J,Areas!$A:$A,Rios!$A29)</f>
        <v>2</v>
      </c>
      <c r="C29" s="62">
        <f>SUMIFS(Areas!K:K,Areas!$A:$A,Rios!$A29)</f>
        <v>2</v>
      </c>
      <c r="D29" s="62">
        <f>SUMIFS(Areas!L:L,Areas!$A:$A,Rios!$A29)</f>
        <v>50</v>
      </c>
      <c r="E29" s="62">
        <f>SUMIFS(Areas!M:M,Areas!$A:$A,Rios!$A29)</f>
        <v>50</v>
      </c>
      <c r="F29" s="40" t="str">
        <f>IF($A29&lt;&gt;"",VLOOKUP(Rios!$A29,Areas!$A:$I,F$2,FALSE),"-")</f>
        <v>3184-PLC-004</v>
      </c>
      <c r="G29" t="str">
        <f>IF($A29&lt;&gt;"",VLOOKUP(Rios!$A29,Areas!$A:$I,G$2,FALSE),"-")</f>
        <v>Intermediate Thickener</v>
      </c>
      <c r="H29" s="40" t="str">
        <f>IF($A29&lt;&gt;"",VLOOKUP(Rios!$A29,Areas!$A:$I,H$2,FALSE),"-")</f>
        <v>Intermediate Thickener</v>
      </c>
      <c r="J29" s="48">
        <v>1</v>
      </c>
      <c r="L29" s="54">
        <f t="shared" si="0"/>
        <v>2</v>
      </c>
      <c r="M29" s="54">
        <f t="shared" si="1"/>
        <v>2</v>
      </c>
      <c r="N29" s="54">
        <f t="shared" si="2"/>
        <v>50</v>
      </c>
      <c r="O29" s="54">
        <f t="shared" si="3"/>
        <v>50</v>
      </c>
      <c r="Q29" s="54">
        <f>IF($J29&gt;0,ROUNDUP((L29*Constraints!$D$3/$J29/100)+L29,0),"-")</f>
        <v>3</v>
      </c>
      <c r="R29" s="54">
        <f>IF($J29&gt;0,ROUNDUP((M29*Constraints!$D$3/$J29/100)+M29,0),"-")</f>
        <v>3</v>
      </c>
      <c r="S29" s="54">
        <f>IF($J29&gt;0,ROUNDUP((N29*Constraints!$D$3/$J29/100)+N29,0),"-")</f>
        <v>58</v>
      </c>
      <c r="T29" s="54">
        <f>IF($J29&gt;0,ROUNDUP((O29*Constraints!$D$3/$J29/100)+O29,0),"-")</f>
        <v>58</v>
      </c>
      <c r="V29" s="54">
        <f>IF($J29&gt;0,ROUNDUP((Q29*Constraints!$D$4/$J29/100)+Q29,0),"-")</f>
        <v>4</v>
      </c>
      <c r="W29" s="54">
        <f>IF($J29&gt;0,ROUNDUP((R29*Constraints!$D$4/$J29/100)+R29,0),"-")</f>
        <v>4</v>
      </c>
      <c r="X29" s="54">
        <f>IF($J29&gt;0,ROUNDUP((S29*Constraints!$D$4/$J29/100)+S29,0),"-")</f>
        <v>70</v>
      </c>
      <c r="Y29" s="54">
        <f>IF($J29&gt;0,ROUNDUP((T29*Constraints!$D$4/$J29/100)+T29,0),"-")</f>
        <v>70</v>
      </c>
      <c r="AA29" s="25">
        <f t="shared" si="20"/>
        <v>148</v>
      </c>
      <c r="AB29" s="110">
        <f>IF(AA29&gt;Constraints!$D$5,Rios!AA29-Constraints!$D$5,"-")</f>
        <v>28</v>
      </c>
      <c r="AD29" s="30">
        <f t="shared" si="4"/>
        <v>1</v>
      </c>
      <c r="AE29" s="30">
        <f t="shared" si="5"/>
        <v>1</v>
      </c>
      <c r="AF29" s="30">
        <f t="shared" si="6"/>
        <v>5</v>
      </c>
      <c r="AG29" s="30">
        <f t="shared" si="7"/>
        <v>5</v>
      </c>
      <c r="AI29" s="25">
        <f t="shared" si="18"/>
        <v>12</v>
      </c>
      <c r="AJ29" s="110" t="str">
        <f>IF(AI29&gt;Constraints!$D$6,Rios!AI29-Constraints!$D$6,"-")</f>
        <v>-</v>
      </c>
      <c r="AL29" s="25">
        <f>IF(AM29&lt;&gt;"",VLOOKUP(AM29,Constraints!I:J,2,FALSE),"")</f>
        <v>3</v>
      </c>
      <c r="AM29" s="105" t="s">
        <v>329</v>
      </c>
      <c r="AN29" s="30">
        <f>IF($AL29&lt;&gt;"",VLOOKUP($AL29,Constraints!$H:$V,4,FALSE),"-")</f>
        <v>1</v>
      </c>
      <c r="AO29" s="30">
        <f>IF($AL29&lt;&gt;"",VLOOKUP($AL29,Constraints!$H:$V,7,FALSE),"-")</f>
        <v>1</v>
      </c>
      <c r="AP29" s="30">
        <f>IF($AL29&lt;&gt;"",VLOOKUP($AL29,Constraints!$H:$V,10,FALSE),"-")</f>
        <v>5</v>
      </c>
      <c r="AQ29" s="30">
        <f>IF($AL29&lt;&gt;"",VLOOKUP($AL29,Constraints!$H:$V,13,FALSE),"-")</f>
        <v>5</v>
      </c>
      <c r="AS29" s="54">
        <f>IF($AL29&lt;&gt;"",VLOOKUP($AL29,Constraints!$H:$AG,23,FALSE),"-")</f>
        <v>8</v>
      </c>
      <c r="AT29" s="54">
        <f>IF($AL29&lt;&gt;"",VLOOKUP($AL29,Constraints!$H:$AG,24,FALSE),"-")</f>
        <v>4</v>
      </c>
      <c r="AU29" s="54">
        <f>IF($AL29&lt;&gt;"",VLOOKUP($AL29,Constraints!$H:$AG,25,FALSE),"-")</f>
        <v>80</v>
      </c>
      <c r="AV29" s="54">
        <f>IF($AL29&lt;&gt;"",VLOOKUP($AL29,Constraints!$H:$AG,26,FALSE),"-")</f>
        <v>80</v>
      </c>
      <c r="AX29" s="30" t="str">
        <f t="shared" si="8"/>
        <v>-</v>
      </c>
      <c r="AY29" s="30" t="str">
        <f t="shared" si="9"/>
        <v>-</v>
      </c>
      <c r="AZ29" s="30" t="str">
        <f t="shared" si="10"/>
        <v>-</v>
      </c>
      <c r="BA29" s="30" t="str">
        <f t="shared" si="11"/>
        <v>-</v>
      </c>
      <c r="BC29" s="18" t="str">
        <f t="shared" si="19"/>
        <v>-</v>
      </c>
      <c r="BD29" s="18" t="str">
        <f t="shared" si="12"/>
        <v>X</v>
      </c>
      <c r="BE29" s="18" t="str">
        <f t="shared" si="13"/>
        <v>-</v>
      </c>
      <c r="BG29" s="54" t="str">
        <f t="shared" si="14"/>
        <v>-</v>
      </c>
      <c r="BH29" s="54" t="str">
        <f t="shared" si="15"/>
        <v>-</v>
      </c>
      <c r="BI29" s="54" t="str">
        <f t="shared" si="16"/>
        <v>-</v>
      </c>
      <c r="BJ29" s="54" t="str">
        <f t="shared" si="17"/>
        <v>-</v>
      </c>
      <c r="BK29" s="58"/>
    </row>
    <row r="30" spans="1:63" x14ac:dyDescent="0.25">
      <c r="A30" t="s">
        <v>161</v>
      </c>
      <c r="B30" s="62">
        <f>SUMIFS(Areas!J:J,Areas!$A:$A,Rios!$A30)</f>
        <v>7</v>
      </c>
      <c r="C30" s="62">
        <f>SUMIFS(Areas!K:K,Areas!$A:$A,Rios!$A30)</f>
        <v>0</v>
      </c>
      <c r="D30" s="62">
        <f>SUMIFS(Areas!L:L,Areas!$A:$A,Rios!$A30)</f>
        <v>10</v>
      </c>
      <c r="E30" s="62">
        <f>SUMIFS(Areas!M:M,Areas!$A:$A,Rios!$A30)</f>
        <v>5</v>
      </c>
      <c r="F30" s="40" t="str">
        <f>IF($A30&lt;&gt;"",VLOOKUP(Rios!$A30,Areas!$A:$I,F$2,FALSE),"-")</f>
        <v>3184-PLC-004</v>
      </c>
      <c r="G30" t="str">
        <f>IF($A30&lt;&gt;"",VLOOKUP(Rios!$A30,Areas!$A:$I,G$2,FALSE),"-")</f>
        <v>Tailings/Pyrrhotite Thickener</v>
      </c>
      <c r="H30" s="40" t="str">
        <f>IF($A30&lt;&gt;"",VLOOKUP(Rios!$A30,Areas!$A:$I,H$2,FALSE),"-")</f>
        <v>Tailings</v>
      </c>
      <c r="J30" s="48">
        <v>1</v>
      </c>
      <c r="L30" s="54">
        <f t="shared" si="0"/>
        <v>7</v>
      </c>
      <c r="M30" s="54">
        <f t="shared" si="1"/>
        <v>0</v>
      </c>
      <c r="N30" s="54">
        <f t="shared" si="2"/>
        <v>10</v>
      </c>
      <c r="O30" s="54">
        <f t="shared" si="3"/>
        <v>5</v>
      </c>
      <c r="Q30" s="54">
        <f>IF($J30&gt;0,ROUNDUP((L30*Constraints!$D$3/$J30/100)+L30,0),"-")</f>
        <v>9</v>
      </c>
      <c r="R30" s="54">
        <f>IF($J30&gt;0,ROUNDUP((M30*Constraints!$D$3/$J30/100)+M30,0),"-")</f>
        <v>0</v>
      </c>
      <c r="S30" s="54">
        <f>IF($J30&gt;0,ROUNDUP((N30*Constraints!$D$3/$J30/100)+N30,0),"-")</f>
        <v>12</v>
      </c>
      <c r="T30" s="54">
        <f>IF($J30&gt;0,ROUNDUP((O30*Constraints!$D$3/$J30/100)+O30,0),"-")</f>
        <v>6</v>
      </c>
      <c r="V30" s="54">
        <f>IF($J30&gt;0,ROUNDUP((Q30*Constraints!$D$4/$J30/100)+Q30,0),"-")</f>
        <v>11</v>
      </c>
      <c r="W30" s="54">
        <f>IF($J30&gt;0,ROUNDUP((R30*Constraints!$D$4/$J30/100)+R30,0),"-")</f>
        <v>0</v>
      </c>
      <c r="X30" s="54">
        <f>IF($J30&gt;0,ROUNDUP((S30*Constraints!$D$4/$J30/100)+S30,0),"-")</f>
        <v>15</v>
      </c>
      <c r="Y30" s="54">
        <f>IF($J30&gt;0,ROUNDUP((T30*Constraints!$D$4/$J30/100)+T30,0),"-")</f>
        <v>8</v>
      </c>
      <c r="AA30" s="25">
        <f t="shared" si="20"/>
        <v>34</v>
      </c>
      <c r="AB30" s="110" t="str">
        <f>IF(AA30&gt;Constraints!$D$5,Rios!AA30-Constraints!$D$5,"-")</f>
        <v>-</v>
      </c>
      <c r="AD30" s="30">
        <f t="shared" si="4"/>
        <v>2</v>
      </c>
      <c r="AE30" s="30">
        <f t="shared" si="5"/>
        <v>0</v>
      </c>
      <c r="AF30" s="30">
        <f t="shared" si="6"/>
        <v>1</v>
      </c>
      <c r="AG30" s="30">
        <f t="shared" si="7"/>
        <v>1</v>
      </c>
      <c r="AI30" s="25">
        <f t="shared" si="18"/>
        <v>4</v>
      </c>
      <c r="AJ30" s="110" t="str">
        <f>IF(AI30&gt;Constraints!$D$6,Rios!AI30-Constraints!$D$6,"-")</f>
        <v>-</v>
      </c>
      <c r="AL30" s="25">
        <f>IF(AM30&lt;&gt;"",VLOOKUP(AM30,Constraints!I:J,2,FALSE),"")</f>
        <v>2</v>
      </c>
      <c r="AM30" s="105" t="s">
        <v>421</v>
      </c>
      <c r="AN30" s="30">
        <f>IF($AL30&lt;&gt;"",VLOOKUP($AL30,Constraints!$H:$V,4,FALSE),"-")</f>
        <v>2</v>
      </c>
      <c r="AO30" s="30">
        <f>IF($AL30&lt;&gt;"",VLOOKUP($AL30,Constraints!$H:$V,7,FALSE),"-")</f>
        <v>1</v>
      </c>
      <c r="AP30" s="30">
        <f>IF($AL30&lt;&gt;"",VLOOKUP($AL30,Constraints!$H:$V,10,FALSE),"-")</f>
        <v>2</v>
      </c>
      <c r="AQ30" s="30">
        <f>IF($AL30&lt;&gt;"",VLOOKUP($AL30,Constraints!$H:$V,13,FALSE),"-")</f>
        <v>1</v>
      </c>
      <c r="AS30" s="54">
        <f>IF($AL30&lt;&gt;"",VLOOKUP($AL30,Constraints!$H:$AG,23,FALSE),"-")</f>
        <v>16</v>
      </c>
      <c r="AT30" s="54">
        <f>IF($AL30&lt;&gt;"",VLOOKUP($AL30,Constraints!$H:$AG,24,FALSE),"-")</f>
        <v>4</v>
      </c>
      <c r="AU30" s="54">
        <f>IF($AL30&lt;&gt;"",VLOOKUP($AL30,Constraints!$H:$AG,25,FALSE),"-")</f>
        <v>32</v>
      </c>
      <c r="AV30" s="54">
        <f>IF($AL30&lt;&gt;"",VLOOKUP($AL30,Constraints!$H:$AG,26,FALSE),"-")</f>
        <v>16</v>
      </c>
      <c r="AX30" s="30" t="str">
        <f t="shared" si="8"/>
        <v>-</v>
      </c>
      <c r="AY30" s="30" t="str">
        <f t="shared" si="9"/>
        <v>-</v>
      </c>
      <c r="AZ30" s="30" t="str">
        <f t="shared" si="10"/>
        <v>-</v>
      </c>
      <c r="BA30" s="30" t="str">
        <f t="shared" si="11"/>
        <v>-</v>
      </c>
      <c r="BC30" s="18" t="str">
        <f t="shared" si="19"/>
        <v>-</v>
      </c>
      <c r="BD30" s="18" t="str">
        <f t="shared" si="12"/>
        <v>-</v>
      </c>
      <c r="BE30" s="18" t="str">
        <f t="shared" si="13"/>
        <v>-</v>
      </c>
      <c r="BG30" s="54" t="str">
        <f t="shared" si="14"/>
        <v>-</v>
      </c>
      <c r="BH30" s="54" t="str">
        <f t="shared" si="15"/>
        <v>-</v>
      </c>
      <c r="BI30" s="54" t="str">
        <f t="shared" si="16"/>
        <v>-</v>
      </c>
      <c r="BJ30" s="54" t="str">
        <f t="shared" si="17"/>
        <v>-</v>
      </c>
      <c r="BK30" s="58"/>
    </row>
    <row r="31" spans="1:63" x14ac:dyDescent="0.25">
      <c r="A31" t="s">
        <v>162</v>
      </c>
      <c r="B31" s="62">
        <f>SUMIFS(Areas!J:J,Areas!$A:$A,Rios!$A31)</f>
        <v>2</v>
      </c>
      <c r="C31" s="62">
        <f>SUMIFS(Areas!K:K,Areas!$A:$A,Rios!$A31)</f>
        <v>2</v>
      </c>
      <c r="D31" s="62">
        <f>SUMIFS(Areas!L:L,Areas!$A:$A,Rios!$A31)</f>
        <v>50</v>
      </c>
      <c r="E31" s="62">
        <f>SUMIFS(Areas!M:M,Areas!$A:$A,Rios!$A31)</f>
        <v>50</v>
      </c>
      <c r="F31" s="40" t="str">
        <f>IF($A31&lt;&gt;"",VLOOKUP(Rios!$A31,Areas!$A:$I,F$2,FALSE),"-")</f>
        <v>3184-PLC-004</v>
      </c>
      <c r="G31" t="str">
        <f>IF($A31&lt;&gt;"",VLOOKUP(Rios!$A31,Areas!$A:$I,G$2,FALSE),"-")</f>
        <v>Tailings/Pyrrhotite Thickener</v>
      </c>
      <c r="H31" s="40" t="str">
        <f>IF($A31&lt;&gt;"",VLOOKUP(Rios!$A31,Areas!$A:$I,H$2,FALSE),"-")</f>
        <v>Tailings</v>
      </c>
      <c r="J31" s="48">
        <v>1</v>
      </c>
      <c r="L31" s="54">
        <f t="shared" si="0"/>
        <v>2</v>
      </c>
      <c r="M31" s="54">
        <f t="shared" si="1"/>
        <v>2</v>
      </c>
      <c r="N31" s="54">
        <f t="shared" si="2"/>
        <v>50</v>
      </c>
      <c r="O31" s="54">
        <f t="shared" si="3"/>
        <v>50</v>
      </c>
      <c r="Q31" s="54">
        <f>IF($J31&gt;0,ROUNDUP((L31*Constraints!$D$3/$J31/100)+L31,0),"-")</f>
        <v>3</v>
      </c>
      <c r="R31" s="54">
        <f>IF($J31&gt;0,ROUNDUP((M31*Constraints!$D$3/$J31/100)+M31,0),"-")</f>
        <v>3</v>
      </c>
      <c r="S31" s="54">
        <f>IF($J31&gt;0,ROUNDUP((N31*Constraints!$D$3/$J31/100)+N31,0),"-")</f>
        <v>58</v>
      </c>
      <c r="T31" s="54">
        <f>IF($J31&gt;0,ROUNDUP((O31*Constraints!$D$3/$J31/100)+O31,0),"-")</f>
        <v>58</v>
      </c>
      <c r="V31" s="54">
        <f>IF($J31&gt;0,ROUNDUP((Q31*Constraints!$D$4/$J31/100)+Q31,0),"-")</f>
        <v>4</v>
      </c>
      <c r="W31" s="54">
        <f>IF($J31&gt;0,ROUNDUP((R31*Constraints!$D$4/$J31/100)+R31,0),"-")</f>
        <v>4</v>
      </c>
      <c r="X31" s="54">
        <f>IF($J31&gt;0,ROUNDUP((S31*Constraints!$D$4/$J31/100)+S31,0),"-")</f>
        <v>70</v>
      </c>
      <c r="Y31" s="54">
        <f>IF($J31&gt;0,ROUNDUP((T31*Constraints!$D$4/$J31/100)+T31,0),"-")</f>
        <v>70</v>
      </c>
      <c r="AA31" s="25">
        <f t="shared" si="20"/>
        <v>148</v>
      </c>
      <c r="AB31" s="110">
        <f>IF(AA31&gt;Constraints!$D$5,Rios!AA31-Constraints!$D$5,"-")</f>
        <v>28</v>
      </c>
      <c r="AD31" s="30">
        <f t="shared" si="4"/>
        <v>1</v>
      </c>
      <c r="AE31" s="30">
        <f t="shared" si="5"/>
        <v>1</v>
      </c>
      <c r="AF31" s="30">
        <f t="shared" si="6"/>
        <v>5</v>
      </c>
      <c r="AG31" s="30">
        <f t="shared" si="7"/>
        <v>5</v>
      </c>
      <c r="AI31" s="25">
        <f t="shared" si="18"/>
        <v>12</v>
      </c>
      <c r="AJ31" s="110" t="str">
        <f>IF(AI31&gt;Constraints!$D$6,Rios!AI31-Constraints!$D$6,"-")</f>
        <v>-</v>
      </c>
      <c r="AL31" s="25">
        <f>IF(AM31&lt;&gt;"",VLOOKUP(AM31,Constraints!I:J,2,FALSE),"")</f>
        <v>3</v>
      </c>
      <c r="AM31" s="105" t="s">
        <v>329</v>
      </c>
      <c r="AN31" s="30">
        <f>IF($AL31&lt;&gt;"",VLOOKUP($AL31,Constraints!$H:$V,4,FALSE),"-")</f>
        <v>1</v>
      </c>
      <c r="AO31" s="30">
        <f>IF($AL31&lt;&gt;"",VLOOKUP($AL31,Constraints!$H:$V,7,FALSE),"-")</f>
        <v>1</v>
      </c>
      <c r="AP31" s="30">
        <f>IF($AL31&lt;&gt;"",VLOOKUP($AL31,Constraints!$H:$V,10,FALSE),"-")</f>
        <v>5</v>
      </c>
      <c r="AQ31" s="30">
        <f>IF($AL31&lt;&gt;"",VLOOKUP($AL31,Constraints!$H:$V,13,FALSE),"-")</f>
        <v>5</v>
      </c>
      <c r="AS31" s="54">
        <f>IF($AL31&lt;&gt;"",VLOOKUP($AL31,Constraints!$H:$AG,23,FALSE),"-")</f>
        <v>8</v>
      </c>
      <c r="AT31" s="54">
        <f>IF($AL31&lt;&gt;"",VLOOKUP($AL31,Constraints!$H:$AG,24,FALSE),"-")</f>
        <v>4</v>
      </c>
      <c r="AU31" s="54">
        <f>IF($AL31&lt;&gt;"",VLOOKUP($AL31,Constraints!$H:$AG,25,FALSE),"-")</f>
        <v>80</v>
      </c>
      <c r="AV31" s="54">
        <f>IF($AL31&lt;&gt;"",VLOOKUP($AL31,Constraints!$H:$AG,26,FALSE),"-")</f>
        <v>80</v>
      </c>
      <c r="AX31" s="30" t="str">
        <f t="shared" si="8"/>
        <v>-</v>
      </c>
      <c r="AY31" s="30" t="str">
        <f t="shared" si="9"/>
        <v>-</v>
      </c>
      <c r="AZ31" s="30" t="str">
        <f t="shared" si="10"/>
        <v>-</v>
      </c>
      <c r="BA31" s="30" t="str">
        <f t="shared" si="11"/>
        <v>-</v>
      </c>
      <c r="BC31" s="18" t="str">
        <f t="shared" si="19"/>
        <v>-</v>
      </c>
      <c r="BD31" s="18" t="str">
        <f t="shared" si="12"/>
        <v>X</v>
      </c>
      <c r="BE31" s="18" t="str">
        <f t="shared" si="13"/>
        <v>-</v>
      </c>
      <c r="BG31" s="54" t="str">
        <f t="shared" si="14"/>
        <v>-</v>
      </c>
      <c r="BH31" s="54" t="str">
        <f t="shared" si="15"/>
        <v>-</v>
      </c>
      <c r="BI31" s="54" t="str">
        <f t="shared" si="16"/>
        <v>-</v>
      </c>
      <c r="BJ31" s="54" t="str">
        <f t="shared" si="17"/>
        <v>-</v>
      </c>
      <c r="BK31" s="58"/>
    </row>
    <row r="32" spans="1:63" x14ac:dyDescent="0.25">
      <c r="A32" t="s">
        <v>163</v>
      </c>
      <c r="B32" s="62">
        <f>SUMIFS(Areas!J:J,Areas!$A:$A,Rios!$A32)</f>
        <v>7</v>
      </c>
      <c r="C32" s="62">
        <f>SUMIFS(Areas!K:K,Areas!$A:$A,Rios!$A32)</f>
        <v>0</v>
      </c>
      <c r="D32" s="62">
        <f>SUMIFS(Areas!L:L,Areas!$A:$A,Rios!$A32)</f>
        <v>10</v>
      </c>
      <c r="E32" s="62">
        <f>SUMIFS(Areas!M:M,Areas!$A:$A,Rios!$A32)</f>
        <v>5</v>
      </c>
      <c r="F32" s="40" t="str">
        <f>IF($A32&lt;&gt;"",VLOOKUP(Rios!$A32,Areas!$A:$I,F$2,FALSE),"-")</f>
        <v>3184-PLC-004</v>
      </c>
      <c r="G32" t="str">
        <f>IF($A32&lt;&gt;"",VLOOKUP(Rios!$A32,Areas!$A:$I,G$2,FALSE),"-")</f>
        <v>Tailings/Pyrrhotite Thickener</v>
      </c>
      <c r="H32" s="40" t="str">
        <f>IF($A32&lt;&gt;"",VLOOKUP(Rios!$A32,Areas!$A:$I,H$2,FALSE),"-")</f>
        <v>Pyrrhotite</v>
      </c>
      <c r="J32" s="48">
        <v>1</v>
      </c>
      <c r="L32" s="54">
        <f t="shared" si="0"/>
        <v>7</v>
      </c>
      <c r="M32" s="54">
        <f t="shared" si="1"/>
        <v>0</v>
      </c>
      <c r="N32" s="54">
        <f t="shared" si="2"/>
        <v>10</v>
      </c>
      <c r="O32" s="54">
        <f t="shared" si="3"/>
        <v>5</v>
      </c>
      <c r="Q32" s="54">
        <f>IF($J32&gt;0,ROUNDUP((L32*Constraints!$D$3/$J32/100)+L32,0),"-")</f>
        <v>9</v>
      </c>
      <c r="R32" s="54">
        <f>IF($J32&gt;0,ROUNDUP((M32*Constraints!$D$3/$J32/100)+M32,0),"-")</f>
        <v>0</v>
      </c>
      <c r="S32" s="54">
        <f>IF($J32&gt;0,ROUNDUP((N32*Constraints!$D$3/$J32/100)+N32,0),"-")</f>
        <v>12</v>
      </c>
      <c r="T32" s="54">
        <f>IF($J32&gt;0,ROUNDUP((O32*Constraints!$D$3/$J32/100)+O32,0),"-")</f>
        <v>6</v>
      </c>
      <c r="V32" s="54">
        <f>IF($J32&gt;0,ROUNDUP((Q32*Constraints!$D$4/$J32/100)+Q32,0),"-")</f>
        <v>11</v>
      </c>
      <c r="W32" s="54">
        <f>IF($J32&gt;0,ROUNDUP((R32*Constraints!$D$4/$J32/100)+R32,0),"-")</f>
        <v>0</v>
      </c>
      <c r="X32" s="54">
        <f>IF($J32&gt;0,ROUNDUP((S32*Constraints!$D$4/$J32/100)+S32,0),"-")</f>
        <v>15</v>
      </c>
      <c r="Y32" s="54">
        <f>IF($J32&gt;0,ROUNDUP((T32*Constraints!$D$4/$J32/100)+T32,0),"-")</f>
        <v>8</v>
      </c>
      <c r="AA32" s="25">
        <f t="shared" si="20"/>
        <v>34</v>
      </c>
      <c r="AB32" s="110" t="str">
        <f>IF(AA32&gt;Constraints!$D$5,Rios!AA32-Constraints!$D$5,"-")</f>
        <v>-</v>
      </c>
      <c r="AD32" s="30">
        <f t="shared" si="4"/>
        <v>2</v>
      </c>
      <c r="AE32" s="30">
        <f t="shared" si="5"/>
        <v>0</v>
      </c>
      <c r="AF32" s="30">
        <f t="shared" si="6"/>
        <v>1</v>
      </c>
      <c r="AG32" s="30">
        <f t="shared" si="7"/>
        <v>1</v>
      </c>
      <c r="AI32" s="25">
        <f t="shared" si="18"/>
        <v>4</v>
      </c>
      <c r="AJ32" s="110" t="str">
        <f>IF(AI32&gt;Constraints!$D$6,Rios!AI32-Constraints!$D$6,"-")</f>
        <v>-</v>
      </c>
      <c r="AL32" s="25">
        <f>IF(AM32&lt;&gt;"",VLOOKUP(AM32,Constraints!I:J,2,FALSE),"")</f>
        <v>2</v>
      </c>
      <c r="AM32" s="105" t="s">
        <v>421</v>
      </c>
      <c r="AN32" s="30">
        <f>IF($AL32&lt;&gt;"",VLOOKUP($AL32,Constraints!$H:$V,4,FALSE),"-")</f>
        <v>2</v>
      </c>
      <c r="AO32" s="30">
        <f>IF($AL32&lt;&gt;"",VLOOKUP($AL32,Constraints!$H:$V,7,FALSE),"-")</f>
        <v>1</v>
      </c>
      <c r="AP32" s="30">
        <f>IF($AL32&lt;&gt;"",VLOOKUP($AL32,Constraints!$H:$V,10,FALSE),"-")</f>
        <v>2</v>
      </c>
      <c r="AQ32" s="30">
        <f>IF($AL32&lt;&gt;"",VLOOKUP($AL32,Constraints!$H:$V,13,FALSE),"-")</f>
        <v>1</v>
      </c>
      <c r="AS32" s="54">
        <f>IF($AL32&lt;&gt;"",VLOOKUP($AL32,Constraints!$H:$AG,23,FALSE),"-")</f>
        <v>16</v>
      </c>
      <c r="AT32" s="54">
        <f>IF($AL32&lt;&gt;"",VLOOKUP($AL32,Constraints!$H:$AG,24,FALSE),"-")</f>
        <v>4</v>
      </c>
      <c r="AU32" s="54">
        <f>IF($AL32&lt;&gt;"",VLOOKUP($AL32,Constraints!$H:$AG,25,FALSE),"-")</f>
        <v>32</v>
      </c>
      <c r="AV32" s="54">
        <f>IF($AL32&lt;&gt;"",VLOOKUP($AL32,Constraints!$H:$AG,26,FALSE),"-")</f>
        <v>16</v>
      </c>
      <c r="AX32" s="30" t="str">
        <f t="shared" si="8"/>
        <v>-</v>
      </c>
      <c r="AY32" s="30" t="str">
        <f t="shared" si="9"/>
        <v>-</v>
      </c>
      <c r="AZ32" s="30" t="str">
        <f t="shared" si="10"/>
        <v>-</v>
      </c>
      <c r="BA32" s="30" t="str">
        <f t="shared" si="11"/>
        <v>-</v>
      </c>
      <c r="BC32" s="18" t="str">
        <f t="shared" si="19"/>
        <v>-</v>
      </c>
      <c r="BD32" s="18" t="str">
        <f t="shared" si="12"/>
        <v>-</v>
      </c>
      <c r="BE32" s="18" t="str">
        <f t="shared" si="13"/>
        <v>-</v>
      </c>
      <c r="BG32" s="54" t="str">
        <f t="shared" si="14"/>
        <v>-</v>
      </c>
      <c r="BH32" s="54" t="str">
        <f t="shared" si="15"/>
        <v>-</v>
      </c>
      <c r="BI32" s="54" t="str">
        <f t="shared" si="16"/>
        <v>-</v>
      </c>
      <c r="BJ32" s="54" t="str">
        <f t="shared" si="17"/>
        <v>-</v>
      </c>
      <c r="BK32" s="58"/>
    </row>
    <row r="33" spans="1:63" x14ac:dyDescent="0.25">
      <c r="A33" t="s">
        <v>164</v>
      </c>
      <c r="B33" s="62">
        <f>SUMIFS(Areas!J:J,Areas!$A:$A,Rios!$A33)</f>
        <v>2</v>
      </c>
      <c r="C33" s="62">
        <f>SUMIFS(Areas!K:K,Areas!$A:$A,Rios!$A33)</f>
        <v>2</v>
      </c>
      <c r="D33" s="62">
        <f>SUMIFS(Areas!L:L,Areas!$A:$A,Rios!$A33)</f>
        <v>50</v>
      </c>
      <c r="E33" s="62">
        <f>SUMIFS(Areas!M:M,Areas!$A:$A,Rios!$A33)</f>
        <v>50</v>
      </c>
      <c r="F33" s="40" t="str">
        <f>IF($A33&lt;&gt;"",VLOOKUP(Rios!$A33,Areas!$A:$I,F$2,FALSE),"-")</f>
        <v>3184-PLC-004</v>
      </c>
      <c r="G33" t="str">
        <f>IF($A33&lt;&gt;"",VLOOKUP(Rios!$A33,Areas!$A:$I,G$2,FALSE),"-")</f>
        <v>Tailings/Pyrrhotite Thickener</v>
      </c>
      <c r="H33" s="40" t="str">
        <f>IF($A33&lt;&gt;"",VLOOKUP(Rios!$A33,Areas!$A:$I,H$2,FALSE),"-")</f>
        <v>Pyrrhotite</v>
      </c>
      <c r="J33" s="48">
        <v>1</v>
      </c>
      <c r="L33" s="54">
        <f t="shared" si="0"/>
        <v>2</v>
      </c>
      <c r="M33" s="54">
        <f t="shared" si="1"/>
        <v>2</v>
      </c>
      <c r="N33" s="54">
        <f t="shared" si="2"/>
        <v>50</v>
      </c>
      <c r="O33" s="54">
        <f t="shared" si="3"/>
        <v>50</v>
      </c>
      <c r="Q33" s="54">
        <f>IF($J33&gt;0,ROUNDUP((L33*Constraints!$D$3/$J33/100)+L33,0),"-")</f>
        <v>3</v>
      </c>
      <c r="R33" s="54">
        <f>IF($J33&gt;0,ROUNDUP((M33*Constraints!$D$3/$J33/100)+M33,0),"-")</f>
        <v>3</v>
      </c>
      <c r="S33" s="54">
        <f>IF($J33&gt;0,ROUNDUP((N33*Constraints!$D$3/$J33/100)+N33,0),"-")</f>
        <v>58</v>
      </c>
      <c r="T33" s="54">
        <f>IF($J33&gt;0,ROUNDUP((O33*Constraints!$D$3/$J33/100)+O33,0),"-")</f>
        <v>58</v>
      </c>
      <c r="V33" s="54">
        <f>IF($J33&gt;0,ROUNDUP((Q33*Constraints!$D$4/$J33/100)+Q33,0),"-")</f>
        <v>4</v>
      </c>
      <c r="W33" s="54">
        <f>IF($J33&gt;0,ROUNDUP((R33*Constraints!$D$4/$J33/100)+R33,0),"-")</f>
        <v>4</v>
      </c>
      <c r="X33" s="54">
        <f>IF($J33&gt;0,ROUNDUP((S33*Constraints!$D$4/$J33/100)+S33,0),"-")</f>
        <v>70</v>
      </c>
      <c r="Y33" s="54">
        <f>IF($J33&gt;0,ROUNDUP((T33*Constraints!$D$4/$J33/100)+T33,0),"-")</f>
        <v>70</v>
      </c>
      <c r="AA33" s="25">
        <f t="shared" si="20"/>
        <v>148</v>
      </c>
      <c r="AB33" s="110">
        <f>IF(AA33&gt;Constraints!$D$5,Rios!AA33-Constraints!$D$5,"-")</f>
        <v>28</v>
      </c>
      <c r="AD33" s="30">
        <f t="shared" si="4"/>
        <v>1</v>
      </c>
      <c r="AE33" s="30">
        <f t="shared" si="5"/>
        <v>1</v>
      </c>
      <c r="AF33" s="30">
        <f t="shared" si="6"/>
        <v>5</v>
      </c>
      <c r="AG33" s="30">
        <f t="shared" si="7"/>
        <v>5</v>
      </c>
      <c r="AI33" s="25">
        <f t="shared" si="18"/>
        <v>12</v>
      </c>
      <c r="AJ33" s="110" t="str">
        <f>IF(AI33&gt;Constraints!$D$6,Rios!AI33-Constraints!$D$6,"-")</f>
        <v>-</v>
      </c>
      <c r="AL33" s="25">
        <f>IF(AM33&lt;&gt;"",VLOOKUP(AM33,Constraints!I:J,2,FALSE),"")</f>
        <v>3</v>
      </c>
      <c r="AM33" s="105" t="s">
        <v>329</v>
      </c>
      <c r="AN33" s="30">
        <f>IF($AL33&lt;&gt;"",VLOOKUP($AL33,Constraints!$H:$V,4,FALSE),"-")</f>
        <v>1</v>
      </c>
      <c r="AO33" s="30">
        <f>IF($AL33&lt;&gt;"",VLOOKUP($AL33,Constraints!$H:$V,7,FALSE),"-")</f>
        <v>1</v>
      </c>
      <c r="AP33" s="30">
        <f>IF($AL33&lt;&gt;"",VLOOKUP($AL33,Constraints!$H:$V,10,FALSE),"-")</f>
        <v>5</v>
      </c>
      <c r="AQ33" s="30">
        <f>IF($AL33&lt;&gt;"",VLOOKUP($AL33,Constraints!$H:$V,13,FALSE),"-")</f>
        <v>5</v>
      </c>
      <c r="AS33" s="54">
        <f>IF($AL33&lt;&gt;"",VLOOKUP($AL33,Constraints!$H:$AG,23,FALSE),"-")</f>
        <v>8</v>
      </c>
      <c r="AT33" s="54">
        <f>IF($AL33&lt;&gt;"",VLOOKUP($AL33,Constraints!$H:$AG,24,FALSE),"-")</f>
        <v>4</v>
      </c>
      <c r="AU33" s="54">
        <f>IF($AL33&lt;&gt;"",VLOOKUP($AL33,Constraints!$H:$AG,25,FALSE),"-")</f>
        <v>80</v>
      </c>
      <c r="AV33" s="54">
        <f>IF($AL33&lt;&gt;"",VLOOKUP($AL33,Constraints!$H:$AG,26,FALSE),"-")</f>
        <v>80</v>
      </c>
      <c r="AX33" s="30" t="str">
        <f t="shared" si="8"/>
        <v>-</v>
      </c>
      <c r="AY33" s="30" t="str">
        <f t="shared" si="9"/>
        <v>-</v>
      </c>
      <c r="AZ33" s="30" t="str">
        <f t="shared" si="10"/>
        <v>-</v>
      </c>
      <c r="BA33" s="30" t="str">
        <f t="shared" si="11"/>
        <v>-</v>
      </c>
      <c r="BC33" s="18" t="str">
        <f t="shared" si="19"/>
        <v>-</v>
      </c>
      <c r="BD33" s="18" t="str">
        <f t="shared" si="12"/>
        <v>X</v>
      </c>
      <c r="BE33" s="18" t="str">
        <f t="shared" si="13"/>
        <v>-</v>
      </c>
      <c r="BG33" s="54" t="str">
        <f t="shared" si="14"/>
        <v>-</v>
      </c>
      <c r="BH33" s="54" t="str">
        <f t="shared" si="15"/>
        <v>-</v>
      </c>
      <c r="BI33" s="54" t="str">
        <f t="shared" si="16"/>
        <v>-</v>
      </c>
      <c r="BJ33" s="54" t="str">
        <f t="shared" si="17"/>
        <v>-</v>
      </c>
      <c r="BK33" s="58"/>
    </row>
    <row r="34" spans="1:63" x14ac:dyDescent="0.25">
      <c r="A34" t="s">
        <v>184</v>
      </c>
      <c r="B34" s="62">
        <f>SUMIFS(Areas!J:J,Areas!$A:$A,Rios!$A34)</f>
        <v>7</v>
      </c>
      <c r="C34" s="62">
        <f>SUMIFS(Areas!K:K,Areas!$A:$A,Rios!$A34)</f>
        <v>0</v>
      </c>
      <c r="D34" s="62">
        <f>SUMIFS(Areas!L:L,Areas!$A:$A,Rios!$A34)</f>
        <v>10</v>
      </c>
      <c r="E34" s="62">
        <f>SUMIFS(Areas!M:M,Areas!$A:$A,Rios!$A34)</f>
        <v>5</v>
      </c>
      <c r="F34" s="40" t="str">
        <f>IF($A34&lt;&gt;"",VLOOKUP(Rios!$A34,Areas!$A:$I,F$2,FALSE),"-")</f>
        <v>3184-PLC-005</v>
      </c>
      <c r="G34" t="str">
        <f>IF($A34&lt;&gt;"",VLOOKUP(Rios!$A34,Areas!$A:$I,G$2,FALSE),"-")</f>
        <v>Concentrate Thickener</v>
      </c>
      <c r="H34" s="40" t="str">
        <f>IF($A34&lt;&gt;"",VLOOKUP(Rios!$A34,Areas!$A:$I,H$2,FALSE),"-")</f>
        <v>Concentrate Thickener</v>
      </c>
      <c r="J34" s="48">
        <v>1</v>
      </c>
      <c r="L34" s="54">
        <f t="shared" si="0"/>
        <v>7</v>
      </c>
      <c r="M34" s="54">
        <f t="shared" si="1"/>
        <v>0</v>
      </c>
      <c r="N34" s="54">
        <f t="shared" si="2"/>
        <v>10</v>
      </c>
      <c r="O34" s="54">
        <f t="shared" si="3"/>
        <v>5</v>
      </c>
      <c r="Q34" s="54">
        <f>IF($J34&gt;0,ROUNDUP((L34*Constraints!$D$3/$J34/100)+L34,0),"-")</f>
        <v>9</v>
      </c>
      <c r="R34" s="54">
        <f>IF($J34&gt;0,ROUNDUP((M34*Constraints!$D$3/$J34/100)+M34,0),"-")</f>
        <v>0</v>
      </c>
      <c r="S34" s="54">
        <f>IF($J34&gt;0,ROUNDUP((N34*Constraints!$D$3/$J34/100)+N34,0),"-")</f>
        <v>12</v>
      </c>
      <c r="T34" s="54">
        <f>IF($J34&gt;0,ROUNDUP((O34*Constraints!$D$3/$J34/100)+O34,0),"-")</f>
        <v>6</v>
      </c>
      <c r="V34" s="54">
        <f>IF($J34&gt;0,ROUNDUP((Q34*Constraints!$D$4/$J34/100)+Q34,0),"-")</f>
        <v>11</v>
      </c>
      <c r="W34" s="54">
        <f>IF($J34&gt;0,ROUNDUP((R34*Constraints!$D$4/$J34/100)+R34,0),"-")</f>
        <v>0</v>
      </c>
      <c r="X34" s="54">
        <f>IF($J34&gt;0,ROUNDUP((S34*Constraints!$D$4/$J34/100)+S34,0),"-")</f>
        <v>15</v>
      </c>
      <c r="Y34" s="54">
        <f>IF($J34&gt;0,ROUNDUP((T34*Constraints!$D$4/$J34/100)+T34,0),"-")</f>
        <v>8</v>
      </c>
      <c r="AA34" s="25">
        <f t="shared" si="20"/>
        <v>34</v>
      </c>
      <c r="AB34" s="110" t="str">
        <f>IF(AA34&gt;Constraints!$D$5,Rios!AA34-Constraints!$D$5,"-")</f>
        <v>-</v>
      </c>
      <c r="AD34" s="30">
        <f t="shared" si="4"/>
        <v>2</v>
      </c>
      <c r="AE34" s="30">
        <f t="shared" si="5"/>
        <v>0</v>
      </c>
      <c r="AF34" s="30">
        <f t="shared" si="6"/>
        <v>1</v>
      </c>
      <c r="AG34" s="30">
        <f t="shared" si="7"/>
        <v>1</v>
      </c>
      <c r="AI34" s="25">
        <f t="shared" si="18"/>
        <v>4</v>
      </c>
      <c r="AJ34" s="110" t="str">
        <f>IF(AI34&gt;Constraints!$D$6,Rios!AI34-Constraints!$D$6,"-")</f>
        <v>-</v>
      </c>
      <c r="AL34" s="25">
        <f>IF(AM34&lt;&gt;"",VLOOKUP(AM34,Constraints!I:J,2,FALSE),"")</f>
        <v>2</v>
      </c>
      <c r="AM34" s="105" t="s">
        <v>421</v>
      </c>
      <c r="AN34" s="30">
        <f>IF($AL34&lt;&gt;"",VLOOKUP($AL34,Constraints!$H:$V,4,FALSE),"-")</f>
        <v>2</v>
      </c>
      <c r="AO34" s="30">
        <f>IF($AL34&lt;&gt;"",VLOOKUP($AL34,Constraints!$H:$V,7,FALSE),"-")</f>
        <v>1</v>
      </c>
      <c r="AP34" s="30">
        <f>IF($AL34&lt;&gt;"",VLOOKUP($AL34,Constraints!$H:$V,10,FALSE),"-")</f>
        <v>2</v>
      </c>
      <c r="AQ34" s="30">
        <f>IF($AL34&lt;&gt;"",VLOOKUP($AL34,Constraints!$H:$V,13,FALSE),"-")</f>
        <v>1</v>
      </c>
      <c r="AS34" s="54">
        <f>IF($AL34&lt;&gt;"",VLOOKUP($AL34,Constraints!$H:$AG,23,FALSE),"-")</f>
        <v>16</v>
      </c>
      <c r="AT34" s="54">
        <f>IF($AL34&lt;&gt;"",VLOOKUP($AL34,Constraints!$H:$AG,24,FALSE),"-")</f>
        <v>4</v>
      </c>
      <c r="AU34" s="54">
        <f>IF($AL34&lt;&gt;"",VLOOKUP($AL34,Constraints!$H:$AG,25,FALSE),"-")</f>
        <v>32</v>
      </c>
      <c r="AV34" s="54">
        <f>IF($AL34&lt;&gt;"",VLOOKUP($AL34,Constraints!$H:$AG,26,FALSE),"-")</f>
        <v>16</v>
      </c>
      <c r="AX34" s="30" t="str">
        <f t="shared" si="8"/>
        <v>-</v>
      </c>
      <c r="AY34" s="30" t="str">
        <f t="shared" si="9"/>
        <v>-</v>
      </c>
      <c r="AZ34" s="30" t="str">
        <f t="shared" si="10"/>
        <v>-</v>
      </c>
      <c r="BA34" s="30" t="str">
        <f t="shared" si="11"/>
        <v>-</v>
      </c>
      <c r="BC34" s="18" t="str">
        <f t="shared" si="19"/>
        <v>-</v>
      </c>
      <c r="BD34" s="18" t="str">
        <f t="shared" si="12"/>
        <v>-</v>
      </c>
      <c r="BE34" s="18" t="str">
        <f t="shared" si="13"/>
        <v>-</v>
      </c>
      <c r="BG34" s="54" t="str">
        <f t="shared" si="14"/>
        <v>-</v>
      </c>
      <c r="BH34" s="54" t="str">
        <f t="shared" si="15"/>
        <v>-</v>
      </c>
      <c r="BI34" s="54" t="str">
        <f t="shared" si="16"/>
        <v>-</v>
      </c>
      <c r="BJ34" s="54" t="str">
        <f t="shared" si="17"/>
        <v>-</v>
      </c>
      <c r="BK34" s="58"/>
    </row>
    <row r="35" spans="1:63" x14ac:dyDescent="0.25">
      <c r="A35" t="s">
        <v>185</v>
      </c>
      <c r="B35" s="62">
        <f>SUMIFS(Areas!J:J,Areas!$A:$A,Rios!$A35)</f>
        <v>2</v>
      </c>
      <c r="C35" s="62">
        <f>SUMIFS(Areas!K:K,Areas!$A:$A,Rios!$A35)</f>
        <v>2</v>
      </c>
      <c r="D35" s="62">
        <f>SUMIFS(Areas!L:L,Areas!$A:$A,Rios!$A35)</f>
        <v>50</v>
      </c>
      <c r="E35" s="62">
        <f>SUMIFS(Areas!M:M,Areas!$A:$A,Rios!$A35)</f>
        <v>50</v>
      </c>
      <c r="F35" s="40" t="str">
        <f>IF($A35&lt;&gt;"",VLOOKUP(Rios!$A35,Areas!$A:$I,F$2,FALSE),"-")</f>
        <v>3184-PLC-005</v>
      </c>
      <c r="G35" t="str">
        <f>IF($A35&lt;&gt;"",VLOOKUP(Rios!$A35,Areas!$A:$I,G$2,FALSE),"-")</f>
        <v>Concentrate Thickener</v>
      </c>
      <c r="H35" s="40" t="str">
        <f>IF($A35&lt;&gt;"",VLOOKUP(Rios!$A35,Areas!$A:$I,H$2,FALSE),"-")</f>
        <v>Concentrate Thickener</v>
      </c>
      <c r="J35" s="48">
        <v>1</v>
      </c>
      <c r="L35" s="54">
        <f t="shared" ref="L35:L66" si="21">IF($J35&gt;0,ROUNDUP(B35/$J35,0),"-")</f>
        <v>2</v>
      </c>
      <c r="M35" s="54">
        <f t="shared" ref="M35:M66" si="22">IF($J35&gt;0,ROUNDUP(C35/$J35,0),"-")</f>
        <v>2</v>
      </c>
      <c r="N35" s="54">
        <f t="shared" ref="N35:N66" si="23">IF($J35&gt;0,ROUNDUP(D35/$J35,0),"-")</f>
        <v>50</v>
      </c>
      <c r="O35" s="54">
        <f t="shared" ref="O35:O66" si="24">IF($J35&gt;0,ROUNDUP(E35/$J35,0),"-")</f>
        <v>50</v>
      </c>
      <c r="Q35" s="54">
        <f>IF($J35&gt;0,ROUNDUP((L35*Constraints!$D$3/$J35/100)+L35,0),"-")</f>
        <v>3</v>
      </c>
      <c r="R35" s="54">
        <f>IF($J35&gt;0,ROUNDUP((M35*Constraints!$D$3/$J35/100)+M35,0),"-")</f>
        <v>3</v>
      </c>
      <c r="S35" s="54">
        <f>IF($J35&gt;0,ROUNDUP((N35*Constraints!$D$3/$J35/100)+N35,0),"-")</f>
        <v>58</v>
      </c>
      <c r="T35" s="54">
        <f>IF($J35&gt;0,ROUNDUP((O35*Constraints!$D$3/$J35/100)+O35,0),"-")</f>
        <v>58</v>
      </c>
      <c r="V35" s="54">
        <f>IF($J35&gt;0,ROUNDUP((Q35*Constraints!$D$4/$J35/100)+Q35,0),"-")</f>
        <v>4</v>
      </c>
      <c r="W35" s="54">
        <f>IF($J35&gt;0,ROUNDUP((R35*Constraints!$D$4/$J35/100)+R35,0),"-")</f>
        <v>4</v>
      </c>
      <c r="X35" s="54">
        <f>IF($J35&gt;0,ROUNDUP((S35*Constraints!$D$4/$J35/100)+S35,0),"-")</f>
        <v>70</v>
      </c>
      <c r="Y35" s="54">
        <f>IF($J35&gt;0,ROUNDUP((T35*Constraints!$D$4/$J35/100)+T35,0),"-")</f>
        <v>70</v>
      </c>
      <c r="AA35" s="25">
        <f t="shared" si="20"/>
        <v>148</v>
      </c>
      <c r="AB35" s="110">
        <f>IF(AA35&gt;Constraints!$D$5,Rios!AA35-Constraints!$D$5,"-")</f>
        <v>28</v>
      </c>
      <c r="AD35" s="30">
        <f t="shared" ref="AD35:AD66" si="25">IF(ISNUMBER(V35),ROUNDUP(V35/(AS35/AN35),0),"-")</f>
        <v>1</v>
      </c>
      <c r="AE35" s="30">
        <f t="shared" ref="AE35:AE66" si="26">IF(ISNUMBER(W35),ROUNDUP(W35/(AT35/AO35),0),"-")</f>
        <v>1</v>
      </c>
      <c r="AF35" s="30">
        <f t="shared" ref="AF35:AF66" si="27">IF(ISNUMBER(X35),ROUNDUP(X35/(AU35/AP35),0),"-")</f>
        <v>5</v>
      </c>
      <c r="AG35" s="30">
        <f t="shared" ref="AG35:AG66" si="28">IF(ISNUMBER(Y35),ROUNDUP(Y35/(AV35/AQ35),0),"-")</f>
        <v>5</v>
      </c>
      <c r="AI35" s="25">
        <f t="shared" si="18"/>
        <v>12</v>
      </c>
      <c r="AJ35" s="110" t="str">
        <f>IF(AI35&gt;Constraints!$D$6,Rios!AI35-Constraints!$D$6,"-")</f>
        <v>-</v>
      </c>
      <c r="AL35" s="25">
        <f>IF(AM35&lt;&gt;"",VLOOKUP(AM35,Constraints!I:J,2,FALSE),"")</f>
        <v>3</v>
      </c>
      <c r="AM35" s="105" t="s">
        <v>329</v>
      </c>
      <c r="AN35" s="30">
        <f>IF($AL35&lt;&gt;"",VLOOKUP($AL35,Constraints!$H:$V,4,FALSE),"-")</f>
        <v>1</v>
      </c>
      <c r="AO35" s="30">
        <f>IF($AL35&lt;&gt;"",VLOOKUP($AL35,Constraints!$H:$V,7,FALSE),"-")</f>
        <v>1</v>
      </c>
      <c r="AP35" s="30">
        <f>IF($AL35&lt;&gt;"",VLOOKUP($AL35,Constraints!$H:$V,10,FALSE),"-")</f>
        <v>5</v>
      </c>
      <c r="AQ35" s="30">
        <f>IF($AL35&lt;&gt;"",VLOOKUP($AL35,Constraints!$H:$V,13,FALSE),"-")</f>
        <v>5</v>
      </c>
      <c r="AS35" s="54">
        <f>IF($AL35&lt;&gt;"",VLOOKUP($AL35,Constraints!$H:$AG,23,FALSE),"-")</f>
        <v>8</v>
      </c>
      <c r="AT35" s="54">
        <f>IF($AL35&lt;&gt;"",VLOOKUP($AL35,Constraints!$H:$AG,24,FALSE),"-")</f>
        <v>4</v>
      </c>
      <c r="AU35" s="54">
        <f>IF($AL35&lt;&gt;"",VLOOKUP($AL35,Constraints!$H:$AG,25,FALSE),"-")</f>
        <v>80</v>
      </c>
      <c r="AV35" s="54">
        <f>IF($AL35&lt;&gt;"",VLOOKUP($AL35,Constraints!$H:$AG,26,FALSE),"-")</f>
        <v>80</v>
      </c>
      <c r="AX35" s="30" t="str">
        <f t="shared" ref="AX35:AX66" si="29">IF(ISNUMBER(AN35),IF(AN35-AD35&gt;=0,"-",AN35-AD35),"na")</f>
        <v>-</v>
      </c>
      <c r="AY35" s="30" t="str">
        <f t="shared" ref="AY35:AY66" si="30">IF(ISNUMBER(AO35),IF(AO35-AE35&gt;=0,"-",AO35-AE35),"na")</f>
        <v>-</v>
      </c>
      <c r="AZ35" s="30" t="str">
        <f t="shared" ref="AZ35:AZ66" si="31">IF(ISNUMBER(AP35),IF(AP35-AF35&gt;=0,"-",AP35-AF35),"na")</f>
        <v>-</v>
      </c>
      <c r="BA35" s="30" t="str">
        <f t="shared" ref="BA35:BA66" si="32">IF(ISNUMBER(AQ35),IF(AQ35-AG35&gt;=0,"-",AQ35-AG35),"na")</f>
        <v>-</v>
      </c>
      <c r="BC35" s="18" t="str">
        <f t="shared" si="19"/>
        <v>-</v>
      </c>
      <c r="BD35" s="18" t="str">
        <f t="shared" ref="BD35:BD66" si="33">IF(AB35="-","-","X")</f>
        <v>X</v>
      </c>
      <c r="BE35" s="18" t="str">
        <f t="shared" ref="BE35:BE67" si="34">IF(AJ35="-","-","X")</f>
        <v>-</v>
      </c>
      <c r="BG35" s="54" t="str">
        <f t="shared" ref="BG35:BG66" si="35">IF($A35&lt;&gt;"",IF(V35-AS35&lt;=0,"-",V35-AS35),"-")</f>
        <v>-</v>
      </c>
      <c r="BH35" s="54" t="str">
        <f t="shared" ref="BH35:BH66" si="36">IF($A35&lt;&gt;"",IF(W35-AT35&lt;=0,"-",W35-AT35),"-")</f>
        <v>-</v>
      </c>
      <c r="BI35" s="54" t="str">
        <f t="shared" ref="BI35:BI66" si="37">IF($A35&lt;&gt;"",IF(X35-AU35&lt;=0,"-",X35-AU35),"-")</f>
        <v>-</v>
      </c>
      <c r="BJ35" s="54" t="str">
        <f t="shared" ref="BJ35:BJ66" si="38">IF($A35&lt;&gt;"",IF(Y35-AV35&lt;=0,"-",Y35-AV35),"-")</f>
        <v>-</v>
      </c>
      <c r="BK35" s="58"/>
    </row>
    <row r="36" spans="1:63" x14ac:dyDescent="0.25">
      <c r="A36" t="s">
        <v>186</v>
      </c>
      <c r="B36" s="62">
        <f>SUMIFS(Areas!J:J,Areas!$A:$A,Rios!$A36)</f>
        <v>3</v>
      </c>
      <c r="C36" s="62">
        <f>SUMIFS(Areas!K:K,Areas!$A:$A,Rios!$A36)</f>
        <v>0</v>
      </c>
      <c r="D36" s="62">
        <f>SUMIFS(Areas!L:L,Areas!$A:$A,Rios!$A36)</f>
        <v>17</v>
      </c>
      <c r="E36" s="62">
        <f>SUMIFS(Areas!M:M,Areas!$A:$A,Rios!$A36)</f>
        <v>16</v>
      </c>
      <c r="F36" s="40" t="str">
        <f>IF($A36&lt;&gt;"",VLOOKUP(Rios!$A36,Areas!$A:$I,F$2,FALSE),"-")</f>
        <v>3184-PLC-005</v>
      </c>
      <c r="G36" t="str">
        <f>IF($A36&lt;&gt;"",VLOOKUP(Rios!$A36,Areas!$A:$I,G$2,FALSE),"-")</f>
        <v>Concetrate Filtration</v>
      </c>
      <c r="H36" s="40" t="str">
        <f>IF($A36&lt;&gt;"",VLOOKUP(Rios!$A36,Areas!$A:$I,H$2,FALSE),"-")</f>
        <v>Concetrate Filtration</v>
      </c>
      <c r="J36" s="48">
        <v>2</v>
      </c>
      <c r="L36" s="54">
        <f t="shared" si="21"/>
        <v>2</v>
      </c>
      <c r="M36" s="54">
        <f t="shared" si="22"/>
        <v>0</v>
      </c>
      <c r="N36" s="54">
        <f t="shared" si="23"/>
        <v>9</v>
      </c>
      <c r="O36" s="54">
        <f t="shared" si="24"/>
        <v>8</v>
      </c>
      <c r="Q36" s="54">
        <f>IF($J36&gt;0,ROUNDUP((L36*Constraints!$D$3/$J36/100)+L36,0),"-")</f>
        <v>3</v>
      </c>
      <c r="R36" s="54">
        <f>IF($J36&gt;0,ROUNDUP((M36*Constraints!$D$3/$J36/100)+M36,0),"-")</f>
        <v>0</v>
      </c>
      <c r="S36" s="54">
        <f>IF($J36&gt;0,ROUNDUP((N36*Constraints!$D$3/$J36/100)+N36,0),"-")</f>
        <v>10</v>
      </c>
      <c r="T36" s="54">
        <f>IF($J36&gt;0,ROUNDUP((O36*Constraints!$D$3/$J36/100)+O36,0),"-")</f>
        <v>9</v>
      </c>
      <c r="V36" s="54">
        <f>IF($J36&gt;0,ROUNDUP((Q36*Constraints!$D$4/$J36/100)+Q36,0),"-")</f>
        <v>4</v>
      </c>
      <c r="W36" s="54">
        <f>IF($J36&gt;0,ROUNDUP((R36*Constraints!$D$4/$J36/100)+R36,0),"-")</f>
        <v>0</v>
      </c>
      <c r="X36" s="54">
        <f>IF($J36&gt;0,ROUNDUP((S36*Constraints!$D$4/$J36/100)+S36,0),"-")</f>
        <v>11</v>
      </c>
      <c r="Y36" s="54">
        <f>IF($J36&gt;0,ROUNDUP((T36*Constraints!$D$4/$J36/100)+T36,0),"-")</f>
        <v>10</v>
      </c>
      <c r="AA36" s="25">
        <f t="shared" si="20"/>
        <v>25</v>
      </c>
      <c r="AB36" s="110" t="str">
        <f>IF(AA36&gt;Constraints!$D$5,Rios!AA36-Constraints!$D$5,"-")</f>
        <v>-</v>
      </c>
      <c r="AD36" s="30">
        <f t="shared" si="25"/>
        <v>1</v>
      </c>
      <c r="AE36" s="30">
        <f t="shared" si="26"/>
        <v>0</v>
      </c>
      <c r="AF36" s="30">
        <f t="shared" si="27"/>
        <v>1</v>
      </c>
      <c r="AG36" s="30">
        <f t="shared" si="28"/>
        <v>1</v>
      </c>
      <c r="AI36" s="25">
        <f t="shared" si="18"/>
        <v>3</v>
      </c>
      <c r="AJ36" s="110" t="str">
        <f>IF(AI36&gt;Constraints!$D$6,Rios!AI36-Constraints!$D$6,"-")</f>
        <v>-</v>
      </c>
      <c r="AL36" s="25">
        <f>IF(AM36&lt;&gt;"",VLOOKUP(AM36,Constraints!I:J,2,FALSE),"")</f>
        <v>2</v>
      </c>
      <c r="AM36" s="105" t="s">
        <v>421</v>
      </c>
      <c r="AN36" s="30">
        <f>IF($AL36&lt;&gt;"",VLOOKUP($AL36,Constraints!$H:$V,4,FALSE),"-")</f>
        <v>2</v>
      </c>
      <c r="AO36" s="30">
        <f>IF($AL36&lt;&gt;"",VLOOKUP($AL36,Constraints!$H:$V,7,FALSE),"-")</f>
        <v>1</v>
      </c>
      <c r="AP36" s="30">
        <f>IF($AL36&lt;&gt;"",VLOOKUP($AL36,Constraints!$H:$V,10,FALSE),"-")</f>
        <v>2</v>
      </c>
      <c r="AQ36" s="30">
        <f>IF($AL36&lt;&gt;"",VLOOKUP($AL36,Constraints!$H:$V,13,FALSE),"-")</f>
        <v>1</v>
      </c>
      <c r="AS36" s="54">
        <f>IF($AL36&lt;&gt;"",VLOOKUP($AL36,Constraints!$H:$AG,23,FALSE),"-")</f>
        <v>16</v>
      </c>
      <c r="AT36" s="54">
        <f>IF($AL36&lt;&gt;"",VLOOKUP($AL36,Constraints!$H:$AG,24,FALSE),"-")</f>
        <v>4</v>
      </c>
      <c r="AU36" s="54">
        <f>IF($AL36&lt;&gt;"",VLOOKUP($AL36,Constraints!$H:$AG,25,FALSE),"-")</f>
        <v>32</v>
      </c>
      <c r="AV36" s="54">
        <f>IF($AL36&lt;&gt;"",VLOOKUP($AL36,Constraints!$H:$AG,26,FALSE),"-")</f>
        <v>16</v>
      </c>
      <c r="AX36" s="30" t="str">
        <f t="shared" si="29"/>
        <v>-</v>
      </c>
      <c r="AY36" s="30" t="str">
        <f t="shared" si="30"/>
        <v>-</v>
      </c>
      <c r="AZ36" s="30" t="str">
        <f t="shared" si="31"/>
        <v>-</v>
      </c>
      <c r="BA36" s="30" t="str">
        <f t="shared" si="32"/>
        <v>-</v>
      </c>
      <c r="BC36" s="18" t="str">
        <f t="shared" si="19"/>
        <v>-</v>
      </c>
      <c r="BD36" s="18" t="str">
        <f t="shared" si="33"/>
        <v>-</v>
      </c>
      <c r="BE36" s="18" t="str">
        <f t="shared" si="34"/>
        <v>-</v>
      </c>
      <c r="BG36" s="54" t="str">
        <f t="shared" si="35"/>
        <v>-</v>
      </c>
      <c r="BH36" s="54" t="str">
        <f t="shared" si="36"/>
        <v>-</v>
      </c>
      <c r="BI36" s="54" t="str">
        <f t="shared" si="37"/>
        <v>-</v>
      </c>
      <c r="BJ36" s="54" t="str">
        <f t="shared" si="38"/>
        <v>-</v>
      </c>
      <c r="BK36" s="58"/>
    </row>
    <row r="37" spans="1:63" x14ac:dyDescent="0.25">
      <c r="A37" t="s">
        <v>187</v>
      </c>
      <c r="B37" s="62">
        <f>SUMIFS(Areas!J:J,Areas!$A:$A,Rios!$A37)</f>
        <v>11</v>
      </c>
      <c r="C37" s="62">
        <f>SUMIFS(Areas!K:K,Areas!$A:$A,Rios!$A37)</f>
        <v>10</v>
      </c>
      <c r="D37" s="62">
        <f>SUMIFS(Areas!L:L,Areas!$A:$A,Rios!$A37)</f>
        <v>8</v>
      </c>
      <c r="E37" s="62">
        <f>SUMIFS(Areas!M:M,Areas!$A:$A,Rios!$A37)</f>
        <v>4</v>
      </c>
      <c r="F37" s="40" t="str">
        <f>IF($A37&lt;&gt;"",VLOOKUP(Rios!$A37,Areas!$A:$I,F$2,FALSE),"-")</f>
        <v>3184-PLC-006</v>
      </c>
      <c r="G37" t="str">
        <f>IF($A37&lt;&gt;"",VLOOKUP(Rios!$A37,Areas!$A:$I,G$2,FALSE),"-")</f>
        <v>Raw Water</v>
      </c>
      <c r="H37" s="40" t="str">
        <f>IF($A37&lt;&gt;"",VLOOKUP(Rios!$A37,Areas!$A:$I,H$2,FALSE),"-")</f>
        <v>Raw Water</v>
      </c>
      <c r="J37" s="48">
        <v>2</v>
      </c>
      <c r="L37" s="54">
        <f t="shared" si="21"/>
        <v>6</v>
      </c>
      <c r="M37" s="54">
        <f t="shared" si="22"/>
        <v>5</v>
      </c>
      <c r="N37" s="54">
        <f t="shared" si="23"/>
        <v>4</v>
      </c>
      <c r="O37" s="54">
        <f t="shared" si="24"/>
        <v>2</v>
      </c>
      <c r="Q37" s="54">
        <f>IF($J37&gt;0,ROUNDUP((L37*Constraints!$D$3/$J37/100)+L37,0),"-")</f>
        <v>7</v>
      </c>
      <c r="R37" s="54">
        <f>IF($J37&gt;0,ROUNDUP((M37*Constraints!$D$3/$J37/100)+M37,0),"-")</f>
        <v>6</v>
      </c>
      <c r="S37" s="54">
        <f>IF($J37&gt;0,ROUNDUP((N37*Constraints!$D$3/$J37/100)+N37,0),"-")</f>
        <v>5</v>
      </c>
      <c r="T37" s="54">
        <f>IF($J37&gt;0,ROUNDUP((O37*Constraints!$D$3/$J37/100)+O37,0),"-")</f>
        <v>3</v>
      </c>
      <c r="V37" s="54">
        <f>IF($J37&gt;0,ROUNDUP((Q37*Constraints!$D$4/$J37/100)+Q37,0),"-")</f>
        <v>8</v>
      </c>
      <c r="W37" s="54">
        <f>IF($J37&gt;0,ROUNDUP((R37*Constraints!$D$4/$J37/100)+R37,0),"-")</f>
        <v>7</v>
      </c>
      <c r="X37" s="54">
        <f>IF($J37&gt;0,ROUNDUP((S37*Constraints!$D$4/$J37/100)+S37,0),"-")</f>
        <v>6</v>
      </c>
      <c r="Y37" s="54">
        <f>IF($J37&gt;0,ROUNDUP((T37*Constraints!$D$4/$J37/100)+T37,0),"-")</f>
        <v>4</v>
      </c>
      <c r="AA37" s="25">
        <f t="shared" si="20"/>
        <v>25</v>
      </c>
      <c r="AB37" s="110" t="str">
        <f>IF(AA37&gt;Constraints!$D$5,Rios!AA37-Constraints!$D$5,"-")</f>
        <v>-</v>
      </c>
      <c r="AD37" s="30">
        <f t="shared" si="25"/>
        <v>1</v>
      </c>
      <c r="AE37" s="30">
        <f t="shared" si="26"/>
        <v>2</v>
      </c>
      <c r="AF37" s="30">
        <f t="shared" si="27"/>
        <v>1</v>
      </c>
      <c r="AG37" s="30">
        <f t="shared" si="28"/>
        <v>1</v>
      </c>
      <c r="AI37" s="25">
        <f t="shared" si="18"/>
        <v>5</v>
      </c>
      <c r="AJ37" s="110" t="str">
        <f>IF(AI37&gt;Constraints!$D$6,Rios!AI37-Constraints!$D$6,"-")</f>
        <v>-</v>
      </c>
      <c r="AL37" s="25">
        <f>IF(AM37&lt;&gt;"",VLOOKUP(AM37,Constraints!I:J,2,FALSE),"")</f>
        <v>2</v>
      </c>
      <c r="AM37" s="105" t="s">
        <v>421</v>
      </c>
      <c r="AN37" s="30">
        <f>IF($AL37&lt;&gt;"",VLOOKUP($AL37,Constraints!$H:$V,4,FALSE),"-")</f>
        <v>2</v>
      </c>
      <c r="AO37" s="30">
        <f>IF($AL37&lt;&gt;"",VLOOKUP($AL37,Constraints!$H:$V,7,FALSE),"-")</f>
        <v>1</v>
      </c>
      <c r="AP37" s="30">
        <f>IF($AL37&lt;&gt;"",VLOOKUP($AL37,Constraints!$H:$V,10,FALSE),"-")</f>
        <v>2</v>
      </c>
      <c r="AQ37" s="30">
        <f>IF($AL37&lt;&gt;"",VLOOKUP($AL37,Constraints!$H:$V,13,FALSE),"-")</f>
        <v>1</v>
      </c>
      <c r="AS37" s="54">
        <f>IF($AL37&lt;&gt;"",VLOOKUP($AL37,Constraints!$H:$AG,23,FALSE),"-")</f>
        <v>16</v>
      </c>
      <c r="AT37" s="54">
        <f>IF($AL37&lt;&gt;"",VLOOKUP($AL37,Constraints!$H:$AG,24,FALSE),"-")</f>
        <v>4</v>
      </c>
      <c r="AU37" s="54">
        <f>IF($AL37&lt;&gt;"",VLOOKUP($AL37,Constraints!$H:$AG,25,FALSE),"-")</f>
        <v>32</v>
      </c>
      <c r="AV37" s="54">
        <f>IF($AL37&lt;&gt;"",VLOOKUP($AL37,Constraints!$H:$AG,26,FALSE),"-")</f>
        <v>16</v>
      </c>
      <c r="AX37" s="30" t="str">
        <f t="shared" si="29"/>
        <v>-</v>
      </c>
      <c r="AY37" s="30">
        <f t="shared" si="30"/>
        <v>-1</v>
      </c>
      <c r="AZ37" s="30" t="str">
        <f t="shared" si="31"/>
        <v>-</v>
      </c>
      <c r="BA37" s="30" t="str">
        <f t="shared" si="32"/>
        <v>-</v>
      </c>
      <c r="BC37" s="18" t="str">
        <f t="shared" si="19"/>
        <v>X</v>
      </c>
      <c r="BD37" s="18" t="str">
        <f t="shared" si="33"/>
        <v>-</v>
      </c>
      <c r="BE37" s="18" t="str">
        <f t="shared" si="34"/>
        <v>-</v>
      </c>
      <c r="BG37" s="54" t="str">
        <f t="shared" si="35"/>
        <v>-</v>
      </c>
      <c r="BH37" s="54">
        <f t="shared" si="36"/>
        <v>3</v>
      </c>
      <c r="BI37" s="54" t="str">
        <f t="shared" si="37"/>
        <v>-</v>
      </c>
      <c r="BJ37" s="54" t="str">
        <f t="shared" si="38"/>
        <v>-</v>
      </c>
      <c r="BK37" s="58"/>
    </row>
    <row r="38" spans="1:63" x14ac:dyDescent="0.25">
      <c r="A38" t="s">
        <v>188</v>
      </c>
      <c r="B38" s="62">
        <f>SUMIFS(Areas!J:J,Areas!$A:$A,Rios!$A38)</f>
        <v>5</v>
      </c>
      <c r="C38" s="62">
        <f>SUMIFS(Areas!K:K,Areas!$A:$A,Rios!$A38)</f>
        <v>4</v>
      </c>
      <c r="D38" s="62">
        <f>SUMIFS(Areas!L:L,Areas!$A:$A,Rios!$A38)</f>
        <v>8</v>
      </c>
      <c r="E38" s="62">
        <f>SUMIFS(Areas!M:M,Areas!$A:$A,Rios!$A38)</f>
        <v>4</v>
      </c>
      <c r="F38" s="40" t="str">
        <f>IF($A38&lt;&gt;"",VLOOKUP(Rios!$A38,Areas!$A:$I,F$2,FALSE),"-")</f>
        <v>3184-PLC-006</v>
      </c>
      <c r="G38" t="str">
        <f>IF($A38&lt;&gt;"",VLOOKUP(Rios!$A38,Areas!$A:$I,G$2,FALSE),"-")</f>
        <v>Potable Water</v>
      </c>
      <c r="H38" s="40" t="str">
        <f>IF($A38&lt;&gt;"",VLOOKUP(Rios!$A38,Areas!$A:$I,H$2,FALSE),"-")</f>
        <v>Potable Water</v>
      </c>
      <c r="J38" s="48">
        <v>1</v>
      </c>
      <c r="L38" s="54">
        <f t="shared" si="21"/>
        <v>5</v>
      </c>
      <c r="M38" s="54">
        <f t="shared" si="22"/>
        <v>4</v>
      </c>
      <c r="N38" s="54">
        <f t="shared" si="23"/>
        <v>8</v>
      </c>
      <c r="O38" s="54">
        <f t="shared" si="24"/>
        <v>4</v>
      </c>
      <c r="Q38" s="54">
        <f>IF($J38&gt;0,ROUNDUP((L38*Constraints!$D$3/$J38/100)+L38,0),"-")</f>
        <v>6</v>
      </c>
      <c r="R38" s="54">
        <f>IF($J38&gt;0,ROUNDUP((M38*Constraints!$D$3/$J38/100)+M38,0),"-")</f>
        <v>5</v>
      </c>
      <c r="S38" s="54">
        <f>IF($J38&gt;0,ROUNDUP((N38*Constraints!$D$3/$J38/100)+N38,0),"-")</f>
        <v>10</v>
      </c>
      <c r="T38" s="54">
        <f>IF($J38&gt;0,ROUNDUP((O38*Constraints!$D$3/$J38/100)+O38,0),"-")</f>
        <v>5</v>
      </c>
      <c r="V38" s="54">
        <f>IF($J38&gt;0,ROUNDUP((Q38*Constraints!$D$4/$J38/100)+Q38,0),"-")</f>
        <v>8</v>
      </c>
      <c r="W38" s="54">
        <f>IF($J38&gt;0,ROUNDUP((R38*Constraints!$D$4/$J38/100)+R38,0),"-")</f>
        <v>6</v>
      </c>
      <c r="X38" s="54">
        <f>IF($J38&gt;0,ROUNDUP((S38*Constraints!$D$4/$J38/100)+S38,0),"-")</f>
        <v>12</v>
      </c>
      <c r="Y38" s="54">
        <f>IF($J38&gt;0,ROUNDUP((T38*Constraints!$D$4/$J38/100)+T38,0),"-")</f>
        <v>6</v>
      </c>
      <c r="AA38" s="25">
        <f t="shared" si="20"/>
        <v>32</v>
      </c>
      <c r="AB38" s="110" t="str">
        <f>IF(AA38&gt;Constraints!$D$5,Rios!AA38-Constraints!$D$5,"-")</f>
        <v>-</v>
      </c>
      <c r="AD38" s="30">
        <f t="shared" si="25"/>
        <v>1</v>
      </c>
      <c r="AE38" s="30">
        <f t="shared" si="26"/>
        <v>2</v>
      </c>
      <c r="AF38" s="30">
        <f t="shared" si="27"/>
        <v>1</v>
      </c>
      <c r="AG38" s="30">
        <f t="shared" si="28"/>
        <v>1</v>
      </c>
      <c r="AI38" s="25">
        <f t="shared" si="18"/>
        <v>5</v>
      </c>
      <c r="AJ38" s="110" t="str">
        <f>IF(AI38&gt;Constraints!$D$6,Rios!AI38-Constraints!$D$6,"-")</f>
        <v>-</v>
      </c>
      <c r="AL38" s="25">
        <f>IF(AM38&lt;&gt;"",VLOOKUP(AM38,Constraints!I:J,2,FALSE),"")</f>
        <v>2</v>
      </c>
      <c r="AM38" s="105" t="s">
        <v>421</v>
      </c>
      <c r="AN38" s="30">
        <f>IF($AL38&lt;&gt;"",VLOOKUP($AL38,Constraints!$H:$V,4,FALSE),"-")</f>
        <v>2</v>
      </c>
      <c r="AO38" s="30">
        <f>IF($AL38&lt;&gt;"",VLOOKUP($AL38,Constraints!$H:$V,7,FALSE),"-")</f>
        <v>1</v>
      </c>
      <c r="AP38" s="30">
        <f>IF($AL38&lt;&gt;"",VLOOKUP($AL38,Constraints!$H:$V,10,FALSE),"-")</f>
        <v>2</v>
      </c>
      <c r="AQ38" s="30">
        <f>IF($AL38&lt;&gt;"",VLOOKUP($AL38,Constraints!$H:$V,13,FALSE),"-")</f>
        <v>1</v>
      </c>
      <c r="AS38" s="54">
        <f>IF($AL38&lt;&gt;"",VLOOKUP($AL38,Constraints!$H:$AG,23,FALSE),"-")</f>
        <v>16</v>
      </c>
      <c r="AT38" s="54">
        <f>IF($AL38&lt;&gt;"",VLOOKUP($AL38,Constraints!$H:$AG,24,FALSE),"-")</f>
        <v>4</v>
      </c>
      <c r="AU38" s="54">
        <f>IF($AL38&lt;&gt;"",VLOOKUP($AL38,Constraints!$H:$AG,25,FALSE),"-")</f>
        <v>32</v>
      </c>
      <c r="AV38" s="54">
        <f>IF($AL38&lt;&gt;"",VLOOKUP($AL38,Constraints!$H:$AG,26,FALSE),"-")</f>
        <v>16</v>
      </c>
      <c r="AX38" s="30" t="str">
        <f t="shared" si="29"/>
        <v>-</v>
      </c>
      <c r="AY38" s="30">
        <f t="shared" si="30"/>
        <v>-1</v>
      </c>
      <c r="AZ38" s="30" t="str">
        <f t="shared" si="31"/>
        <v>-</v>
      </c>
      <c r="BA38" s="30" t="str">
        <f t="shared" si="32"/>
        <v>-</v>
      </c>
      <c r="BC38" s="18" t="str">
        <f t="shared" si="19"/>
        <v>X</v>
      </c>
      <c r="BD38" s="18" t="str">
        <f t="shared" si="33"/>
        <v>-</v>
      </c>
      <c r="BE38" s="18" t="str">
        <f t="shared" si="34"/>
        <v>-</v>
      </c>
      <c r="BG38" s="54" t="str">
        <f t="shared" si="35"/>
        <v>-</v>
      </c>
      <c r="BH38" s="54">
        <f t="shared" si="36"/>
        <v>2</v>
      </c>
      <c r="BI38" s="54" t="str">
        <f t="shared" si="37"/>
        <v>-</v>
      </c>
      <c r="BJ38" s="54" t="str">
        <f t="shared" si="38"/>
        <v>-</v>
      </c>
      <c r="BK38" s="58"/>
    </row>
    <row r="39" spans="1:63" x14ac:dyDescent="0.25">
      <c r="A39" t="s">
        <v>189</v>
      </c>
      <c r="B39" s="62">
        <f>SUMIFS(Areas!J:J,Areas!$A:$A,Rios!$A39)</f>
        <v>16</v>
      </c>
      <c r="C39" s="62">
        <f>SUMIFS(Areas!K:K,Areas!$A:$A,Rios!$A39)</f>
        <v>9</v>
      </c>
      <c r="D39" s="62">
        <f>SUMIFS(Areas!L:L,Areas!$A:$A,Rios!$A39)</f>
        <v>34</v>
      </c>
      <c r="E39" s="62">
        <f>SUMIFS(Areas!M:M,Areas!$A:$A,Rios!$A39)</f>
        <v>17</v>
      </c>
      <c r="F39" s="40" t="str">
        <f>IF($A39&lt;&gt;"",VLOOKUP(Rios!$A39,Areas!$A:$I,F$2,FALSE),"-")</f>
        <v>3184-PLC-006</v>
      </c>
      <c r="G39" t="str">
        <f>IF($A39&lt;&gt;"",VLOOKUP(Rios!$A39,Areas!$A:$I,G$2,FALSE),"-")</f>
        <v>Process Water / Dam / Sand Filter</v>
      </c>
      <c r="H39" s="40" t="str">
        <f>IF($A39&lt;&gt;"",VLOOKUP(Rios!$A39,Areas!$A:$I,H$2,FALSE),"-")</f>
        <v>Sand Filter</v>
      </c>
      <c r="J39" s="48">
        <v>2</v>
      </c>
      <c r="L39" s="54">
        <f t="shared" si="21"/>
        <v>8</v>
      </c>
      <c r="M39" s="54">
        <f t="shared" si="22"/>
        <v>5</v>
      </c>
      <c r="N39" s="54">
        <f t="shared" si="23"/>
        <v>17</v>
      </c>
      <c r="O39" s="54">
        <f t="shared" si="24"/>
        <v>9</v>
      </c>
      <c r="Q39" s="54">
        <f>IF($J39&gt;0,ROUNDUP((L39*Constraints!$D$3/$J39/100)+L39,0),"-")</f>
        <v>9</v>
      </c>
      <c r="R39" s="54">
        <f>IF($J39&gt;0,ROUNDUP((M39*Constraints!$D$3/$J39/100)+M39,0),"-")</f>
        <v>6</v>
      </c>
      <c r="S39" s="54">
        <f>IF($J39&gt;0,ROUNDUP((N39*Constraints!$D$3/$J39/100)+N39,0),"-")</f>
        <v>19</v>
      </c>
      <c r="T39" s="54">
        <f>IF($J39&gt;0,ROUNDUP((O39*Constraints!$D$3/$J39/100)+O39,0),"-")</f>
        <v>10</v>
      </c>
      <c r="V39" s="54">
        <f>IF($J39&gt;0,ROUNDUP((Q39*Constraints!$D$4/$J39/100)+Q39,0),"-")</f>
        <v>10</v>
      </c>
      <c r="W39" s="54">
        <f>IF($J39&gt;0,ROUNDUP((R39*Constraints!$D$4/$J39/100)+R39,0),"-")</f>
        <v>7</v>
      </c>
      <c r="X39" s="54">
        <f>IF($J39&gt;0,ROUNDUP((S39*Constraints!$D$4/$J39/100)+S39,0),"-")</f>
        <v>21</v>
      </c>
      <c r="Y39" s="54">
        <f>IF($J39&gt;0,ROUNDUP((T39*Constraints!$D$4/$J39/100)+T39,0),"-")</f>
        <v>11</v>
      </c>
      <c r="AA39" s="25">
        <f t="shared" si="20"/>
        <v>49</v>
      </c>
      <c r="AB39" s="110" t="str">
        <f>IF(AA39&gt;Constraints!$D$5,Rios!AA39-Constraints!$D$5,"-")</f>
        <v>-</v>
      </c>
      <c r="AD39" s="30">
        <f t="shared" si="25"/>
        <v>2</v>
      </c>
      <c r="AE39" s="30">
        <f t="shared" si="26"/>
        <v>2</v>
      </c>
      <c r="AF39" s="30">
        <f t="shared" si="27"/>
        <v>2</v>
      </c>
      <c r="AG39" s="30">
        <f t="shared" si="28"/>
        <v>1</v>
      </c>
      <c r="AI39" s="25">
        <f t="shared" si="18"/>
        <v>7</v>
      </c>
      <c r="AJ39" s="110" t="str">
        <f>IF(AI39&gt;Constraints!$D$6,Rios!AI39-Constraints!$D$6,"-")</f>
        <v>-</v>
      </c>
      <c r="AL39" s="25">
        <f>IF(AM39&lt;&gt;"",VLOOKUP(AM39,Constraints!I:J,2,FALSE),"")</f>
        <v>2</v>
      </c>
      <c r="AM39" s="105" t="s">
        <v>421</v>
      </c>
      <c r="AN39" s="30">
        <f>IF($AL39&lt;&gt;"",VLOOKUP($AL39,Constraints!$H:$V,4,FALSE),"-")</f>
        <v>2</v>
      </c>
      <c r="AO39" s="30">
        <f>IF($AL39&lt;&gt;"",VLOOKUP($AL39,Constraints!$H:$V,7,FALSE),"-")</f>
        <v>1</v>
      </c>
      <c r="AP39" s="30">
        <f>IF($AL39&lt;&gt;"",VLOOKUP($AL39,Constraints!$H:$V,10,FALSE),"-")</f>
        <v>2</v>
      </c>
      <c r="AQ39" s="30">
        <f>IF($AL39&lt;&gt;"",VLOOKUP($AL39,Constraints!$H:$V,13,FALSE),"-")</f>
        <v>1</v>
      </c>
      <c r="AS39" s="54">
        <f>IF($AL39&lt;&gt;"",VLOOKUP($AL39,Constraints!$H:$AG,23,FALSE),"-")</f>
        <v>16</v>
      </c>
      <c r="AT39" s="54">
        <f>IF($AL39&lt;&gt;"",VLOOKUP($AL39,Constraints!$H:$AG,24,FALSE),"-")</f>
        <v>4</v>
      </c>
      <c r="AU39" s="54">
        <f>IF($AL39&lt;&gt;"",VLOOKUP($AL39,Constraints!$H:$AG,25,FALSE),"-")</f>
        <v>32</v>
      </c>
      <c r="AV39" s="54">
        <f>IF($AL39&lt;&gt;"",VLOOKUP($AL39,Constraints!$H:$AG,26,FALSE),"-")</f>
        <v>16</v>
      </c>
      <c r="AX39" s="30" t="str">
        <f t="shared" si="29"/>
        <v>-</v>
      </c>
      <c r="AY39" s="30">
        <f t="shared" si="30"/>
        <v>-1</v>
      </c>
      <c r="AZ39" s="30" t="str">
        <f t="shared" si="31"/>
        <v>-</v>
      </c>
      <c r="BA39" s="30" t="str">
        <f t="shared" si="32"/>
        <v>-</v>
      </c>
      <c r="BC39" s="18" t="str">
        <f t="shared" si="19"/>
        <v>X</v>
      </c>
      <c r="BD39" s="18" t="str">
        <f t="shared" si="33"/>
        <v>-</v>
      </c>
      <c r="BE39" s="18" t="str">
        <f t="shared" si="34"/>
        <v>-</v>
      </c>
      <c r="BG39" s="54" t="str">
        <f t="shared" si="35"/>
        <v>-</v>
      </c>
      <c r="BH39" s="54">
        <f t="shared" si="36"/>
        <v>3</v>
      </c>
      <c r="BI39" s="54" t="str">
        <f t="shared" si="37"/>
        <v>-</v>
      </c>
      <c r="BJ39" s="54" t="str">
        <f t="shared" si="38"/>
        <v>-</v>
      </c>
      <c r="BK39" s="58"/>
    </row>
    <row r="40" spans="1:63" x14ac:dyDescent="0.25">
      <c r="A40" t="s">
        <v>190</v>
      </c>
      <c r="B40" s="62">
        <f>SUMIFS(Areas!J:J,Areas!$A:$A,Rios!$A40)</f>
        <v>3</v>
      </c>
      <c r="C40" s="62">
        <f>SUMIFS(Areas!K:K,Areas!$A:$A,Rios!$A40)</f>
        <v>2</v>
      </c>
      <c r="D40" s="62">
        <f>SUMIFS(Areas!L:L,Areas!$A:$A,Rios!$A40)</f>
        <v>0</v>
      </c>
      <c r="E40" s="62">
        <f>SUMIFS(Areas!M:M,Areas!$A:$A,Rios!$A40)</f>
        <v>0</v>
      </c>
      <c r="F40" s="40" t="str">
        <f>IF($A40&lt;&gt;"",VLOOKUP(Rios!$A40,Areas!$A:$I,F$2,FALSE),"-")</f>
        <v>3184-PLC-006</v>
      </c>
      <c r="G40" t="str">
        <f>IF($A40&lt;&gt;"",VLOOKUP(Rios!$A40,Areas!$A:$I,G$2,FALSE),"-")</f>
        <v>Process Water / Dam / Sand Filter</v>
      </c>
      <c r="H40" s="40" t="str">
        <f>IF($A40&lt;&gt;"",VLOOKUP(Rios!$A40,Areas!$A:$I,H$2,FALSE),"-")</f>
        <v>Dam</v>
      </c>
      <c r="J40" s="48">
        <v>1</v>
      </c>
      <c r="L40" s="54">
        <f t="shared" si="21"/>
        <v>3</v>
      </c>
      <c r="M40" s="54">
        <f t="shared" si="22"/>
        <v>2</v>
      </c>
      <c r="N40" s="54">
        <f t="shared" si="23"/>
        <v>0</v>
      </c>
      <c r="O40" s="54">
        <f t="shared" si="24"/>
        <v>0</v>
      </c>
      <c r="Q40" s="54">
        <f>IF($J40&gt;0,ROUNDUP((L40*Constraints!$D$3/$J40/100)+L40,0),"-")</f>
        <v>4</v>
      </c>
      <c r="R40" s="54">
        <f>IF($J40&gt;0,ROUNDUP((M40*Constraints!$D$3/$J40/100)+M40,0),"-")</f>
        <v>3</v>
      </c>
      <c r="S40" s="54">
        <f>IF($J40&gt;0,ROUNDUP((N40*Constraints!$D$3/$J40/100)+N40,0),"-")</f>
        <v>0</v>
      </c>
      <c r="T40" s="54">
        <f>IF($J40&gt;0,ROUNDUP((O40*Constraints!$D$3/$J40/100)+O40,0),"-")</f>
        <v>0</v>
      </c>
      <c r="V40" s="54">
        <f>IF($J40&gt;0,ROUNDUP((Q40*Constraints!$D$4/$J40/100)+Q40,0),"-")</f>
        <v>5</v>
      </c>
      <c r="W40" s="54">
        <f>IF($J40&gt;0,ROUNDUP((R40*Constraints!$D$4/$J40/100)+R40,0),"-")</f>
        <v>4</v>
      </c>
      <c r="X40" s="54">
        <f>IF($J40&gt;0,ROUNDUP((S40*Constraints!$D$4/$J40/100)+S40,0),"-")</f>
        <v>0</v>
      </c>
      <c r="Y40" s="54">
        <f>IF($J40&gt;0,ROUNDUP((T40*Constraints!$D$4/$J40/100)+T40,0),"-")</f>
        <v>0</v>
      </c>
      <c r="AA40" s="25">
        <f t="shared" si="20"/>
        <v>9</v>
      </c>
      <c r="AB40" s="110" t="str">
        <f>IF(AA40&gt;Constraints!$D$5,Rios!AA40-Constraints!$D$5,"-")</f>
        <v>-</v>
      </c>
      <c r="AD40" s="30">
        <f t="shared" si="25"/>
        <v>1</v>
      </c>
      <c r="AE40" s="30">
        <f t="shared" si="26"/>
        <v>1</v>
      </c>
      <c r="AF40" s="30">
        <f t="shared" si="27"/>
        <v>0</v>
      </c>
      <c r="AG40" s="30">
        <f t="shared" si="28"/>
        <v>0</v>
      </c>
      <c r="AI40" s="25">
        <f t="shared" si="18"/>
        <v>2</v>
      </c>
      <c r="AJ40" s="110" t="str">
        <f>IF(AI40&gt;Constraints!$D$6,Rios!AI40-Constraints!$D$6,"-")</f>
        <v>-</v>
      </c>
      <c r="AL40" s="25">
        <f>IF(AM40&lt;&gt;"",VLOOKUP(AM40,Constraints!I:J,2,FALSE),"")</f>
        <v>2</v>
      </c>
      <c r="AM40" s="105" t="s">
        <v>421</v>
      </c>
      <c r="AN40" s="30">
        <f>IF($AL40&lt;&gt;"",VLOOKUP($AL40,Constraints!$H:$V,4,FALSE),"-")</f>
        <v>2</v>
      </c>
      <c r="AO40" s="30">
        <f>IF($AL40&lt;&gt;"",VLOOKUP($AL40,Constraints!$H:$V,7,FALSE),"-")</f>
        <v>1</v>
      </c>
      <c r="AP40" s="30">
        <f>IF($AL40&lt;&gt;"",VLOOKUP($AL40,Constraints!$H:$V,10,FALSE),"-")</f>
        <v>2</v>
      </c>
      <c r="AQ40" s="30">
        <f>IF($AL40&lt;&gt;"",VLOOKUP($AL40,Constraints!$H:$V,13,FALSE),"-")</f>
        <v>1</v>
      </c>
      <c r="AS40" s="54">
        <f>IF($AL40&lt;&gt;"",VLOOKUP($AL40,Constraints!$H:$AG,23,FALSE),"-")</f>
        <v>16</v>
      </c>
      <c r="AT40" s="54">
        <f>IF($AL40&lt;&gt;"",VLOOKUP($AL40,Constraints!$H:$AG,24,FALSE),"-")</f>
        <v>4</v>
      </c>
      <c r="AU40" s="54">
        <f>IF($AL40&lt;&gt;"",VLOOKUP($AL40,Constraints!$H:$AG,25,FALSE),"-")</f>
        <v>32</v>
      </c>
      <c r="AV40" s="54">
        <f>IF($AL40&lt;&gt;"",VLOOKUP($AL40,Constraints!$H:$AG,26,FALSE),"-")</f>
        <v>16</v>
      </c>
      <c r="AX40" s="30" t="str">
        <f t="shared" si="29"/>
        <v>-</v>
      </c>
      <c r="AY40" s="30" t="str">
        <f t="shared" si="30"/>
        <v>-</v>
      </c>
      <c r="AZ40" s="30" t="str">
        <f t="shared" si="31"/>
        <v>-</v>
      </c>
      <c r="BA40" s="30" t="str">
        <f t="shared" si="32"/>
        <v>-</v>
      </c>
      <c r="BC40" s="18" t="str">
        <f t="shared" si="19"/>
        <v>-</v>
      </c>
      <c r="BD40" s="18" t="str">
        <f t="shared" si="33"/>
        <v>-</v>
      </c>
      <c r="BE40" s="18" t="str">
        <f t="shared" si="34"/>
        <v>-</v>
      </c>
      <c r="BG40" s="54" t="str">
        <f t="shared" si="35"/>
        <v>-</v>
      </c>
      <c r="BH40" s="54" t="str">
        <f t="shared" si="36"/>
        <v>-</v>
      </c>
      <c r="BI40" s="54" t="str">
        <f t="shared" si="37"/>
        <v>-</v>
      </c>
      <c r="BJ40" s="54" t="str">
        <f t="shared" si="38"/>
        <v>-</v>
      </c>
      <c r="BK40" s="58"/>
    </row>
    <row r="41" spans="1:63" x14ac:dyDescent="0.25">
      <c r="A41" t="s">
        <v>191</v>
      </c>
      <c r="B41" s="62">
        <f>SUMIFS(Areas!J:J,Areas!$A:$A,Rios!$A41)</f>
        <v>4</v>
      </c>
      <c r="C41" s="62">
        <f>SUMIFS(Areas!K:K,Areas!$A:$A,Rios!$A41)</f>
        <v>3</v>
      </c>
      <c r="D41" s="62">
        <f>SUMIFS(Areas!L:L,Areas!$A:$A,Rios!$A41)</f>
        <v>8</v>
      </c>
      <c r="E41" s="62">
        <f>SUMIFS(Areas!M:M,Areas!$A:$A,Rios!$A41)</f>
        <v>4</v>
      </c>
      <c r="F41" s="40" t="str">
        <f>IF($A41&lt;&gt;"",VLOOKUP(Rios!$A41,Areas!$A:$I,F$2,FALSE),"-")</f>
        <v>3184-PLC-007</v>
      </c>
      <c r="G41" t="str">
        <f>IF($A41&lt;&gt;"",VLOOKUP(Rios!$A41,Areas!$A:$I,G$2,FALSE),"-")</f>
        <v>Fire Water</v>
      </c>
      <c r="H41" s="40" t="str">
        <f>IF($A41&lt;&gt;"",VLOOKUP(Rios!$A41,Areas!$A:$I,H$2,FALSE),"-")</f>
        <v>Fire Water</v>
      </c>
      <c r="J41" s="48">
        <v>1</v>
      </c>
      <c r="L41" s="54">
        <f t="shared" si="21"/>
        <v>4</v>
      </c>
      <c r="M41" s="54">
        <f t="shared" si="22"/>
        <v>3</v>
      </c>
      <c r="N41" s="54">
        <f t="shared" si="23"/>
        <v>8</v>
      </c>
      <c r="O41" s="54">
        <f t="shared" si="24"/>
        <v>4</v>
      </c>
      <c r="Q41" s="54">
        <f>IF($J41&gt;0,ROUNDUP((L41*Constraints!$D$3/$J41/100)+L41,0),"-")</f>
        <v>5</v>
      </c>
      <c r="R41" s="54">
        <f>IF($J41&gt;0,ROUNDUP((M41*Constraints!$D$3/$J41/100)+M41,0),"-")</f>
        <v>4</v>
      </c>
      <c r="S41" s="54">
        <f>IF($J41&gt;0,ROUNDUP((N41*Constraints!$D$3/$J41/100)+N41,0),"-")</f>
        <v>10</v>
      </c>
      <c r="T41" s="54">
        <f>IF($J41&gt;0,ROUNDUP((O41*Constraints!$D$3/$J41/100)+O41,0),"-")</f>
        <v>5</v>
      </c>
      <c r="V41" s="54">
        <f>IF($J41&gt;0,ROUNDUP((Q41*Constraints!$D$4/$J41/100)+Q41,0),"-")</f>
        <v>6</v>
      </c>
      <c r="W41" s="54">
        <f>IF($J41&gt;0,ROUNDUP((R41*Constraints!$D$4/$J41/100)+R41,0),"-")</f>
        <v>5</v>
      </c>
      <c r="X41" s="54">
        <f>IF($J41&gt;0,ROUNDUP((S41*Constraints!$D$4/$J41/100)+S41,0),"-")</f>
        <v>12</v>
      </c>
      <c r="Y41" s="54">
        <f>IF($J41&gt;0,ROUNDUP((T41*Constraints!$D$4/$J41/100)+T41,0),"-")</f>
        <v>6</v>
      </c>
      <c r="AA41" s="25">
        <f t="shared" si="20"/>
        <v>29</v>
      </c>
      <c r="AB41" s="110" t="str">
        <f>IF(AA41&gt;Constraints!$D$5,Rios!AA41-Constraints!$D$5,"-")</f>
        <v>-</v>
      </c>
      <c r="AD41" s="30">
        <f t="shared" si="25"/>
        <v>1</v>
      </c>
      <c r="AE41" s="30">
        <f t="shared" si="26"/>
        <v>2</v>
      </c>
      <c r="AF41" s="30">
        <f t="shared" si="27"/>
        <v>1</v>
      </c>
      <c r="AG41" s="30">
        <f t="shared" si="28"/>
        <v>1</v>
      </c>
      <c r="AI41" s="25">
        <f t="shared" si="18"/>
        <v>5</v>
      </c>
      <c r="AJ41" s="110" t="str">
        <f>IF(AI41&gt;Constraints!$D$6,Rios!AI41-Constraints!$D$6,"-")</f>
        <v>-</v>
      </c>
      <c r="AL41" s="25">
        <f>IF(AM41&lt;&gt;"",VLOOKUP(AM41,Constraints!I:J,2,FALSE),"")</f>
        <v>2</v>
      </c>
      <c r="AM41" s="105" t="s">
        <v>421</v>
      </c>
      <c r="AN41" s="30">
        <f>IF($AL41&lt;&gt;"",VLOOKUP($AL41,Constraints!$H:$V,4,FALSE),"-")</f>
        <v>2</v>
      </c>
      <c r="AO41" s="30">
        <f>IF($AL41&lt;&gt;"",VLOOKUP($AL41,Constraints!$H:$V,7,FALSE),"-")</f>
        <v>1</v>
      </c>
      <c r="AP41" s="30">
        <f>IF($AL41&lt;&gt;"",VLOOKUP($AL41,Constraints!$H:$V,10,FALSE),"-")</f>
        <v>2</v>
      </c>
      <c r="AQ41" s="30">
        <f>IF($AL41&lt;&gt;"",VLOOKUP($AL41,Constraints!$H:$V,13,FALSE),"-")</f>
        <v>1</v>
      </c>
      <c r="AS41" s="54">
        <f>IF($AL41&lt;&gt;"",VLOOKUP($AL41,Constraints!$H:$AG,23,FALSE),"-")</f>
        <v>16</v>
      </c>
      <c r="AT41" s="54">
        <f>IF($AL41&lt;&gt;"",VLOOKUP($AL41,Constraints!$H:$AG,24,FALSE),"-")</f>
        <v>4</v>
      </c>
      <c r="AU41" s="54">
        <f>IF($AL41&lt;&gt;"",VLOOKUP($AL41,Constraints!$H:$AG,25,FALSE),"-")</f>
        <v>32</v>
      </c>
      <c r="AV41" s="54">
        <f>IF($AL41&lt;&gt;"",VLOOKUP($AL41,Constraints!$H:$AG,26,FALSE),"-")</f>
        <v>16</v>
      </c>
      <c r="AX41" s="30" t="str">
        <f t="shared" si="29"/>
        <v>-</v>
      </c>
      <c r="AY41" s="30">
        <f t="shared" si="30"/>
        <v>-1</v>
      </c>
      <c r="AZ41" s="30" t="str">
        <f t="shared" si="31"/>
        <v>-</v>
      </c>
      <c r="BA41" s="30" t="str">
        <f t="shared" si="32"/>
        <v>-</v>
      </c>
      <c r="BC41" s="18" t="str">
        <f t="shared" si="19"/>
        <v>X</v>
      </c>
      <c r="BD41" s="18" t="str">
        <f t="shared" si="33"/>
        <v>-</v>
      </c>
      <c r="BE41" s="18" t="str">
        <f t="shared" si="34"/>
        <v>-</v>
      </c>
      <c r="BG41" s="54" t="str">
        <f t="shared" si="35"/>
        <v>-</v>
      </c>
      <c r="BH41" s="54">
        <f t="shared" si="36"/>
        <v>1</v>
      </c>
      <c r="BI41" s="54" t="str">
        <f t="shared" si="37"/>
        <v>-</v>
      </c>
      <c r="BJ41" s="54" t="str">
        <f t="shared" si="38"/>
        <v>-</v>
      </c>
      <c r="BK41" s="58"/>
    </row>
    <row r="42" spans="1:63" x14ac:dyDescent="0.25">
      <c r="A42" t="s">
        <v>158</v>
      </c>
      <c r="B42" s="62">
        <f>SUMIFS(Areas!J:J,Areas!$A:$A,Rios!$A42)</f>
        <v>20</v>
      </c>
      <c r="C42" s="62">
        <f>SUMIFS(Areas!K:K,Areas!$A:$A,Rios!$A42)</f>
        <v>11</v>
      </c>
      <c r="D42" s="62">
        <f>SUMIFS(Areas!L:L,Areas!$A:$A,Rios!$A42)</f>
        <v>14</v>
      </c>
      <c r="E42" s="62">
        <f>SUMIFS(Areas!M:M,Areas!$A:$A,Rios!$A42)</f>
        <v>1</v>
      </c>
      <c r="F42" s="40" t="str">
        <f>IF($A42&lt;&gt;"",VLOOKUP(Rios!$A42,Areas!$A:$I,F$2,FALSE),"-")</f>
        <v>3184-PLC-003</v>
      </c>
      <c r="G42" t="str">
        <f>IF($A42&lt;&gt;"",VLOOKUP(Rios!$A42,Areas!$A:$I,G$2,FALSE),"-")</f>
        <v>Air Blower / Plant &amp; Instrument Air</v>
      </c>
      <c r="H42" s="40" t="str">
        <f>IF($A42&lt;&gt;"",VLOOKUP(Rios!$A42,Areas!$A:$I,H$2,FALSE),"-")</f>
        <v>Air Blower / Plant &amp; Instrument Air</v>
      </c>
      <c r="J42" s="48">
        <v>1</v>
      </c>
      <c r="L42" s="54">
        <f t="shared" si="21"/>
        <v>20</v>
      </c>
      <c r="M42" s="54">
        <f t="shared" si="22"/>
        <v>11</v>
      </c>
      <c r="N42" s="54">
        <f t="shared" si="23"/>
        <v>14</v>
      </c>
      <c r="O42" s="54">
        <f t="shared" si="24"/>
        <v>1</v>
      </c>
      <c r="Q42" s="54">
        <f>IF($J42&gt;0,ROUNDUP((L42*Constraints!$D$3/$J42/100)+L42,0),"-")</f>
        <v>23</v>
      </c>
      <c r="R42" s="54">
        <f>IF($J42&gt;0,ROUNDUP((M42*Constraints!$D$3/$J42/100)+M42,0),"-")</f>
        <v>13</v>
      </c>
      <c r="S42" s="54">
        <f>IF($J42&gt;0,ROUNDUP((N42*Constraints!$D$3/$J42/100)+N42,0),"-")</f>
        <v>17</v>
      </c>
      <c r="T42" s="54">
        <f>IF($J42&gt;0,ROUNDUP((O42*Constraints!$D$3/$J42/100)+O42,0),"-")</f>
        <v>2</v>
      </c>
      <c r="V42" s="54">
        <f>IF($J42&gt;0,ROUNDUP((Q42*Constraints!$D$4/$J42/100)+Q42,0),"-")</f>
        <v>28</v>
      </c>
      <c r="W42" s="54">
        <f>IF($J42&gt;0,ROUNDUP((R42*Constraints!$D$4/$J42/100)+R42,0),"-")</f>
        <v>16</v>
      </c>
      <c r="X42" s="54">
        <f>IF($J42&gt;0,ROUNDUP((S42*Constraints!$D$4/$J42/100)+S42,0),"-")</f>
        <v>21</v>
      </c>
      <c r="Y42" s="54">
        <f>IF($J42&gt;0,ROUNDUP((T42*Constraints!$D$4/$J42/100)+T42,0),"-")</f>
        <v>3</v>
      </c>
      <c r="AA42" s="25">
        <f t="shared" si="20"/>
        <v>68</v>
      </c>
      <c r="AB42" s="110" t="str">
        <f>IF(AA42&gt;Constraints!$D$5,Rios!AA42-Constraints!$D$5,"-")</f>
        <v>-</v>
      </c>
      <c r="AD42" s="30">
        <f t="shared" si="25"/>
        <v>4</v>
      </c>
      <c r="AE42" s="30">
        <f t="shared" si="26"/>
        <v>4</v>
      </c>
      <c r="AF42" s="30">
        <f t="shared" si="27"/>
        <v>2</v>
      </c>
      <c r="AG42" s="30">
        <f t="shared" si="28"/>
        <v>1</v>
      </c>
      <c r="AI42" s="25">
        <f t="shared" si="18"/>
        <v>11</v>
      </c>
      <c r="AJ42" s="110" t="str">
        <f>IF(AI42&gt;Constraints!$D$6,Rios!AI42-Constraints!$D$6,"-")</f>
        <v>-</v>
      </c>
      <c r="AL42" s="25">
        <f>IF(AM42&lt;&gt;"",VLOOKUP(AM42,Constraints!I:J,2,FALSE),"")</f>
        <v>1</v>
      </c>
      <c r="AM42" s="105" t="s">
        <v>297</v>
      </c>
      <c r="AN42" s="30">
        <f>IF($AL42&lt;&gt;"",VLOOKUP($AL42,Constraints!$H:$V,4,FALSE),"-")</f>
        <v>4</v>
      </c>
      <c r="AO42" s="30">
        <f>IF($AL42&lt;&gt;"",VLOOKUP($AL42,Constraints!$H:$V,7,FALSE),"-")</f>
        <v>2</v>
      </c>
      <c r="AP42" s="30">
        <f>IF($AL42&lt;&gt;"",VLOOKUP($AL42,Constraints!$H:$V,10,FALSE),"-")</f>
        <v>4</v>
      </c>
      <c r="AQ42" s="30">
        <f>IF($AL42&lt;&gt;"",VLOOKUP($AL42,Constraints!$H:$V,13,FALSE),"-")</f>
        <v>2</v>
      </c>
      <c r="AS42" s="54">
        <f>IF($AL42&lt;&gt;"",VLOOKUP($AL42,Constraints!$H:$AG,23,FALSE),"-")</f>
        <v>32</v>
      </c>
      <c r="AT42" s="54">
        <f>IF($AL42&lt;&gt;"",VLOOKUP($AL42,Constraints!$H:$AG,24,FALSE),"-")</f>
        <v>8</v>
      </c>
      <c r="AU42" s="54">
        <f>IF($AL42&lt;&gt;"",VLOOKUP($AL42,Constraints!$H:$AG,25,FALSE),"-")</f>
        <v>64</v>
      </c>
      <c r="AV42" s="54">
        <f>IF($AL42&lt;&gt;"",VLOOKUP($AL42,Constraints!$H:$AG,26,FALSE),"-")</f>
        <v>32</v>
      </c>
      <c r="AX42" s="30" t="str">
        <f t="shared" si="29"/>
        <v>-</v>
      </c>
      <c r="AY42" s="30">
        <f t="shared" si="30"/>
        <v>-2</v>
      </c>
      <c r="AZ42" s="30" t="str">
        <f t="shared" si="31"/>
        <v>-</v>
      </c>
      <c r="BA42" s="30" t="str">
        <f t="shared" si="32"/>
        <v>-</v>
      </c>
      <c r="BC42" s="18" t="str">
        <f t="shared" si="19"/>
        <v>X</v>
      </c>
      <c r="BD42" s="18" t="str">
        <f t="shared" si="33"/>
        <v>-</v>
      </c>
      <c r="BE42" s="18" t="str">
        <f t="shared" si="34"/>
        <v>-</v>
      </c>
      <c r="BG42" s="54" t="str">
        <f t="shared" si="35"/>
        <v>-</v>
      </c>
      <c r="BH42" s="54">
        <f t="shared" si="36"/>
        <v>8</v>
      </c>
      <c r="BI42" s="54" t="str">
        <f t="shared" si="37"/>
        <v>-</v>
      </c>
      <c r="BJ42" s="54" t="str">
        <f t="shared" si="38"/>
        <v>-</v>
      </c>
      <c r="BK42" s="58" t="s">
        <v>332</v>
      </c>
    </row>
    <row r="43" spans="1:63" x14ac:dyDescent="0.25">
      <c r="A43" t="s">
        <v>152</v>
      </c>
      <c r="B43" s="62">
        <f>SUMIFS(Areas!J:J,Areas!$A:$A,Rios!$A43)</f>
        <v>9</v>
      </c>
      <c r="C43" s="62">
        <f>SUMIFS(Areas!K:K,Areas!$A:$A,Rios!$A43)</f>
        <v>0</v>
      </c>
      <c r="D43" s="62">
        <f>SUMIFS(Areas!L:L,Areas!$A:$A,Rios!$A43)</f>
        <v>2</v>
      </c>
      <c r="E43" s="62">
        <f>SUMIFS(Areas!M:M,Areas!$A:$A,Rios!$A43)</f>
        <v>0</v>
      </c>
      <c r="F43" s="40" t="str">
        <f>IF($A43&lt;&gt;"",VLOOKUP(Rios!$A43,Areas!$A:$I,F$2,FALSE),"-")</f>
        <v>3184-PLC-003</v>
      </c>
      <c r="G43" t="str">
        <f>IF($A43&lt;&gt;"",VLOOKUP(Rios!$A43,Areas!$A:$I,G$2,FALSE),"-")</f>
        <v>Collector Dosing</v>
      </c>
      <c r="H43" s="40" t="str">
        <f>IF($A43&lt;&gt;"",VLOOKUP(Rios!$A43,Areas!$A:$I,H$2,FALSE),"-")</f>
        <v>Collector Dosing</v>
      </c>
      <c r="J43" s="48">
        <v>1</v>
      </c>
      <c r="L43" s="54">
        <f t="shared" si="21"/>
        <v>9</v>
      </c>
      <c r="M43" s="54">
        <f t="shared" si="22"/>
        <v>0</v>
      </c>
      <c r="N43" s="54">
        <f t="shared" si="23"/>
        <v>2</v>
      </c>
      <c r="O43" s="54">
        <f t="shared" si="24"/>
        <v>0</v>
      </c>
      <c r="Q43" s="54">
        <f>IF($J43&gt;0,ROUNDUP((L43*Constraints!$D$3/$J43/100)+L43,0),"-")</f>
        <v>11</v>
      </c>
      <c r="R43" s="54">
        <f>IF($J43&gt;0,ROUNDUP((M43*Constraints!$D$3/$J43/100)+M43,0),"-")</f>
        <v>0</v>
      </c>
      <c r="S43" s="54">
        <f>IF($J43&gt;0,ROUNDUP((N43*Constraints!$D$3/$J43/100)+N43,0),"-")</f>
        <v>3</v>
      </c>
      <c r="T43" s="54">
        <f>IF($J43&gt;0,ROUNDUP((O43*Constraints!$D$3/$J43/100)+O43,0),"-")</f>
        <v>0</v>
      </c>
      <c r="V43" s="54">
        <f>IF($J43&gt;0,ROUNDUP((Q43*Constraints!$D$4/$J43/100)+Q43,0),"-")</f>
        <v>14</v>
      </c>
      <c r="W43" s="54">
        <f>IF($J43&gt;0,ROUNDUP((R43*Constraints!$D$4/$J43/100)+R43,0),"-")</f>
        <v>0</v>
      </c>
      <c r="X43" s="54">
        <f>IF($J43&gt;0,ROUNDUP((S43*Constraints!$D$4/$J43/100)+S43,0),"-")</f>
        <v>4</v>
      </c>
      <c r="Y43" s="54">
        <f>IF($J43&gt;0,ROUNDUP((T43*Constraints!$D$4/$J43/100)+T43,0),"-")</f>
        <v>0</v>
      </c>
      <c r="AA43" s="25">
        <f t="shared" si="20"/>
        <v>18</v>
      </c>
      <c r="AB43" s="110" t="str">
        <f>IF(AA43&gt;Constraints!$D$5,Rios!AA43-Constraints!$D$5,"-")</f>
        <v>-</v>
      </c>
      <c r="AD43" s="30">
        <f t="shared" si="25"/>
        <v>2</v>
      </c>
      <c r="AE43" s="30">
        <f t="shared" si="26"/>
        <v>0</v>
      </c>
      <c r="AF43" s="30">
        <f t="shared" si="27"/>
        <v>1</v>
      </c>
      <c r="AG43" s="30">
        <f t="shared" si="28"/>
        <v>0</v>
      </c>
      <c r="AI43" s="25">
        <f t="shared" si="18"/>
        <v>3</v>
      </c>
      <c r="AJ43" s="110" t="str">
        <f>IF(AI43&gt;Constraints!$D$6,Rios!AI43-Constraints!$D$6,"-")</f>
        <v>-</v>
      </c>
      <c r="AL43" s="25">
        <f>IF(AM43&lt;&gt;"",VLOOKUP(AM43,Constraints!I:J,2,FALSE),"")</f>
        <v>2</v>
      </c>
      <c r="AM43" s="105" t="s">
        <v>421</v>
      </c>
      <c r="AN43" s="30">
        <f>IF($AL43&lt;&gt;"",VLOOKUP($AL43,Constraints!$H:$V,4,FALSE),"-")</f>
        <v>2</v>
      </c>
      <c r="AO43" s="30">
        <f>IF($AL43&lt;&gt;"",VLOOKUP($AL43,Constraints!$H:$V,7,FALSE),"-")</f>
        <v>1</v>
      </c>
      <c r="AP43" s="30">
        <f>IF($AL43&lt;&gt;"",VLOOKUP($AL43,Constraints!$H:$V,10,FALSE),"-")</f>
        <v>2</v>
      </c>
      <c r="AQ43" s="30">
        <f>IF($AL43&lt;&gt;"",VLOOKUP($AL43,Constraints!$H:$V,13,FALSE),"-")</f>
        <v>1</v>
      </c>
      <c r="AS43" s="54">
        <f>IF($AL43&lt;&gt;"",VLOOKUP($AL43,Constraints!$H:$AG,23,FALSE),"-")</f>
        <v>16</v>
      </c>
      <c r="AT43" s="54">
        <f>IF($AL43&lt;&gt;"",VLOOKUP($AL43,Constraints!$H:$AG,24,FALSE),"-")</f>
        <v>4</v>
      </c>
      <c r="AU43" s="54">
        <f>IF($AL43&lt;&gt;"",VLOOKUP($AL43,Constraints!$H:$AG,25,FALSE),"-")</f>
        <v>32</v>
      </c>
      <c r="AV43" s="54">
        <f>IF($AL43&lt;&gt;"",VLOOKUP($AL43,Constraints!$H:$AG,26,FALSE),"-")</f>
        <v>16</v>
      </c>
      <c r="AX43" s="30" t="str">
        <f t="shared" si="29"/>
        <v>-</v>
      </c>
      <c r="AY43" s="30" t="str">
        <f t="shared" si="30"/>
        <v>-</v>
      </c>
      <c r="AZ43" s="30" t="str">
        <f t="shared" si="31"/>
        <v>-</v>
      </c>
      <c r="BA43" s="30" t="str">
        <f t="shared" si="32"/>
        <v>-</v>
      </c>
      <c r="BC43" s="18" t="str">
        <f t="shared" si="19"/>
        <v>-</v>
      </c>
      <c r="BD43" s="18" t="str">
        <f t="shared" si="33"/>
        <v>-</v>
      </c>
      <c r="BE43" s="18" t="str">
        <f t="shared" si="34"/>
        <v>-</v>
      </c>
      <c r="BG43" s="54" t="str">
        <f t="shared" si="35"/>
        <v>-</v>
      </c>
      <c r="BH43" s="54" t="str">
        <f t="shared" si="36"/>
        <v>-</v>
      </c>
      <c r="BI43" s="54" t="str">
        <f t="shared" si="37"/>
        <v>-</v>
      </c>
      <c r="BJ43" s="54" t="str">
        <f t="shared" si="38"/>
        <v>-</v>
      </c>
      <c r="BK43" s="58"/>
    </row>
    <row r="44" spans="1:63" x14ac:dyDescent="0.25">
      <c r="A44" t="s">
        <v>155</v>
      </c>
      <c r="B44" s="62">
        <f>SUMIFS(Areas!J:J,Areas!$A:$A,Rios!$A44)</f>
        <v>26</v>
      </c>
      <c r="C44" s="62">
        <f>SUMIFS(Areas!K:K,Areas!$A:$A,Rios!$A44)</f>
        <v>1</v>
      </c>
      <c r="D44" s="62">
        <f>SUMIFS(Areas!L:L,Areas!$A:$A,Rios!$A44)</f>
        <v>0</v>
      </c>
      <c r="E44" s="62">
        <f>SUMIFS(Areas!M:M,Areas!$A:$A,Rios!$A44)</f>
        <v>0</v>
      </c>
      <c r="F44" s="40" t="str">
        <f>IF($A44&lt;&gt;"",VLOOKUP(Rios!$A44,Areas!$A:$I,F$2,FALSE),"-")</f>
        <v>3184-PLC-003</v>
      </c>
      <c r="G44" t="str">
        <f>IF($A44&lt;&gt;"",VLOOKUP(Rios!$A44,Areas!$A:$I,G$2,FALSE),"-")</f>
        <v>Depressant</v>
      </c>
      <c r="H44" s="40" t="str">
        <f>IF($A44&lt;&gt;"",VLOOKUP(Rios!$A44,Areas!$A:$I,H$2,FALSE),"-")</f>
        <v>Depressant</v>
      </c>
      <c r="J44" s="48">
        <v>1</v>
      </c>
      <c r="L44" s="54">
        <f t="shared" si="21"/>
        <v>26</v>
      </c>
      <c r="M44" s="54">
        <f t="shared" si="22"/>
        <v>1</v>
      </c>
      <c r="N44" s="54">
        <f t="shared" si="23"/>
        <v>0</v>
      </c>
      <c r="O44" s="54">
        <f t="shared" si="24"/>
        <v>0</v>
      </c>
      <c r="Q44" s="54">
        <f>IF($J44&gt;0,ROUNDUP((L44*Constraints!$D$3/$J44/100)+L44,0),"-")</f>
        <v>30</v>
      </c>
      <c r="R44" s="54">
        <f>IF($J44&gt;0,ROUNDUP((M44*Constraints!$D$3/$J44/100)+M44,0),"-")</f>
        <v>2</v>
      </c>
      <c r="S44" s="54">
        <f>IF($J44&gt;0,ROUNDUP((N44*Constraints!$D$3/$J44/100)+N44,0),"-")</f>
        <v>0</v>
      </c>
      <c r="T44" s="54">
        <f>IF($J44&gt;0,ROUNDUP((O44*Constraints!$D$3/$J44/100)+O44,0),"-")</f>
        <v>0</v>
      </c>
      <c r="V44" s="54">
        <f>IF($J44&gt;0,ROUNDUP((Q44*Constraints!$D$4/$J44/100)+Q44,0),"-")</f>
        <v>36</v>
      </c>
      <c r="W44" s="54">
        <f>IF($J44&gt;0,ROUNDUP((R44*Constraints!$D$4/$J44/100)+R44,0),"-")</f>
        <v>3</v>
      </c>
      <c r="X44" s="54">
        <f>IF($J44&gt;0,ROUNDUP((S44*Constraints!$D$4/$J44/100)+S44,0),"-")</f>
        <v>0</v>
      </c>
      <c r="Y44" s="54">
        <f>IF($J44&gt;0,ROUNDUP((T44*Constraints!$D$4/$J44/100)+T44,0),"-")</f>
        <v>0</v>
      </c>
      <c r="AA44" s="25">
        <f t="shared" si="20"/>
        <v>39</v>
      </c>
      <c r="AB44" s="110" t="str">
        <f>IF(AA44&gt;Constraints!$D$5,Rios!AA44-Constraints!$D$5,"-")</f>
        <v>-</v>
      </c>
      <c r="AD44" s="30">
        <f t="shared" si="25"/>
        <v>5</v>
      </c>
      <c r="AE44" s="30">
        <f t="shared" si="26"/>
        <v>1</v>
      </c>
      <c r="AF44" s="30">
        <f t="shared" si="27"/>
        <v>0</v>
      </c>
      <c r="AG44" s="30">
        <f t="shared" si="28"/>
        <v>0</v>
      </c>
      <c r="AI44" s="25">
        <f t="shared" si="18"/>
        <v>6</v>
      </c>
      <c r="AJ44" s="110" t="str">
        <f>IF(AI44&gt;Constraints!$D$6,Rios!AI44-Constraints!$D$6,"-")</f>
        <v>-</v>
      </c>
      <c r="AL44" s="25">
        <f>IF(AM44&lt;&gt;"",VLOOKUP(AM44,Constraints!I:J,2,FALSE),"")</f>
        <v>4</v>
      </c>
      <c r="AM44" s="105" t="s">
        <v>334</v>
      </c>
      <c r="AN44" s="30">
        <f>IF($AL44&lt;&gt;"",VLOOKUP($AL44,Constraints!$H:$V,4,FALSE),"-")</f>
        <v>6</v>
      </c>
      <c r="AO44" s="30">
        <f>IF($AL44&lt;&gt;"",VLOOKUP($AL44,Constraints!$H:$V,7,FALSE),"-")</f>
        <v>4</v>
      </c>
      <c r="AP44" s="30">
        <f>IF($AL44&lt;&gt;"",VLOOKUP($AL44,Constraints!$H:$V,10,FALSE),"-")</f>
        <v>1</v>
      </c>
      <c r="AQ44" s="30">
        <f>IF($AL44&lt;&gt;"",VLOOKUP($AL44,Constraints!$H:$V,13,FALSE),"-")</f>
        <v>1</v>
      </c>
      <c r="AS44" s="54">
        <f>IF($AL44&lt;&gt;"",VLOOKUP($AL44,Constraints!$H:$AG,23,FALSE),"-")</f>
        <v>48</v>
      </c>
      <c r="AT44" s="54">
        <f>IF($AL44&lt;&gt;"",VLOOKUP($AL44,Constraints!$H:$AG,24,FALSE),"-")</f>
        <v>16</v>
      </c>
      <c r="AU44" s="54">
        <f>IF($AL44&lt;&gt;"",VLOOKUP($AL44,Constraints!$H:$AG,25,FALSE),"-")</f>
        <v>16</v>
      </c>
      <c r="AV44" s="54">
        <f>IF($AL44&lt;&gt;"",VLOOKUP($AL44,Constraints!$H:$AG,26,FALSE),"-")</f>
        <v>16</v>
      </c>
      <c r="AX44" s="30" t="str">
        <f t="shared" si="29"/>
        <v>-</v>
      </c>
      <c r="AY44" s="30" t="str">
        <f t="shared" si="30"/>
        <v>-</v>
      </c>
      <c r="AZ44" s="30" t="str">
        <f t="shared" si="31"/>
        <v>-</v>
      </c>
      <c r="BA44" s="30" t="str">
        <f t="shared" si="32"/>
        <v>-</v>
      </c>
      <c r="BC44" s="18" t="str">
        <f t="shared" si="19"/>
        <v>-</v>
      </c>
      <c r="BD44" s="18" t="str">
        <f t="shared" si="33"/>
        <v>-</v>
      </c>
      <c r="BE44" s="18" t="str">
        <f t="shared" si="34"/>
        <v>-</v>
      </c>
      <c r="BG44" s="54" t="str">
        <f t="shared" si="35"/>
        <v>-</v>
      </c>
      <c r="BH44" s="54" t="str">
        <f t="shared" si="36"/>
        <v>-</v>
      </c>
      <c r="BI44" s="54" t="str">
        <f t="shared" si="37"/>
        <v>-</v>
      </c>
      <c r="BJ44" s="54" t="str">
        <f t="shared" si="38"/>
        <v>-</v>
      </c>
      <c r="BK44" s="58"/>
    </row>
    <row r="45" spans="1:63" x14ac:dyDescent="0.25">
      <c r="A45" t="s">
        <v>154</v>
      </c>
      <c r="B45" s="62">
        <f>SUMIFS(Areas!J:J,Areas!$A:$A,Rios!$A45)</f>
        <v>9</v>
      </c>
      <c r="C45" s="62">
        <f>SUMIFS(Areas!K:K,Areas!$A:$A,Rios!$A45)</f>
        <v>0</v>
      </c>
      <c r="D45" s="62">
        <f>SUMIFS(Areas!L:L,Areas!$A:$A,Rios!$A45)</f>
        <v>2</v>
      </c>
      <c r="E45" s="62">
        <f>SUMIFS(Areas!M:M,Areas!$A:$A,Rios!$A45)</f>
        <v>0</v>
      </c>
      <c r="F45" s="40" t="str">
        <f>IF($A45&lt;&gt;"",VLOOKUP(Rios!$A45,Areas!$A:$I,F$2,FALSE),"-")</f>
        <v>3184-PLC-003</v>
      </c>
      <c r="G45" t="str">
        <f>IF($A45&lt;&gt;"",VLOOKUP(Rios!$A45,Areas!$A:$I,G$2,FALSE),"-")</f>
        <v>Frother Dosing</v>
      </c>
      <c r="H45" s="40" t="str">
        <f>IF($A45&lt;&gt;"",VLOOKUP(Rios!$A45,Areas!$A:$I,H$2,FALSE),"-")</f>
        <v>Frother Dosing</v>
      </c>
      <c r="J45" s="48">
        <v>1</v>
      </c>
      <c r="L45" s="54">
        <f t="shared" si="21"/>
        <v>9</v>
      </c>
      <c r="M45" s="54">
        <f t="shared" si="22"/>
        <v>0</v>
      </c>
      <c r="N45" s="54">
        <f t="shared" si="23"/>
        <v>2</v>
      </c>
      <c r="O45" s="54">
        <f t="shared" si="24"/>
        <v>0</v>
      </c>
      <c r="Q45" s="54">
        <f>IF($J45&gt;0,ROUNDUP((L45*Constraints!$D$3/$J45/100)+L45,0),"-")</f>
        <v>11</v>
      </c>
      <c r="R45" s="54">
        <f>IF($J45&gt;0,ROUNDUP((M45*Constraints!$D$3/$J45/100)+M45,0),"-")</f>
        <v>0</v>
      </c>
      <c r="S45" s="54">
        <f>IF($J45&gt;0,ROUNDUP((N45*Constraints!$D$3/$J45/100)+N45,0),"-")</f>
        <v>3</v>
      </c>
      <c r="T45" s="54">
        <f>IF($J45&gt;0,ROUNDUP((O45*Constraints!$D$3/$J45/100)+O45,0),"-")</f>
        <v>0</v>
      </c>
      <c r="V45" s="54">
        <f>IF($J45&gt;0,ROUNDUP((Q45*Constraints!$D$4/$J45/100)+Q45,0),"-")</f>
        <v>14</v>
      </c>
      <c r="W45" s="54">
        <f>IF($J45&gt;0,ROUNDUP((R45*Constraints!$D$4/$J45/100)+R45,0),"-")</f>
        <v>0</v>
      </c>
      <c r="X45" s="54">
        <f>IF($J45&gt;0,ROUNDUP((S45*Constraints!$D$4/$J45/100)+S45,0),"-")</f>
        <v>4</v>
      </c>
      <c r="Y45" s="54">
        <f>IF($J45&gt;0,ROUNDUP((T45*Constraints!$D$4/$J45/100)+T45,0),"-")</f>
        <v>0</v>
      </c>
      <c r="AA45" s="25">
        <f t="shared" si="20"/>
        <v>18</v>
      </c>
      <c r="AB45" s="110" t="str">
        <f>IF(AA45&gt;Constraints!$D$5,Rios!AA45-Constraints!$D$5,"-")</f>
        <v>-</v>
      </c>
      <c r="AD45" s="30">
        <f t="shared" si="25"/>
        <v>2</v>
      </c>
      <c r="AE45" s="30">
        <f t="shared" si="26"/>
        <v>0</v>
      </c>
      <c r="AF45" s="30">
        <f t="shared" si="27"/>
        <v>1</v>
      </c>
      <c r="AG45" s="30">
        <f t="shared" si="28"/>
        <v>0</v>
      </c>
      <c r="AI45" s="25">
        <f t="shared" si="18"/>
        <v>3</v>
      </c>
      <c r="AJ45" s="110" t="str">
        <f>IF(AI45&gt;Constraints!$D$6,Rios!AI45-Constraints!$D$6,"-")</f>
        <v>-</v>
      </c>
      <c r="AL45" s="25">
        <f>IF(AM45&lt;&gt;"",VLOOKUP(AM45,Constraints!I:J,2,FALSE),"")</f>
        <v>2</v>
      </c>
      <c r="AM45" s="105" t="s">
        <v>421</v>
      </c>
      <c r="AN45" s="30">
        <f>IF($AL45&lt;&gt;"",VLOOKUP($AL45,Constraints!$H:$V,4,FALSE),"-")</f>
        <v>2</v>
      </c>
      <c r="AO45" s="30">
        <f>IF($AL45&lt;&gt;"",VLOOKUP($AL45,Constraints!$H:$V,7,FALSE),"-")</f>
        <v>1</v>
      </c>
      <c r="AP45" s="30">
        <f>IF($AL45&lt;&gt;"",VLOOKUP($AL45,Constraints!$H:$V,10,FALSE),"-")</f>
        <v>2</v>
      </c>
      <c r="AQ45" s="30">
        <f>IF($AL45&lt;&gt;"",VLOOKUP($AL45,Constraints!$H:$V,13,FALSE),"-")</f>
        <v>1</v>
      </c>
      <c r="AS45" s="54">
        <f>IF($AL45&lt;&gt;"",VLOOKUP($AL45,Constraints!$H:$AG,23,FALSE),"-")</f>
        <v>16</v>
      </c>
      <c r="AT45" s="54">
        <f>IF($AL45&lt;&gt;"",VLOOKUP($AL45,Constraints!$H:$AG,24,FALSE),"-")</f>
        <v>4</v>
      </c>
      <c r="AU45" s="54">
        <f>IF($AL45&lt;&gt;"",VLOOKUP($AL45,Constraints!$H:$AG,25,FALSE),"-")</f>
        <v>32</v>
      </c>
      <c r="AV45" s="54">
        <f>IF($AL45&lt;&gt;"",VLOOKUP($AL45,Constraints!$H:$AG,26,FALSE),"-")</f>
        <v>16</v>
      </c>
      <c r="AX45" s="30" t="str">
        <f t="shared" si="29"/>
        <v>-</v>
      </c>
      <c r="AY45" s="30" t="str">
        <f t="shared" si="30"/>
        <v>-</v>
      </c>
      <c r="AZ45" s="30" t="str">
        <f t="shared" si="31"/>
        <v>-</v>
      </c>
      <c r="BA45" s="30" t="str">
        <f t="shared" si="32"/>
        <v>-</v>
      </c>
      <c r="BC45" s="18" t="str">
        <f t="shared" si="19"/>
        <v>-</v>
      </c>
      <c r="BD45" s="18" t="str">
        <f t="shared" si="33"/>
        <v>-</v>
      </c>
      <c r="BE45" s="18" t="str">
        <f t="shared" si="34"/>
        <v>-</v>
      </c>
      <c r="BG45" s="54" t="str">
        <f t="shared" si="35"/>
        <v>-</v>
      </c>
      <c r="BH45" s="54" t="str">
        <f t="shared" si="36"/>
        <v>-</v>
      </c>
      <c r="BI45" s="54" t="str">
        <f t="shared" si="37"/>
        <v>-</v>
      </c>
      <c r="BJ45" s="54" t="str">
        <f t="shared" si="38"/>
        <v>-</v>
      </c>
      <c r="BK45" s="58"/>
    </row>
    <row r="46" spans="1:63" x14ac:dyDescent="0.25">
      <c r="A46" t="s">
        <v>166</v>
      </c>
      <c r="B46" s="62">
        <f>SUMIFS(Areas!J:J,Areas!$A:$A,Rios!$A46)</f>
        <v>29</v>
      </c>
      <c r="C46" s="62">
        <f>SUMIFS(Areas!K:K,Areas!$A:$A,Rios!$A46)</f>
        <v>8</v>
      </c>
      <c r="D46" s="62">
        <f>SUMIFS(Areas!L:L,Areas!$A:$A,Rios!$A46)</f>
        <v>7</v>
      </c>
      <c r="E46" s="62">
        <f>SUMIFS(Areas!M:M,Areas!$A:$A,Rios!$A46)</f>
        <v>3</v>
      </c>
      <c r="F46" s="40" t="str">
        <f>IF($A46&lt;&gt;"",VLOOKUP(Rios!$A46,Areas!$A:$I,F$2,FALSE),"-")</f>
        <v>3184-PLC-004</v>
      </c>
      <c r="G46" t="str">
        <f>IF($A46&lt;&gt;"",VLOOKUP(Rios!$A46,Areas!$A:$I,G$2,FALSE),"-")</f>
        <v>Flocculant</v>
      </c>
      <c r="H46" s="40" t="str">
        <f>IF($A46&lt;&gt;"",VLOOKUP(Rios!$A46,Areas!$A:$I,H$2,FALSE),"-")</f>
        <v>Flocculant</v>
      </c>
      <c r="J46" s="48">
        <v>1</v>
      </c>
      <c r="L46" s="54">
        <f t="shared" si="21"/>
        <v>29</v>
      </c>
      <c r="M46" s="54">
        <f t="shared" si="22"/>
        <v>8</v>
      </c>
      <c r="N46" s="54">
        <f t="shared" si="23"/>
        <v>7</v>
      </c>
      <c r="O46" s="54">
        <f t="shared" si="24"/>
        <v>3</v>
      </c>
      <c r="Q46" s="54">
        <f>IF($J46&gt;0,ROUNDUP((L46*Constraints!$D$3/$J46/100)+L46,0),"-")</f>
        <v>34</v>
      </c>
      <c r="R46" s="54">
        <f>IF($J46&gt;0,ROUNDUP((M46*Constraints!$D$3/$J46/100)+M46,0),"-")</f>
        <v>10</v>
      </c>
      <c r="S46" s="54">
        <f>IF($J46&gt;0,ROUNDUP((N46*Constraints!$D$3/$J46/100)+N46,0),"-")</f>
        <v>9</v>
      </c>
      <c r="T46" s="54">
        <f>IF($J46&gt;0,ROUNDUP((O46*Constraints!$D$3/$J46/100)+O46,0),"-")</f>
        <v>4</v>
      </c>
      <c r="V46" s="54">
        <f>IF($J46&gt;0,ROUNDUP((Q46*Constraints!$D$4/$J46/100)+Q46,0),"-")</f>
        <v>41</v>
      </c>
      <c r="W46" s="54">
        <f>IF($J46&gt;0,ROUNDUP((R46*Constraints!$D$4/$J46/100)+R46,0),"-")</f>
        <v>12</v>
      </c>
      <c r="X46" s="54">
        <f>IF($J46&gt;0,ROUNDUP((S46*Constraints!$D$4/$J46/100)+S46,0),"-")</f>
        <v>11</v>
      </c>
      <c r="Y46" s="54">
        <f>IF($J46&gt;0,ROUNDUP((T46*Constraints!$D$4/$J46/100)+T46,0),"-")</f>
        <v>5</v>
      </c>
      <c r="AA46" s="25">
        <f t="shared" si="20"/>
        <v>69</v>
      </c>
      <c r="AB46" s="110" t="str">
        <f>IF(AA46&gt;Constraints!$D$5,Rios!AA46-Constraints!$D$5,"-")</f>
        <v>-</v>
      </c>
      <c r="AD46" s="30">
        <f t="shared" si="25"/>
        <v>6</v>
      </c>
      <c r="AE46" s="30">
        <f t="shared" si="26"/>
        <v>3</v>
      </c>
      <c r="AF46" s="30">
        <f t="shared" si="27"/>
        <v>1</v>
      </c>
      <c r="AG46" s="30">
        <f t="shared" si="28"/>
        <v>1</v>
      </c>
      <c r="AI46" s="25">
        <f t="shared" si="18"/>
        <v>11</v>
      </c>
      <c r="AJ46" s="110" t="str">
        <f>IF(AI46&gt;Constraints!$D$6,Rios!AI46-Constraints!$D$6,"-")</f>
        <v>-</v>
      </c>
      <c r="AL46" s="25">
        <f>IF(AM46&lt;&gt;"",VLOOKUP(AM46,Constraints!I:J,2,FALSE),"")</f>
        <v>4</v>
      </c>
      <c r="AM46" s="105" t="s">
        <v>334</v>
      </c>
      <c r="AN46" s="30">
        <f>IF($AL46&lt;&gt;"",VLOOKUP($AL46,Constraints!$H:$V,4,FALSE),"-")</f>
        <v>6</v>
      </c>
      <c r="AO46" s="30">
        <f>IF($AL46&lt;&gt;"",VLOOKUP($AL46,Constraints!$H:$V,7,FALSE),"-")</f>
        <v>4</v>
      </c>
      <c r="AP46" s="30">
        <f>IF($AL46&lt;&gt;"",VLOOKUP($AL46,Constraints!$H:$V,10,FALSE),"-")</f>
        <v>1</v>
      </c>
      <c r="AQ46" s="30">
        <f>IF($AL46&lt;&gt;"",VLOOKUP($AL46,Constraints!$H:$V,13,FALSE),"-")</f>
        <v>1</v>
      </c>
      <c r="AS46" s="54">
        <f>IF($AL46&lt;&gt;"",VLOOKUP($AL46,Constraints!$H:$AG,23,FALSE),"-")</f>
        <v>48</v>
      </c>
      <c r="AT46" s="54">
        <f>IF($AL46&lt;&gt;"",VLOOKUP($AL46,Constraints!$H:$AG,24,FALSE),"-")</f>
        <v>16</v>
      </c>
      <c r="AU46" s="54">
        <f>IF($AL46&lt;&gt;"",VLOOKUP($AL46,Constraints!$H:$AG,25,FALSE),"-")</f>
        <v>16</v>
      </c>
      <c r="AV46" s="54">
        <f>IF($AL46&lt;&gt;"",VLOOKUP($AL46,Constraints!$H:$AG,26,FALSE),"-")</f>
        <v>16</v>
      </c>
      <c r="AX46" s="30" t="str">
        <f t="shared" si="29"/>
        <v>-</v>
      </c>
      <c r="AY46" s="30" t="str">
        <f t="shared" si="30"/>
        <v>-</v>
      </c>
      <c r="AZ46" s="30" t="str">
        <f t="shared" si="31"/>
        <v>-</v>
      </c>
      <c r="BA46" s="30" t="str">
        <f t="shared" si="32"/>
        <v>-</v>
      </c>
      <c r="BC46" s="18" t="str">
        <f t="shared" si="19"/>
        <v>-</v>
      </c>
      <c r="BD46" s="18" t="str">
        <f t="shared" si="33"/>
        <v>-</v>
      </c>
      <c r="BE46" s="18" t="str">
        <f t="shared" si="34"/>
        <v>-</v>
      </c>
      <c r="BG46" s="54" t="str">
        <f t="shared" si="35"/>
        <v>-</v>
      </c>
      <c r="BH46" s="54" t="str">
        <f t="shared" si="36"/>
        <v>-</v>
      </c>
      <c r="BI46" s="54" t="str">
        <f t="shared" si="37"/>
        <v>-</v>
      </c>
      <c r="BJ46" s="54" t="str">
        <f t="shared" si="38"/>
        <v>-</v>
      </c>
      <c r="BK46" s="58"/>
    </row>
    <row r="47" spans="1:63" x14ac:dyDescent="0.25">
      <c r="A47" t="s">
        <v>167</v>
      </c>
      <c r="B47" s="62">
        <f>SUMIFS(Areas!J:J,Areas!$A:$A,Rios!$A47)</f>
        <v>8</v>
      </c>
      <c r="C47" s="62">
        <f>SUMIFS(Areas!K:K,Areas!$A:$A,Rios!$A47)</f>
        <v>3</v>
      </c>
      <c r="D47" s="62">
        <f>SUMIFS(Areas!L:L,Areas!$A:$A,Rios!$A47)</f>
        <v>8</v>
      </c>
      <c r="E47" s="62">
        <f>SUMIFS(Areas!M:M,Areas!$A:$A,Rios!$A47)</f>
        <v>4</v>
      </c>
      <c r="F47" s="40" t="str">
        <f>IF($A47&lt;&gt;"",VLOOKUP(Rios!$A47,Areas!$A:$I,F$2,FALSE),"-")</f>
        <v>3184-PLC-004</v>
      </c>
      <c r="G47" t="str">
        <f>IF($A47&lt;&gt;"",VLOOKUP(Rios!$A47,Areas!$A:$I,G$2,FALSE),"-")</f>
        <v>CuSO4</v>
      </c>
      <c r="H47" s="40" t="str">
        <f>IF($A47&lt;&gt;"",VLOOKUP(Rios!$A47,Areas!$A:$I,H$2,FALSE),"-")</f>
        <v>CuSO4</v>
      </c>
      <c r="J47" s="48">
        <v>1</v>
      </c>
      <c r="L47" s="54">
        <f t="shared" si="21"/>
        <v>8</v>
      </c>
      <c r="M47" s="54">
        <f t="shared" si="22"/>
        <v>3</v>
      </c>
      <c r="N47" s="54">
        <f t="shared" si="23"/>
        <v>8</v>
      </c>
      <c r="O47" s="54">
        <f t="shared" si="24"/>
        <v>4</v>
      </c>
      <c r="Q47" s="54">
        <f>IF($J47&gt;0,ROUNDUP((L47*Constraints!$D$3/$J47/100)+L47,0),"-")</f>
        <v>10</v>
      </c>
      <c r="R47" s="54">
        <f>IF($J47&gt;0,ROUNDUP((M47*Constraints!$D$3/$J47/100)+M47,0),"-")</f>
        <v>4</v>
      </c>
      <c r="S47" s="54">
        <f>IF($J47&gt;0,ROUNDUP((N47*Constraints!$D$3/$J47/100)+N47,0),"-")</f>
        <v>10</v>
      </c>
      <c r="T47" s="54">
        <f>IF($J47&gt;0,ROUNDUP((O47*Constraints!$D$3/$J47/100)+O47,0),"-")</f>
        <v>5</v>
      </c>
      <c r="V47" s="54">
        <f>IF($J47&gt;0,ROUNDUP((Q47*Constraints!$D$4/$J47/100)+Q47,0),"-")</f>
        <v>12</v>
      </c>
      <c r="W47" s="54">
        <f>IF($J47&gt;0,ROUNDUP((R47*Constraints!$D$4/$J47/100)+R47,0),"-")</f>
        <v>5</v>
      </c>
      <c r="X47" s="54">
        <f>IF($J47&gt;0,ROUNDUP((S47*Constraints!$D$4/$J47/100)+S47,0),"-")</f>
        <v>12</v>
      </c>
      <c r="Y47" s="54">
        <f>IF($J47&gt;0,ROUNDUP((T47*Constraints!$D$4/$J47/100)+T47,0),"-")</f>
        <v>6</v>
      </c>
      <c r="AA47" s="25">
        <f t="shared" si="20"/>
        <v>35</v>
      </c>
      <c r="AB47" s="110" t="str">
        <f>IF(AA47&gt;Constraints!$D$5,Rios!AA47-Constraints!$D$5,"-")</f>
        <v>-</v>
      </c>
      <c r="AD47" s="30">
        <f t="shared" si="25"/>
        <v>2</v>
      </c>
      <c r="AE47" s="30">
        <f t="shared" si="26"/>
        <v>2</v>
      </c>
      <c r="AF47" s="30">
        <f t="shared" si="27"/>
        <v>1</v>
      </c>
      <c r="AG47" s="30">
        <f t="shared" si="28"/>
        <v>1</v>
      </c>
      <c r="AI47" s="25">
        <f t="shared" si="18"/>
        <v>6</v>
      </c>
      <c r="AJ47" s="110" t="str">
        <f>IF(AI47&gt;Constraints!$D$6,Rios!AI47-Constraints!$D$6,"-")</f>
        <v>-</v>
      </c>
      <c r="AL47" s="25">
        <f>IF(AM47&lt;&gt;"",VLOOKUP(AM47,Constraints!I:J,2,FALSE),"")</f>
        <v>2</v>
      </c>
      <c r="AM47" s="105" t="s">
        <v>421</v>
      </c>
      <c r="AN47" s="30">
        <f>IF($AL47&lt;&gt;"",VLOOKUP($AL47,Constraints!$H:$V,4,FALSE),"-")</f>
        <v>2</v>
      </c>
      <c r="AO47" s="30">
        <f>IF($AL47&lt;&gt;"",VLOOKUP($AL47,Constraints!$H:$V,7,FALSE),"-")</f>
        <v>1</v>
      </c>
      <c r="AP47" s="30">
        <f>IF($AL47&lt;&gt;"",VLOOKUP($AL47,Constraints!$H:$V,10,FALSE),"-")</f>
        <v>2</v>
      </c>
      <c r="AQ47" s="30">
        <f>IF($AL47&lt;&gt;"",VLOOKUP($AL47,Constraints!$H:$V,13,FALSE),"-")</f>
        <v>1</v>
      </c>
      <c r="AS47" s="54">
        <f>IF($AL47&lt;&gt;"",VLOOKUP($AL47,Constraints!$H:$AG,23,FALSE),"-")</f>
        <v>16</v>
      </c>
      <c r="AT47" s="54">
        <f>IF($AL47&lt;&gt;"",VLOOKUP($AL47,Constraints!$H:$AG,24,FALSE),"-")</f>
        <v>4</v>
      </c>
      <c r="AU47" s="54">
        <f>IF($AL47&lt;&gt;"",VLOOKUP($AL47,Constraints!$H:$AG,25,FALSE),"-")</f>
        <v>32</v>
      </c>
      <c r="AV47" s="54">
        <f>IF($AL47&lt;&gt;"",VLOOKUP($AL47,Constraints!$H:$AG,26,FALSE),"-")</f>
        <v>16</v>
      </c>
      <c r="AX47" s="30" t="str">
        <f t="shared" si="29"/>
        <v>-</v>
      </c>
      <c r="AY47" s="30">
        <f t="shared" si="30"/>
        <v>-1</v>
      </c>
      <c r="AZ47" s="30" t="str">
        <f t="shared" si="31"/>
        <v>-</v>
      </c>
      <c r="BA47" s="30" t="str">
        <f t="shared" si="32"/>
        <v>-</v>
      </c>
      <c r="BC47" s="18" t="str">
        <f t="shared" si="19"/>
        <v>X</v>
      </c>
      <c r="BD47" s="18" t="str">
        <f t="shared" si="33"/>
        <v>-</v>
      </c>
      <c r="BE47" s="18" t="str">
        <f t="shared" si="34"/>
        <v>-</v>
      </c>
      <c r="BG47" s="54" t="str">
        <f t="shared" si="35"/>
        <v>-</v>
      </c>
      <c r="BH47" s="54">
        <f t="shared" si="36"/>
        <v>1</v>
      </c>
      <c r="BI47" s="54" t="str">
        <f t="shared" si="37"/>
        <v>-</v>
      </c>
      <c r="BJ47" s="54" t="str">
        <f t="shared" si="38"/>
        <v>-</v>
      </c>
      <c r="BK47" s="58"/>
    </row>
    <row r="48" spans="1:63" x14ac:dyDescent="0.25">
      <c r="A48" t="s">
        <v>153</v>
      </c>
      <c r="B48" s="62">
        <f>SUMIFS(Areas!J:J,Areas!$A:$A,Rios!$A48)</f>
        <v>17</v>
      </c>
      <c r="C48" s="62">
        <f>SUMIFS(Areas!K:K,Areas!$A:$A,Rios!$A48)</f>
        <v>0</v>
      </c>
      <c r="D48" s="62">
        <f>SUMIFS(Areas!L:L,Areas!$A:$A,Rios!$A48)</f>
        <v>41</v>
      </c>
      <c r="E48" s="62">
        <f>SUMIFS(Areas!M:M,Areas!$A:$A,Rios!$A48)</f>
        <v>18</v>
      </c>
      <c r="F48" s="40" t="str">
        <f>IF($A48&lt;&gt;"",VLOOKUP(Rios!$A48,Areas!$A:$I,F$2,FALSE),"-")</f>
        <v>3184-PLC-003</v>
      </c>
      <c r="G48" t="str">
        <f>IF($A48&lt;&gt;"",VLOOKUP(Rios!$A48,Areas!$A:$I,G$2,FALSE),"-")</f>
        <v>Promotor</v>
      </c>
      <c r="H48" s="40" t="str">
        <f>IF($A48&lt;&gt;"",VLOOKUP(Rios!$A48,Areas!$A:$I,H$2,FALSE),"-")</f>
        <v>Promotor</v>
      </c>
      <c r="J48" s="48">
        <v>2</v>
      </c>
      <c r="L48" s="54">
        <f t="shared" si="21"/>
        <v>9</v>
      </c>
      <c r="M48" s="54">
        <f t="shared" si="22"/>
        <v>0</v>
      </c>
      <c r="N48" s="54">
        <f t="shared" si="23"/>
        <v>21</v>
      </c>
      <c r="O48" s="54">
        <f t="shared" si="24"/>
        <v>9</v>
      </c>
      <c r="Q48" s="54">
        <f>IF($J48&gt;0,ROUNDUP((L48*Constraints!$D$3/$J48/100)+L48,0),"-")</f>
        <v>10</v>
      </c>
      <c r="R48" s="54">
        <f>IF($J48&gt;0,ROUNDUP((M48*Constraints!$D$3/$J48/100)+M48,0),"-")</f>
        <v>0</v>
      </c>
      <c r="S48" s="54">
        <f>IF($J48&gt;0,ROUNDUP((N48*Constraints!$D$3/$J48/100)+N48,0),"-")</f>
        <v>23</v>
      </c>
      <c r="T48" s="54">
        <f>IF($J48&gt;0,ROUNDUP((O48*Constraints!$D$3/$J48/100)+O48,0),"-")</f>
        <v>10</v>
      </c>
      <c r="V48" s="54">
        <f>IF($J48&gt;0,ROUNDUP((Q48*Constraints!$D$4/$J48/100)+Q48,0),"-")</f>
        <v>11</v>
      </c>
      <c r="W48" s="54">
        <f>IF($J48&gt;0,ROUNDUP((R48*Constraints!$D$4/$J48/100)+R48,0),"-")</f>
        <v>0</v>
      </c>
      <c r="X48" s="54">
        <f>IF($J48&gt;0,ROUNDUP((S48*Constraints!$D$4/$J48/100)+S48,0),"-")</f>
        <v>26</v>
      </c>
      <c r="Y48" s="54">
        <f>IF($J48&gt;0,ROUNDUP((T48*Constraints!$D$4/$J48/100)+T48,0),"-")</f>
        <v>11</v>
      </c>
      <c r="AA48" s="25">
        <f t="shared" si="20"/>
        <v>48</v>
      </c>
      <c r="AB48" s="110" t="str">
        <f>IF(AA48&gt;Constraints!$D$5,Rios!AA48-Constraints!$D$5,"-")</f>
        <v>-</v>
      </c>
      <c r="AD48" s="30">
        <f t="shared" si="25"/>
        <v>2</v>
      </c>
      <c r="AE48" s="30">
        <f t="shared" si="26"/>
        <v>0</v>
      </c>
      <c r="AF48" s="30">
        <f t="shared" si="27"/>
        <v>2</v>
      </c>
      <c r="AG48" s="30">
        <f t="shared" si="28"/>
        <v>1</v>
      </c>
      <c r="AI48" s="25">
        <f t="shared" si="18"/>
        <v>5</v>
      </c>
      <c r="AJ48" s="110" t="str">
        <f>IF(AI48&gt;Constraints!$D$6,Rios!AI48-Constraints!$D$6,"-")</f>
        <v>-</v>
      </c>
      <c r="AL48" s="25">
        <f>IF(AM48&lt;&gt;"",VLOOKUP(AM48,Constraints!I:J,2,FALSE),"")</f>
        <v>2</v>
      </c>
      <c r="AM48" s="105" t="s">
        <v>421</v>
      </c>
      <c r="AN48" s="30">
        <f>IF($AL48&lt;&gt;"",VLOOKUP($AL48,Constraints!$H:$V,4,FALSE),"-")</f>
        <v>2</v>
      </c>
      <c r="AO48" s="30">
        <f>IF($AL48&lt;&gt;"",VLOOKUP($AL48,Constraints!$H:$V,7,FALSE),"-")</f>
        <v>1</v>
      </c>
      <c r="AP48" s="30">
        <f>IF($AL48&lt;&gt;"",VLOOKUP($AL48,Constraints!$H:$V,10,FALSE),"-")</f>
        <v>2</v>
      </c>
      <c r="AQ48" s="30">
        <f>IF($AL48&lt;&gt;"",VLOOKUP($AL48,Constraints!$H:$V,13,FALSE),"-")</f>
        <v>1</v>
      </c>
      <c r="AS48" s="54">
        <f>IF($AL48&lt;&gt;"",VLOOKUP($AL48,Constraints!$H:$AG,23,FALSE),"-")</f>
        <v>16</v>
      </c>
      <c r="AT48" s="54">
        <f>IF($AL48&lt;&gt;"",VLOOKUP($AL48,Constraints!$H:$AG,24,FALSE),"-")</f>
        <v>4</v>
      </c>
      <c r="AU48" s="54">
        <f>IF($AL48&lt;&gt;"",VLOOKUP($AL48,Constraints!$H:$AG,25,FALSE),"-")</f>
        <v>32</v>
      </c>
      <c r="AV48" s="54">
        <f>IF($AL48&lt;&gt;"",VLOOKUP($AL48,Constraints!$H:$AG,26,FALSE),"-")</f>
        <v>16</v>
      </c>
      <c r="AX48" s="30" t="str">
        <f t="shared" si="29"/>
        <v>-</v>
      </c>
      <c r="AY48" s="30" t="str">
        <f t="shared" si="30"/>
        <v>-</v>
      </c>
      <c r="AZ48" s="30" t="str">
        <f t="shared" si="31"/>
        <v>-</v>
      </c>
      <c r="BA48" s="30" t="str">
        <f t="shared" si="32"/>
        <v>-</v>
      </c>
      <c r="BC48" s="18" t="str">
        <f t="shared" si="19"/>
        <v>-</v>
      </c>
      <c r="BD48" s="18" t="str">
        <f t="shared" si="33"/>
        <v>-</v>
      </c>
      <c r="BE48" s="18" t="str">
        <f t="shared" si="34"/>
        <v>-</v>
      </c>
      <c r="BG48" s="54" t="str">
        <f t="shared" si="35"/>
        <v>-</v>
      </c>
      <c r="BH48" s="54" t="str">
        <f t="shared" si="36"/>
        <v>-</v>
      </c>
      <c r="BI48" s="54" t="str">
        <f t="shared" si="37"/>
        <v>-</v>
      </c>
      <c r="BJ48" s="54" t="str">
        <f t="shared" si="38"/>
        <v>-</v>
      </c>
      <c r="BK48" s="58"/>
    </row>
    <row r="49" spans="1:63" x14ac:dyDescent="0.25">
      <c r="A49" t="s">
        <v>156</v>
      </c>
      <c r="B49" s="62">
        <f>SUMIFS(Areas!J:J,Areas!$A:$A,Rios!$A49)</f>
        <v>11</v>
      </c>
      <c r="C49" s="62">
        <f>SUMIFS(Areas!K:K,Areas!$A:$A,Rios!$A49)</f>
        <v>4</v>
      </c>
      <c r="D49" s="62">
        <f>SUMIFS(Areas!L:L,Areas!$A:$A,Rios!$A49)</f>
        <v>14</v>
      </c>
      <c r="E49" s="62">
        <f>SUMIFS(Areas!M:M,Areas!$A:$A,Rios!$A49)</f>
        <v>10</v>
      </c>
      <c r="F49" s="40" t="str">
        <f>IF($A49&lt;&gt;"",VLOOKUP(Rios!$A49,Areas!$A:$I,F$2,FALSE),"-")</f>
        <v>3184-PLC-003</v>
      </c>
      <c r="G49" t="str">
        <f>IF($A49&lt;&gt;"",VLOOKUP(Rios!$A49,Areas!$A:$I,G$2,FALSE),"-")</f>
        <v>Lime Plant</v>
      </c>
      <c r="H49" s="40" t="str">
        <f>IF($A49&lt;&gt;"",VLOOKUP(Rios!$A49,Areas!$A:$I,H$2,FALSE),"-")</f>
        <v>Lime Plant</v>
      </c>
      <c r="J49" s="48">
        <v>1</v>
      </c>
      <c r="L49" s="54">
        <f t="shared" si="21"/>
        <v>11</v>
      </c>
      <c r="M49" s="54">
        <f t="shared" si="22"/>
        <v>4</v>
      </c>
      <c r="N49" s="54">
        <f t="shared" si="23"/>
        <v>14</v>
      </c>
      <c r="O49" s="54">
        <f t="shared" si="24"/>
        <v>10</v>
      </c>
      <c r="Q49" s="54">
        <f>IF($J49&gt;0,ROUNDUP((L49*Constraints!$D$3/$J49/100)+L49,0),"-")</f>
        <v>13</v>
      </c>
      <c r="R49" s="54">
        <f>IF($J49&gt;0,ROUNDUP((M49*Constraints!$D$3/$J49/100)+M49,0),"-")</f>
        <v>5</v>
      </c>
      <c r="S49" s="54">
        <f>IF($J49&gt;0,ROUNDUP((N49*Constraints!$D$3/$J49/100)+N49,0),"-")</f>
        <v>17</v>
      </c>
      <c r="T49" s="54">
        <f>IF($J49&gt;0,ROUNDUP((O49*Constraints!$D$3/$J49/100)+O49,0),"-")</f>
        <v>12</v>
      </c>
      <c r="V49" s="54">
        <f>IF($J49&gt;0,ROUNDUP((Q49*Constraints!$D$4/$J49/100)+Q49,0),"-")</f>
        <v>16</v>
      </c>
      <c r="W49" s="54">
        <f>IF($J49&gt;0,ROUNDUP((R49*Constraints!$D$4/$J49/100)+R49,0),"-")</f>
        <v>6</v>
      </c>
      <c r="X49" s="54">
        <f>IF($J49&gt;0,ROUNDUP((S49*Constraints!$D$4/$J49/100)+S49,0),"-")</f>
        <v>21</v>
      </c>
      <c r="Y49" s="54">
        <f>IF($J49&gt;0,ROUNDUP((T49*Constraints!$D$4/$J49/100)+T49,0),"-")</f>
        <v>15</v>
      </c>
      <c r="AA49" s="25">
        <f t="shared" si="20"/>
        <v>58</v>
      </c>
      <c r="AB49" s="110" t="str">
        <f>IF(AA49&gt;Constraints!$D$5,Rios!AA49-Constraints!$D$5,"-")</f>
        <v>-</v>
      </c>
      <c r="AD49" s="30">
        <f t="shared" si="25"/>
        <v>2</v>
      </c>
      <c r="AE49" s="30">
        <f t="shared" si="26"/>
        <v>2</v>
      </c>
      <c r="AF49" s="30">
        <f t="shared" si="27"/>
        <v>2</v>
      </c>
      <c r="AG49" s="30">
        <f t="shared" si="28"/>
        <v>1</v>
      </c>
      <c r="AI49" s="25">
        <f t="shared" si="18"/>
        <v>7</v>
      </c>
      <c r="AJ49" s="110" t="str">
        <f>IF(AI49&gt;Constraints!$D$6,Rios!AI49-Constraints!$D$6,"-")</f>
        <v>-</v>
      </c>
      <c r="AL49" s="25">
        <f>IF(AM49&lt;&gt;"",VLOOKUP(AM49,Constraints!I:J,2,FALSE),"")</f>
        <v>2</v>
      </c>
      <c r="AM49" s="105" t="s">
        <v>421</v>
      </c>
      <c r="AN49" s="30">
        <f>IF($AL49&lt;&gt;"",VLOOKUP($AL49,Constraints!$H:$V,4,FALSE),"-")</f>
        <v>2</v>
      </c>
      <c r="AO49" s="30">
        <f>IF($AL49&lt;&gt;"",VLOOKUP($AL49,Constraints!$H:$V,7,FALSE),"-")</f>
        <v>1</v>
      </c>
      <c r="AP49" s="30">
        <f>IF($AL49&lt;&gt;"",VLOOKUP($AL49,Constraints!$H:$V,10,FALSE),"-")</f>
        <v>2</v>
      </c>
      <c r="AQ49" s="30">
        <f>IF($AL49&lt;&gt;"",VLOOKUP($AL49,Constraints!$H:$V,13,FALSE),"-")</f>
        <v>1</v>
      </c>
      <c r="AS49" s="54">
        <f>IF($AL49&lt;&gt;"",VLOOKUP($AL49,Constraints!$H:$AG,23,FALSE),"-")</f>
        <v>16</v>
      </c>
      <c r="AT49" s="54">
        <f>IF($AL49&lt;&gt;"",VLOOKUP($AL49,Constraints!$H:$AG,24,FALSE),"-")</f>
        <v>4</v>
      </c>
      <c r="AU49" s="54">
        <f>IF($AL49&lt;&gt;"",VLOOKUP($AL49,Constraints!$H:$AG,25,FALSE),"-")</f>
        <v>32</v>
      </c>
      <c r="AV49" s="54">
        <f>IF($AL49&lt;&gt;"",VLOOKUP($AL49,Constraints!$H:$AG,26,FALSE),"-")</f>
        <v>16</v>
      </c>
      <c r="AX49" s="30" t="str">
        <f t="shared" si="29"/>
        <v>-</v>
      </c>
      <c r="AY49" s="30">
        <f t="shared" si="30"/>
        <v>-1</v>
      </c>
      <c r="AZ49" s="30" t="str">
        <f t="shared" si="31"/>
        <v>-</v>
      </c>
      <c r="BA49" s="30" t="str">
        <f t="shared" si="32"/>
        <v>-</v>
      </c>
      <c r="BC49" s="18" t="str">
        <f t="shared" si="19"/>
        <v>X</v>
      </c>
      <c r="BD49" s="18" t="str">
        <f t="shared" si="33"/>
        <v>-</v>
      </c>
      <c r="BE49" s="18" t="str">
        <f t="shared" si="34"/>
        <v>-</v>
      </c>
      <c r="BG49" s="54" t="str">
        <f t="shared" si="35"/>
        <v>-</v>
      </c>
      <c r="BH49" s="54">
        <f t="shared" si="36"/>
        <v>2</v>
      </c>
      <c r="BI49" s="54" t="str">
        <f t="shared" si="37"/>
        <v>-</v>
      </c>
      <c r="BJ49" s="54" t="str">
        <f t="shared" si="38"/>
        <v>-</v>
      </c>
      <c r="BK49" s="58"/>
    </row>
    <row r="50" spans="1:63" x14ac:dyDescent="0.25">
      <c r="A50" t="s">
        <v>157</v>
      </c>
      <c r="B50" s="62">
        <f>SUMIFS(Areas!J:J,Areas!$A:$A,Rios!$A50)</f>
        <v>29</v>
      </c>
      <c r="C50" s="62">
        <f>SUMIFS(Areas!K:K,Areas!$A:$A,Rios!$A50)</f>
        <v>29</v>
      </c>
      <c r="D50" s="62">
        <f>SUMIFS(Areas!L:L,Areas!$A:$A,Rios!$A50)</f>
        <v>0</v>
      </c>
      <c r="E50" s="62">
        <f>SUMIFS(Areas!M:M,Areas!$A:$A,Rios!$A50)</f>
        <v>0</v>
      </c>
      <c r="F50" s="40" t="str">
        <f>IF($A50&lt;&gt;"",VLOOKUP(Rios!$A50,Areas!$A:$I,F$2,FALSE),"-")</f>
        <v>3184-PLC-003</v>
      </c>
      <c r="G50" t="str">
        <f>IF($A50&lt;&gt;"",VLOOKUP(Rios!$A50,Areas!$A:$I,G$2,FALSE),"-")</f>
        <v>Lime Plant</v>
      </c>
      <c r="H50" s="40" t="str">
        <f>IF($A50&lt;&gt;"",VLOOKUP(Rios!$A50,Areas!$A:$I,H$2,FALSE),"-")</f>
        <v>Lime Plant</v>
      </c>
      <c r="J50" s="48">
        <v>2</v>
      </c>
      <c r="L50" s="54">
        <f t="shared" si="21"/>
        <v>15</v>
      </c>
      <c r="M50" s="54">
        <f t="shared" si="22"/>
        <v>15</v>
      </c>
      <c r="N50" s="54">
        <f t="shared" si="23"/>
        <v>0</v>
      </c>
      <c r="O50" s="54">
        <f t="shared" si="24"/>
        <v>0</v>
      </c>
      <c r="Q50" s="54">
        <f>IF($J50&gt;0,ROUNDUP((L50*Constraints!$D$3/$J50/100)+L50,0),"-")</f>
        <v>17</v>
      </c>
      <c r="R50" s="54">
        <f>IF($J50&gt;0,ROUNDUP((M50*Constraints!$D$3/$J50/100)+M50,0),"-")</f>
        <v>17</v>
      </c>
      <c r="S50" s="54">
        <f>IF($J50&gt;0,ROUNDUP((N50*Constraints!$D$3/$J50/100)+N50,0),"-")</f>
        <v>0</v>
      </c>
      <c r="T50" s="54">
        <f>IF($J50&gt;0,ROUNDUP((O50*Constraints!$D$3/$J50/100)+O50,0),"-")</f>
        <v>0</v>
      </c>
      <c r="V50" s="54">
        <f>IF($J50&gt;0,ROUNDUP((Q50*Constraints!$D$4/$J50/100)+Q50,0),"-")</f>
        <v>19</v>
      </c>
      <c r="W50" s="54">
        <f>IF($J50&gt;0,ROUNDUP((R50*Constraints!$D$4/$J50/100)+R50,0),"-")</f>
        <v>19</v>
      </c>
      <c r="X50" s="54">
        <f>IF($J50&gt;0,ROUNDUP((S50*Constraints!$D$4/$J50/100)+S50,0),"-")</f>
        <v>0</v>
      </c>
      <c r="Y50" s="54">
        <f>IF($J50&gt;0,ROUNDUP((T50*Constraints!$D$4/$J50/100)+T50,0),"-")</f>
        <v>0</v>
      </c>
      <c r="AA50" s="25">
        <f t="shared" si="20"/>
        <v>38</v>
      </c>
      <c r="AB50" s="110" t="str">
        <f>IF(AA50&gt;Constraints!$D$5,Rios!AA50-Constraints!$D$5,"-")</f>
        <v>-</v>
      </c>
      <c r="AD50" s="30">
        <f t="shared" si="25"/>
        <v>3</v>
      </c>
      <c r="AE50" s="30">
        <f t="shared" si="26"/>
        <v>5</v>
      </c>
      <c r="AF50" s="30">
        <f t="shared" si="27"/>
        <v>0</v>
      </c>
      <c r="AG50" s="30">
        <f t="shared" si="28"/>
        <v>0</v>
      </c>
      <c r="AI50" s="25">
        <f t="shared" si="18"/>
        <v>8</v>
      </c>
      <c r="AJ50" s="110" t="str">
        <f>IF(AI50&gt;Constraints!$D$6,Rios!AI50-Constraints!$D$6,"-")</f>
        <v>-</v>
      </c>
      <c r="AL50" s="25">
        <f>IF(AM50&lt;&gt;"",VLOOKUP(AM50,Constraints!I:J,2,FALSE),"")</f>
        <v>4</v>
      </c>
      <c r="AM50" s="105" t="s">
        <v>334</v>
      </c>
      <c r="AN50" s="30">
        <f>IF($AL50&lt;&gt;"",VLOOKUP($AL50,Constraints!$H:$V,4,FALSE),"-")</f>
        <v>6</v>
      </c>
      <c r="AO50" s="30">
        <f>IF($AL50&lt;&gt;"",VLOOKUP($AL50,Constraints!$H:$V,7,FALSE),"-")</f>
        <v>4</v>
      </c>
      <c r="AP50" s="30">
        <f>IF($AL50&lt;&gt;"",VLOOKUP($AL50,Constraints!$H:$V,10,FALSE),"-")</f>
        <v>1</v>
      </c>
      <c r="AQ50" s="30">
        <f>IF($AL50&lt;&gt;"",VLOOKUP($AL50,Constraints!$H:$V,13,FALSE),"-")</f>
        <v>1</v>
      </c>
      <c r="AS50" s="54">
        <f>IF($AL50&lt;&gt;"",VLOOKUP($AL50,Constraints!$H:$AG,23,FALSE),"-")</f>
        <v>48</v>
      </c>
      <c r="AT50" s="54">
        <f>IF($AL50&lt;&gt;"",VLOOKUP($AL50,Constraints!$H:$AG,24,FALSE),"-")</f>
        <v>16</v>
      </c>
      <c r="AU50" s="54">
        <f>IF($AL50&lt;&gt;"",VLOOKUP($AL50,Constraints!$H:$AG,25,FALSE),"-")</f>
        <v>16</v>
      </c>
      <c r="AV50" s="54">
        <f>IF($AL50&lt;&gt;"",VLOOKUP($AL50,Constraints!$H:$AG,26,FALSE),"-")</f>
        <v>16</v>
      </c>
      <c r="AX50" s="30" t="str">
        <f t="shared" si="29"/>
        <v>-</v>
      </c>
      <c r="AY50" s="30">
        <f t="shared" si="30"/>
        <v>-1</v>
      </c>
      <c r="AZ50" s="30" t="str">
        <f t="shared" si="31"/>
        <v>-</v>
      </c>
      <c r="BA50" s="30" t="str">
        <f t="shared" si="32"/>
        <v>-</v>
      </c>
      <c r="BC50" s="18" t="str">
        <f t="shared" si="19"/>
        <v>X</v>
      </c>
      <c r="BD50" s="18" t="str">
        <f t="shared" si="33"/>
        <v>-</v>
      </c>
      <c r="BE50" s="18" t="str">
        <f t="shared" si="34"/>
        <v>-</v>
      </c>
      <c r="BG50" s="54" t="str">
        <f t="shared" si="35"/>
        <v>-</v>
      </c>
      <c r="BH50" s="54">
        <f t="shared" si="36"/>
        <v>3</v>
      </c>
      <c r="BI50" s="54" t="str">
        <f t="shared" si="37"/>
        <v>-</v>
      </c>
      <c r="BJ50" s="54" t="str">
        <f t="shared" si="38"/>
        <v>-</v>
      </c>
      <c r="BK50" s="58"/>
    </row>
    <row r="51" spans="1:63" x14ac:dyDescent="0.25">
      <c r="A51" t="s">
        <v>168</v>
      </c>
      <c r="B51" s="62">
        <f>SUMIFS(Areas!J:J,Areas!$A:$A,Rios!$A51)</f>
        <v>11</v>
      </c>
      <c r="C51" s="62">
        <f>SUMIFS(Areas!K:K,Areas!$A:$A,Rios!$A51)</f>
        <v>3</v>
      </c>
      <c r="D51" s="62">
        <f>SUMIFS(Areas!L:L,Areas!$A:$A,Rios!$A51)</f>
        <v>12</v>
      </c>
      <c r="E51" s="62">
        <f>SUMIFS(Areas!M:M,Areas!$A:$A,Rios!$A51)</f>
        <v>3</v>
      </c>
      <c r="F51" s="40" t="str">
        <f>IF($A51&lt;&gt;"",VLOOKUP(Rios!$A51,Areas!$A:$I,F$2,FALSE),"-")</f>
        <v>3184-PLC-004</v>
      </c>
      <c r="G51" t="str">
        <f>IF($A51&lt;&gt;"",VLOOKUP(Rios!$A51,Areas!$A:$I,G$2,FALSE),"-")</f>
        <v>H2SO4</v>
      </c>
      <c r="H51" s="40" t="str">
        <f>IF($A51&lt;&gt;"",VLOOKUP(Rios!$A51,Areas!$A:$I,H$2,FALSE),"-")</f>
        <v>H2SO4</v>
      </c>
      <c r="J51" s="48">
        <v>1</v>
      </c>
      <c r="L51" s="54">
        <f t="shared" si="21"/>
        <v>11</v>
      </c>
      <c r="M51" s="54">
        <f t="shared" si="22"/>
        <v>3</v>
      </c>
      <c r="N51" s="54">
        <f t="shared" si="23"/>
        <v>12</v>
      </c>
      <c r="O51" s="54">
        <f t="shared" si="24"/>
        <v>3</v>
      </c>
      <c r="Q51" s="54">
        <f>IF($J51&gt;0,ROUNDUP((L51*Constraints!$D$3/$J51/100)+L51,0),"-")</f>
        <v>13</v>
      </c>
      <c r="R51" s="54">
        <f>IF($J51&gt;0,ROUNDUP((M51*Constraints!$D$3/$J51/100)+M51,0),"-")</f>
        <v>4</v>
      </c>
      <c r="S51" s="54">
        <f>IF($J51&gt;0,ROUNDUP((N51*Constraints!$D$3/$J51/100)+N51,0),"-")</f>
        <v>14</v>
      </c>
      <c r="T51" s="54">
        <f>IF($J51&gt;0,ROUNDUP((O51*Constraints!$D$3/$J51/100)+O51,0),"-")</f>
        <v>4</v>
      </c>
      <c r="V51" s="54">
        <f>IF($J51&gt;0,ROUNDUP((Q51*Constraints!$D$4/$J51/100)+Q51,0),"-")</f>
        <v>16</v>
      </c>
      <c r="W51" s="54">
        <f>IF($J51&gt;0,ROUNDUP((R51*Constraints!$D$4/$J51/100)+R51,0),"-")</f>
        <v>5</v>
      </c>
      <c r="X51" s="54">
        <f>IF($J51&gt;0,ROUNDUP((S51*Constraints!$D$4/$J51/100)+S51,0),"-")</f>
        <v>17</v>
      </c>
      <c r="Y51" s="54">
        <f>IF($J51&gt;0,ROUNDUP((T51*Constraints!$D$4/$J51/100)+T51,0),"-")</f>
        <v>5</v>
      </c>
      <c r="AA51" s="25">
        <f t="shared" si="20"/>
        <v>43</v>
      </c>
      <c r="AB51" s="110" t="str">
        <f>IF(AA51&gt;Constraints!$D$5,Rios!AA51-Constraints!$D$5,"-")</f>
        <v>-</v>
      </c>
      <c r="AD51" s="30">
        <f t="shared" si="25"/>
        <v>2</v>
      </c>
      <c r="AE51" s="30">
        <f t="shared" si="26"/>
        <v>2</v>
      </c>
      <c r="AF51" s="30">
        <f t="shared" si="27"/>
        <v>2</v>
      </c>
      <c r="AG51" s="30">
        <f t="shared" si="28"/>
        <v>1</v>
      </c>
      <c r="AI51" s="25">
        <f t="shared" si="18"/>
        <v>7</v>
      </c>
      <c r="AJ51" s="110" t="str">
        <f>IF(AI51&gt;Constraints!$D$6,Rios!AI51-Constraints!$D$6,"-")</f>
        <v>-</v>
      </c>
      <c r="AL51" s="25">
        <f>IF(AM51&lt;&gt;"",VLOOKUP(AM51,Constraints!I:J,2,FALSE),"")</f>
        <v>2</v>
      </c>
      <c r="AM51" s="105" t="s">
        <v>421</v>
      </c>
      <c r="AN51" s="30">
        <f>IF($AL51&lt;&gt;"",VLOOKUP($AL51,Constraints!$H:$V,4,FALSE),"-")</f>
        <v>2</v>
      </c>
      <c r="AO51" s="30">
        <f>IF($AL51&lt;&gt;"",VLOOKUP($AL51,Constraints!$H:$V,7,FALSE),"-")</f>
        <v>1</v>
      </c>
      <c r="AP51" s="30">
        <f>IF($AL51&lt;&gt;"",VLOOKUP($AL51,Constraints!$H:$V,10,FALSE),"-")</f>
        <v>2</v>
      </c>
      <c r="AQ51" s="30">
        <f>IF($AL51&lt;&gt;"",VLOOKUP($AL51,Constraints!$H:$V,13,FALSE),"-")</f>
        <v>1</v>
      </c>
      <c r="AS51" s="54">
        <f>IF($AL51&lt;&gt;"",VLOOKUP($AL51,Constraints!$H:$AG,23,FALSE),"-")</f>
        <v>16</v>
      </c>
      <c r="AT51" s="54">
        <f>IF($AL51&lt;&gt;"",VLOOKUP($AL51,Constraints!$H:$AG,24,FALSE),"-")</f>
        <v>4</v>
      </c>
      <c r="AU51" s="54">
        <f>IF($AL51&lt;&gt;"",VLOOKUP($AL51,Constraints!$H:$AG,25,FALSE),"-")</f>
        <v>32</v>
      </c>
      <c r="AV51" s="54">
        <f>IF($AL51&lt;&gt;"",VLOOKUP($AL51,Constraints!$H:$AG,26,FALSE),"-")</f>
        <v>16</v>
      </c>
      <c r="AX51" s="30" t="str">
        <f t="shared" si="29"/>
        <v>-</v>
      </c>
      <c r="AY51" s="30">
        <f t="shared" si="30"/>
        <v>-1</v>
      </c>
      <c r="AZ51" s="30" t="str">
        <f t="shared" si="31"/>
        <v>-</v>
      </c>
      <c r="BA51" s="30" t="str">
        <f t="shared" si="32"/>
        <v>-</v>
      </c>
      <c r="BC51" s="18" t="str">
        <f t="shared" si="19"/>
        <v>X</v>
      </c>
      <c r="BD51" s="18" t="str">
        <f t="shared" si="33"/>
        <v>-</v>
      </c>
      <c r="BE51" s="18" t="str">
        <f t="shared" si="34"/>
        <v>-</v>
      </c>
      <c r="BG51" s="54" t="str">
        <f t="shared" si="35"/>
        <v>-</v>
      </c>
      <c r="BH51" s="54">
        <f t="shared" si="36"/>
        <v>1</v>
      </c>
      <c r="BI51" s="54" t="str">
        <f t="shared" si="37"/>
        <v>-</v>
      </c>
      <c r="BJ51" s="54" t="str">
        <f t="shared" si="38"/>
        <v>-</v>
      </c>
      <c r="BK51" s="58"/>
    </row>
    <row r="52" spans="1:63" x14ac:dyDescent="0.25">
      <c r="B52" s="62">
        <f>SUMIFS(Areas!J:J,Areas!$A:$A,Rios!$A52)</f>
        <v>0</v>
      </c>
      <c r="C52" s="62">
        <f>SUMIFS(Areas!K:K,Areas!$A:$A,Rios!$A52)</f>
        <v>0</v>
      </c>
      <c r="D52" s="62">
        <f>SUMIFS(Areas!L:L,Areas!$A:$A,Rios!$A52)</f>
        <v>0</v>
      </c>
      <c r="E52" s="62">
        <f>SUMIFS(Areas!M:M,Areas!$A:$A,Rios!$A52)</f>
        <v>0</v>
      </c>
      <c r="F52" s="40" t="str">
        <f>IF($A52&lt;&gt;"",VLOOKUP(Rios!$A52,Areas!$A:$I,F$2,FALSE),"-")</f>
        <v>-</v>
      </c>
      <c r="G52" t="str">
        <f>IF($A52&lt;&gt;"",VLOOKUP(Rios!$A52,Areas!$A:$I,G$2,FALSE),"-")</f>
        <v>-</v>
      </c>
      <c r="H52" s="40" t="str">
        <f>IF($A52&lt;&gt;"",VLOOKUP(Rios!$A52,Areas!$A:$I,H$2,FALSE),"-")</f>
        <v>-</v>
      </c>
      <c r="J52" s="48">
        <v>0</v>
      </c>
      <c r="L52" s="54" t="str">
        <f t="shared" si="21"/>
        <v>-</v>
      </c>
      <c r="M52" s="54" t="str">
        <f t="shared" si="22"/>
        <v>-</v>
      </c>
      <c r="N52" s="54" t="str">
        <f t="shared" si="23"/>
        <v>-</v>
      </c>
      <c r="O52" s="54" t="str">
        <f t="shared" si="24"/>
        <v>-</v>
      </c>
      <c r="Q52" s="54" t="str">
        <f>IF($J52&gt;0,ROUNDUP((L52*Constraints!$D$3/$J52/100)+L52,0),"-")</f>
        <v>-</v>
      </c>
      <c r="R52" s="54" t="str">
        <f>IF($J52&gt;0,ROUNDUP((M52*Constraints!$D$3/$J52/100)+M52,0),"-")</f>
        <v>-</v>
      </c>
      <c r="S52" s="54" t="str">
        <f>IF($J52&gt;0,ROUNDUP((N52*Constraints!$D$3/$J52/100)+N52,0),"-")</f>
        <v>-</v>
      </c>
      <c r="T52" s="54" t="str">
        <f>IF($J52&gt;0,ROUNDUP((O52*Constraints!$D$3/$J52/100)+O52,0),"-")</f>
        <v>-</v>
      </c>
      <c r="V52" s="54" t="str">
        <f>IF($J52&gt;0,ROUNDUP((Q52*Constraints!$D$4/$J52/100)+Q52,0),"-")</f>
        <v>-</v>
      </c>
      <c r="W52" s="54" t="str">
        <f>IF($J52&gt;0,ROUNDUP((R52*Constraints!$D$4/$J52/100)+R52,0),"-")</f>
        <v>-</v>
      </c>
      <c r="X52" s="54" t="str">
        <f>IF($J52&gt;0,ROUNDUP((S52*Constraints!$D$4/$J52/100)+S52,0),"-")</f>
        <v>-</v>
      </c>
      <c r="Y52" s="54" t="str">
        <f>IF($J52&gt;0,ROUNDUP((T52*Constraints!$D$4/$J52/100)+T52,0),"-")</f>
        <v>-</v>
      </c>
      <c r="AA52" s="25">
        <f t="shared" si="20"/>
        <v>0</v>
      </c>
      <c r="AB52" s="110" t="str">
        <f>IF(AA52&gt;Constraints!$D$5,Rios!AA52-Constraints!$D$5,"-")</f>
        <v>-</v>
      </c>
      <c r="AD52" s="30" t="str">
        <f t="shared" si="25"/>
        <v>-</v>
      </c>
      <c r="AE52" s="30" t="str">
        <f t="shared" si="26"/>
        <v>-</v>
      </c>
      <c r="AF52" s="30" t="str">
        <f t="shared" si="27"/>
        <v>-</v>
      </c>
      <c r="AG52" s="30" t="str">
        <f t="shared" si="28"/>
        <v>-</v>
      </c>
      <c r="AI52" s="25">
        <f t="shared" si="18"/>
        <v>0</v>
      </c>
      <c r="AJ52" s="110" t="str">
        <f>IF(AI52&gt;Constraints!$D$6,Rios!AI52-Constraints!$D$6,"-")</f>
        <v>-</v>
      </c>
      <c r="AL52" s="25" t="str">
        <f>IF(AM52&lt;&gt;"",VLOOKUP(AM52,Constraints!I:J,2,FALSE),"")</f>
        <v/>
      </c>
      <c r="AM52" s="105"/>
      <c r="AN52" s="30" t="str">
        <f>IF($AL52&lt;&gt;"",VLOOKUP($AL52,Constraints!$H:$V,4,FALSE),"-")</f>
        <v>-</v>
      </c>
      <c r="AO52" s="30" t="str">
        <f>IF($AL52&lt;&gt;"",VLOOKUP($AL52,Constraints!$H:$V,7,FALSE),"-")</f>
        <v>-</v>
      </c>
      <c r="AP52" s="30" t="str">
        <f>IF($AL52&lt;&gt;"",VLOOKUP($AL52,Constraints!$H:$V,10,FALSE),"-")</f>
        <v>-</v>
      </c>
      <c r="AQ52" s="30" t="str">
        <f>IF($AL52&lt;&gt;"",VLOOKUP($AL52,Constraints!$H:$V,13,FALSE),"-")</f>
        <v>-</v>
      </c>
      <c r="AS52" s="54" t="str">
        <f>IF($AL52&lt;&gt;"",VLOOKUP($AL52,Constraints!$H:$AG,23,FALSE),"-")</f>
        <v>-</v>
      </c>
      <c r="AT52" s="54" t="str">
        <f>IF($AL52&lt;&gt;"",VLOOKUP($AL52,Constraints!$H:$AG,24,FALSE),"-")</f>
        <v>-</v>
      </c>
      <c r="AU52" s="54" t="str">
        <f>IF($AL52&lt;&gt;"",VLOOKUP($AL52,Constraints!$H:$AG,25,FALSE),"-")</f>
        <v>-</v>
      </c>
      <c r="AV52" s="54" t="str">
        <f>IF($AL52&lt;&gt;"",VLOOKUP($AL52,Constraints!$H:$AG,26,FALSE),"-")</f>
        <v>-</v>
      </c>
      <c r="AX52" s="30" t="str">
        <f t="shared" si="29"/>
        <v>na</v>
      </c>
      <c r="AY52" s="30" t="str">
        <f t="shared" si="30"/>
        <v>na</v>
      </c>
      <c r="AZ52" s="30" t="str">
        <f t="shared" si="31"/>
        <v>na</v>
      </c>
      <c r="BA52" s="30" t="str">
        <f t="shared" si="32"/>
        <v>na</v>
      </c>
      <c r="BC52" s="18" t="str">
        <f t="shared" si="19"/>
        <v>-</v>
      </c>
      <c r="BD52" s="18" t="str">
        <f t="shared" si="33"/>
        <v>-</v>
      </c>
      <c r="BE52" s="18" t="str">
        <f t="shared" si="34"/>
        <v>-</v>
      </c>
      <c r="BG52" s="54" t="str">
        <f t="shared" si="35"/>
        <v>-</v>
      </c>
      <c r="BH52" s="54" t="str">
        <f t="shared" si="36"/>
        <v>-</v>
      </c>
      <c r="BI52" s="54" t="str">
        <f t="shared" si="37"/>
        <v>-</v>
      </c>
      <c r="BJ52" s="54" t="str">
        <f t="shared" si="38"/>
        <v>-</v>
      </c>
      <c r="BK52" s="58"/>
    </row>
    <row r="53" spans="1:63" x14ac:dyDescent="0.25">
      <c r="B53" s="62">
        <f>SUMIFS(Areas!J:J,Areas!$A:$A,Rios!$A53)</f>
        <v>0</v>
      </c>
      <c r="C53" s="62">
        <f>SUMIFS(Areas!K:K,Areas!$A:$A,Rios!$A53)</f>
        <v>0</v>
      </c>
      <c r="D53" s="62">
        <f>SUMIFS(Areas!L:L,Areas!$A:$A,Rios!$A53)</f>
        <v>0</v>
      </c>
      <c r="E53" s="62">
        <f>SUMIFS(Areas!M:M,Areas!$A:$A,Rios!$A53)</f>
        <v>0</v>
      </c>
      <c r="F53" s="40" t="str">
        <f>IF($A53&lt;&gt;"",VLOOKUP(Rios!$A53,Areas!$A:$I,F$2,FALSE),"-")</f>
        <v>-</v>
      </c>
      <c r="G53" t="str">
        <f>IF($A53&lt;&gt;"",VLOOKUP(Rios!$A53,Areas!$A:$I,G$2,FALSE),"-")</f>
        <v>-</v>
      </c>
      <c r="H53" s="40" t="str">
        <f>IF($A53&lt;&gt;"",VLOOKUP(Rios!$A53,Areas!$A:$I,H$2,FALSE),"-")</f>
        <v>-</v>
      </c>
      <c r="J53" s="48">
        <v>0</v>
      </c>
      <c r="L53" s="54" t="str">
        <f t="shared" si="21"/>
        <v>-</v>
      </c>
      <c r="M53" s="54" t="str">
        <f t="shared" si="22"/>
        <v>-</v>
      </c>
      <c r="N53" s="54" t="str">
        <f t="shared" si="23"/>
        <v>-</v>
      </c>
      <c r="O53" s="54" t="str">
        <f t="shared" si="24"/>
        <v>-</v>
      </c>
      <c r="Q53" s="54" t="str">
        <f>IF($J53&gt;0,ROUNDUP((L53*Constraints!$D$3/$J53/100)+L53,0),"-")</f>
        <v>-</v>
      </c>
      <c r="R53" s="54" t="str">
        <f>IF($J53&gt;0,ROUNDUP((M53*Constraints!$D$3/$J53/100)+M53,0),"-")</f>
        <v>-</v>
      </c>
      <c r="S53" s="54" t="str">
        <f>IF($J53&gt;0,ROUNDUP((N53*Constraints!$D$3/$J53/100)+N53,0),"-")</f>
        <v>-</v>
      </c>
      <c r="T53" s="54" t="str">
        <f>IF($J53&gt;0,ROUNDUP((O53*Constraints!$D$3/$J53/100)+O53,0),"-")</f>
        <v>-</v>
      </c>
      <c r="V53" s="54" t="str">
        <f>IF($J53&gt;0,ROUNDUP((Q53*Constraints!$D$4/$J53/100)+Q53,0),"-")</f>
        <v>-</v>
      </c>
      <c r="W53" s="54" t="str">
        <f>IF($J53&gt;0,ROUNDUP((R53*Constraints!$D$4/$J53/100)+R53,0),"-")</f>
        <v>-</v>
      </c>
      <c r="X53" s="54" t="str">
        <f>IF($J53&gt;0,ROUNDUP((S53*Constraints!$D$4/$J53/100)+S53,0),"-")</f>
        <v>-</v>
      </c>
      <c r="Y53" s="54" t="str">
        <f>IF($J53&gt;0,ROUNDUP((T53*Constraints!$D$4/$J53/100)+T53,0),"-")</f>
        <v>-</v>
      </c>
      <c r="AA53" s="25">
        <f t="shared" si="20"/>
        <v>0</v>
      </c>
      <c r="AB53" s="110" t="str">
        <f>IF(AA53&gt;Constraints!$D$5,Rios!AA53-Constraints!$D$5,"-")</f>
        <v>-</v>
      </c>
      <c r="AD53" s="30" t="str">
        <f t="shared" si="25"/>
        <v>-</v>
      </c>
      <c r="AE53" s="30" t="str">
        <f t="shared" si="26"/>
        <v>-</v>
      </c>
      <c r="AF53" s="30" t="str">
        <f t="shared" si="27"/>
        <v>-</v>
      </c>
      <c r="AG53" s="30" t="str">
        <f t="shared" si="28"/>
        <v>-</v>
      </c>
      <c r="AI53" s="25">
        <f t="shared" si="18"/>
        <v>0</v>
      </c>
      <c r="AJ53" s="110" t="str">
        <f>IF(AI53&gt;Constraints!$D$6,Rios!AI53-Constraints!$D$6,"-")</f>
        <v>-</v>
      </c>
      <c r="AL53" s="25" t="str">
        <f>IF(AM53&lt;&gt;"",VLOOKUP(AM53,Constraints!I:J,2,FALSE),"")</f>
        <v/>
      </c>
      <c r="AM53" s="105"/>
      <c r="AN53" s="30" t="str">
        <f>IF($AL53&lt;&gt;"",VLOOKUP($AL53,Constraints!$H:$V,4,FALSE),"-")</f>
        <v>-</v>
      </c>
      <c r="AO53" s="30" t="str">
        <f>IF($AL53&lt;&gt;"",VLOOKUP($AL53,Constraints!$H:$V,7,FALSE),"-")</f>
        <v>-</v>
      </c>
      <c r="AP53" s="30" t="str">
        <f>IF($AL53&lt;&gt;"",VLOOKUP($AL53,Constraints!$H:$V,10,FALSE),"-")</f>
        <v>-</v>
      </c>
      <c r="AQ53" s="30" t="str">
        <f>IF($AL53&lt;&gt;"",VLOOKUP($AL53,Constraints!$H:$V,13,FALSE),"-")</f>
        <v>-</v>
      </c>
      <c r="AS53" s="54" t="str">
        <f>IF($AL53&lt;&gt;"",VLOOKUP($AL53,Constraints!$H:$AG,23,FALSE),"-")</f>
        <v>-</v>
      </c>
      <c r="AT53" s="54" t="str">
        <f>IF($AL53&lt;&gt;"",VLOOKUP($AL53,Constraints!$H:$AG,24,FALSE),"-")</f>
        <v>-</v>
      </c>
      <c r="AU53" s="54" t="str">
        <f>IF($AL53&lt;&gt;"",VLOOKUP($AL53,Constraints!$H:$AG,25,FALSE),"-")</f>
        <v>-</v>
      </c>
      <c r="AV53" s="54" t="str">
        <f>IF($AL53&lt;&gt;"",VLOOKUP($AL53,Constraints!$H:$AG,26,FALSE),"-")</f>
        <v>-</v>
      </c>
      <c r="AX53" s="30" t="str">
        <f t="shared" si="29"/>
        <v>na</v>
      </c>
      <c r="AY53" s="30" t="str">
        <f t="shared" si="30"/>
        <v>na</v>
      </c>
      <c r="AZ53" s="30" t="str">
        <f t="shared" si="31"/>
        <v>na</v>
      </c>
      <c r="BA53" s="30" t="str">
        <f t="shared" si="32"/>
        <v>na</v>
      </c>
      <c r="BC53" s="18" t="str">
        <f t="shared" si="19"/>
        <v>-</v>
      </c>
      <c r="BD53" s="18" t="str">
        <f t="shared" si="33"/>
        <v>-</v>
      </c>
      <c r="BE53" s="18" t="str">
        <f t="shared" si="34"/>
        <v>-</v>
      </c>
      <c r="BG53" s="54" t="str">
        <f t="shared" si="35"/>
        <v>-</v>
      </c>
      <c r="BH53" s="54" t="str">
        <f t="shared" si="36"/>
        <v>-</v>
      </c>
      <c r="BI53" s="54" t="str">
        <f t="shared" si="37"/>
        <v>-</v>
      </c>
      <c r="BJ53" s="54" t="str">
        <f t="shared" si="38"/>
        <v>-</v>
      </c>
      <c r="BK53" s="58"/>
    </row>
    <row r="54" spans="1:63" x14ac:dyDescent="0.25">
      <c r="B54" s="62">
        <f>SUMIFS(Areas!J:J,Areas!$A:$A,Rios!$A54)</f>
        <v>0</v>
      </c>
      <c r="C54" s="62">
        <f>SUMIFS(Areas!K:K,Areas!$A:$A,Rios!$A54)</f>
        <v>0</v>
      </c>
      <c r="D54" s="62">
        <f>SUMIFS(Areas!L:L,Areas!$A:$A,Rios!$A54)</f>
        <v>0</v>
      </c>
      <c r="E54" s="62">
        <f>SUMIFS(Areas!M:M,Areas!$A:$A,Rios!$A54)</f>
        <v>0</v>
      </c>
      <c r="F54" s="40" t="str">
        <f>IF($A54&lt;&gt;"",VLOOKUP(Rios!$A54,Areas!$A:$I,F$2,FALSE),"-")</f>
        <v>-</v>
      </c>
      <c r="G54" t="str">
        <f>IF($A54&lt;&gt;"",VLOOKUP(Rios!$A54,Areas!$A:$I,G$2,FALSE),"-")</f>
        <v>-</v>
      </c>
      <c r="H54" s="40" t="str">
        <f>IF($A54&lt;&gt;"",VLOOKUP(Rios!$A54,Areas!$A:$I,H$2,FALSE),"-")</f>
        <v>-</v>
      </c>
      <c r="J54" s="48">
        <v>0</v>
      </c>
      <c r="L54" s="54" t="str">
        <f t="shared" si="21"/>
        <v>-</v>
      </c>
      <c r="M54" s="54" t="str">
        <f t="shared" si="22"/>
        <v>-</v>
      </c>
      <c r="N54" s="54" t="str">
        <f t="shared" si="23"/>
        <v>-</v>
      </c>
      <c r="O54" s="54" t="str">
        <f t="shared" si="24"/>
        <v>-</v>
      </c>
      <c r="Q54" s="54" t="str">
        <f>IF($J54&gt;0,ROUNDUP((L54*Constraints!$D$3/$J54/100)+L54,0),"-")</f>
        <v>-</v>
      </c>
      <c r="R54" s="54" t="str">
        <f>IF($J54&gt;0,ROUNDUP((M54*Constraints!$D$3/$J54/100)+M54,0),"-")</f>
        <v>-</v>
      </c>
      <c r="S54" s="54" t="str">
        <f>IF($J54&gt;0,ROUNDUP((N54*Constraints!$D$3/$J54/100)+N54,0),"-")</f>
        <v>-</v>
      </c>
      <c r="T54" s="54" t="str">
        <f>IF($J54&gt;0,ROUNDUP((O54*Constraints!$D$3/$J54/100)+O54,0),"-")</f>
        <v>-</v>
      </c>
      <c r="V54" s="54" t="str">
        <f>IF($J54&gt;0,ROUNDUP((Q54*Constraints!$D$4/$J54/100)+Q54,0),"-")</f>
        <v>-</v>
      </c>
      <c r="W54" s="54" t="str">
        <f>IF($J54&gt;0,ROUNDUP((R54*Constraints!$D$4/$J54/100)+R54,0),"-")</f>
        <v>-</v>
      </c>
      <c r="X54" s="54" t="str">
        <f>IF($J54&gt;0,ROUNDUP((S54*Constraints!$D$4/$J54/100)+S54,0),"-")</f>
        <v>-</v>
      </c>
      <c r="Y54" s="54" t="str">
        <f>IF($J54&gt;0,ROUNDUP((T54*Constraints!$D$4/$J54/100)+T54,0),"-")</f>
        <v>-</v>
      </c>
      <c r="AA54" s="25">
        <f t="shared" si="20"/>
        <v>0</v>
      </c>
      <c r="AB54" s="110" t="str">
        <f>IF(AA54&gt;Constraints!$D$5,Rios!AA54-Constraints!$D$5,"-")</f>
        <v>-</v>
      </c>
      <c r="AD54" s="30" t="str">
        <f t="shared" si="25"/>
        <v>-</v>
      </c>
      <c r="AE54" s="30" t="str">
        <f t="shared" si="26"/>
        <v>-</v>
      </c>
      <c r="AF54" s="30" t="str">
        <f t="shared" si="27"/>
        <v>-</v>
      </c>
      <c r="AG54" s="30" t="str">
        <f t="shared" si="28"/>
        <v>-</v>
      </c>
      <c r="AI54" s="25">
        <f t="shared" si="18"/>
        <v>0</v>
      </c>
      <c r="AJ54" s="110" t="str">
        <f>IF(AI54&gt;Constraints!$D$6,Rios!AI54-Constraints!$D$6,"-")</f>
        <v>-</v>
      </c>
      <c r="AL54" s="25" t="str">
        <f>IF(AM54&lt;&gt;"",VLOOKUP(AM54,Constraints!I:J,2,FALSE),"")</f>
        <v/>
      </c>
      <c r="AM54" s="105"/>
      <c r="AN54" s="30" t="str">
        <f>IF($AL54&lt;&gt;"",VLOOKUP($AL54,Constraints!$H:$V,4,FALSE),"-")</f>
        <v>-</v>
      </c>
      <c r="AO54" s="30" t="str">
        <f>IF($AL54&lt;&gt;"",VLOOKUP($AL54,Constraints!$H:$V,7,FALSE),"-")</f>
        <v>-</v>
      </c>
      <c r="AP54" s="30" t="str">
        <f>IF($AL54&lt;&gt;"",VLOOKUP($AL54,Constraints!$H:$V,10,FALSE),"-")</f>
        <v>-</v>
      </c>
      <c r="AQ54" s="30" t="str">
        <f>IF($AL54&lt;&gt;"",VLOOKUP($AL54,Constraints!$H:$V,13,FALSE),"-")</f>
        <v>-</v>
      </c>
      <c r="AS54" s="54" t="str">
        <f>IF($AL54&lt;&gt;"",VLOOKUP($AL54,Constraints!$H:$AG,23,FALSE),"-")</f>
        <v>-</v>
      </c>
      <c r="AT54" s="54" t="str">
        <f>IF($AL54&lt;&gt;"",VLOOKUP($AL54,Constraints!$H:$AG,24,FALSE),"-")</f>
        <v>-</v>
      </c>
      <c r="AU54" s="54" t="str">
        <f>IF($AL54&lt;&gt;"",VLOOKUP($AL54,Constraints!$H:$AG,25,FALSE),"-")</f>
        <v>-</v>
      </c>
      <c r="AV54" s="54" t="str">
        <f>IF($AL54&lt;&gt;"",VLOOKUP($AL54,Constraints!$H:$AG,26,FALSE),"-")</f>
        <v>-</v>
      </c>
      <c r="AX54" s="30" t="str">
        <f t="shared" si="29"/>
        <v>na</v>
      </c>
      <c r="AY54" s="30" t="str">
        <f t="shared" si="30"/>
        <v>na</v>
      </c>
      <c r="AZ54" s="30" t="str">
        <f t="shared" si="31"/>
        <v>na</v>
      </c>
      <c r="BA54" s="30" t="str">
        <f t="shared" si="32"/>
        <v>na</v>
      </c>
      <c r="BC54" s="18" t="str">
        <f t="shared" si="19"/>
        <v>-</v>
      </c>
      <c r="BD54" s="18" t="str">
        <f t="shared" si="33"/>
        <v>-</v>
      </c>
      <c r="BE54" s="18" t="str">
        <f t="shared" si="34"/>
        <v>-</v>
      </c>
      <c r="BG54" s="54" t="str">
        <f t="shared" si="35"/>
        <v>-</v>
      </c>
      <c r="BH54" s="54" t="str">
        <f t="shared" si="36"/>
        <v>-</v>
      </c>
      <c r="BI54" s="54" t="str">
        <f t="shared" si="37"/>
        <v>-</v>
      </c>
      <c r="BJ54" s="54" t="str">
        <f t="shared" si="38"/>
        <v>-</v>
      </c>
      <c r="BK54" s="58"/>
    </row>
    <row r="55" spans="1:63" x14ac:dyDescent="0.25">
      <c r="B55" s="62">
        <f>SUMIFS(Areas!J:J,Areas!$A:$A,Rios!$A55)</f>
        <v>0</v>
      </c>
      <c r="C55" s="62">
        <f>SUMIFS(Areas!K:K,Areas!$A:$A,Rios!$A55)</f>
        <v>0</v>
      </c>
      <c r="D55" s="62">
        <f>SUMIFS(Areas!L:L,Areas!$A:$A,Rios!$A55)</f>
        <v>0</v>
      </c>
      <c r="E55" s="62">
        <f>SUMIFS(Areas!M:M,Areas!$A:$A,Rios!$A55)</f>
        <v>0</v>
      </c>
      <c r="F55" s="40" t="str">
        <f>IF($A55&lt;&gt;"",VLOOKUP(Rios!$A55,Areas!$A:$I,F$2,FALSE),"-")</f>
        <v>-</v>
      </c>
      <c r="G55" t="str">
        <f>IF($A55&lt;&gt;"",VLOOKUP(Rios!$A55,Areas!$A:$I,G$2,FALSE),"-")</f>
        <v>-</v>
      </c>
      <c r="H55" s="40" t="str">
        <f>IF($A55&lt;&gt;"",VLOOKUP(Rios!$A55,Areas!$A:$I,H$2,FALSE),"-")</f>
        <v>-</v>
      </c>
      <c r="J55" s="48">
        <v>0</v>
      </c>
      <c r="L55" s="54" t="str">
        <f t="shared" si="21"/>
        <v>-</v>
      </c>
      <c r="M55" s="54" t="str">
        <f t="shared" si="22"/>
        <v>-</v>
      </c>
      <c r="N55" s="54" t="str">
        <f t="shared" si="23"/>
        <v>-</v>
      </c>
      <c r="O55" s="54" t="str">
        <f t="shared" si="24"/>
        <v>-</v>
      </c>
      <c r="Q55" s="54" t="str">
        <f>IF($J55&gt;0,ROUNDUP((L55*Constraints!$D$3/$J55/100)+L55,0),"-")</f>
        <v>-</v>
      </c>
      <c r="R55" s="54" t="str">
        <f>IF($J55&gt;0,ROUNDUP((M55*Constraints!$D$3/$J55/100)+M55,0),"-")</f>
        <v>-</v>
      </c>
      <c r="S55" s="54" t="str">
        <f>IF($J55&gt;0,ROUNDUP((N55*Constraints!$D$3/$J55/100)+N55,0),"-")</f>
        <v>-</v>
      </c>
      <c r="T55" s="54" t="str">
        <f>IF($J55&gt;0,ROUNDUP((O55*Constraints!$D$3/$J55/100)+O55,0),"-")</f>
        <v>-</v>
      </c>
      <c r="V55" s="54" t="str">
        <f>IF($J55&gt;0,ROUNDUP((Q55*Constraints!$D$4/$J55/100)+Q55,0),"-")</f>
        <v>-</v>
      </c>
      <c r="W55" s="54" t="str">
        <f>IF($J55&gt;0,ROUNDUP((R55*Constraints!$D$4/$J55/100)+R55,0),"-")</f>
        <v>-</v>
      </c>
      <c r="X55" s="54" t="str">
        <f>IF($J55&gt;0,ROUNDUP((S55*Constraints!$D$4/$J55/100)+S55,0),"-")</f>
        <v>-</v>
      </c>
      <c r="Y55" s="54" t="str">
        <f>IF($J55&gt;0,ROUNDUP((T55*Constraints!$D$4/$J55/100)+T55,0),"-")</f>
        <v>-</v>
      </c>
      <c r="AA55" s="25">
        <f t="shared" si="20"/>
        <v>0</v>
      </c>
      <c r="AB55" s="110" t="str">
        <f>IF(AA55&gt;Constraints!$D$5,Rios!AA55-Constraints!$D$5,"-")</f>
        <v>-</v>
      </c>
      <c r="AD55" s="30" t="str">
        <f t="shared" si="25"/>
        <v>-</v>
      </c>
      <c r="AE55" s="30" t="str">
        <f t="shared" si="26"/>
        <v>-</v>
      </c>
      <c r="AF55" s="30" t="str">
        <f t="shared" si="27"/>
        <v>-</v>
      </c>
      <c r="AG55" s="30" t="str">
        <f t="shared" si="28"/>
        <v>-</v>
      </c>
      <c r="AI55" s="25">
        <f t="shared" si="18"/>
        <v>0</v>
      </c>
      <c r="AJ55" s="110" t="str">
        <f>IF(AI55&gt;Constraints!$D$6,Rios!AI55-Constraints!$D$6,"-")</f>
        <v>-</v>
      </c>
      <c r="AL55" s="25" t="str">
        <f>IF(AM55&lt;&gt;"",VLOOKUP(AM55,Constraints!I:J,2,FALSE),"")</f>
        <v/>
      </c>
      <c r="AM55" s="105"/>
      <c r="AN55" s="30" t="str">
        <f>IF($AL55&lt;&gt;"",VLOOKUP($AL55,Constraints!$H:$V,4,FALSE),"-")</f>
        <v>-</v>
      </c>
      <c r="AO55" s="30" t="str">
        <f>IF($AL55&lt;&gt;"",VLOOKUP($AL55,Constraints!$H:$V,7,FALSE),"-")</f>
        <v>-</v>
      </c>
      <c r="AP55" s="30" t="str">
        <f>IF($AL55&lt;&gt;"",VLOOKUP($AL55,Constraints!$H:$V,10,FALSE),"-")</f>
        <v>-</v>
      </c>
      <c r="AQ55" s="30" t="str">
        <f>IF($AL55&lt;&gt;"",VLOOKUP($AL55,Constraints!$H:$V,13,FALSE),"-")</f>
        <v>-</v>
      </c>
      <c r="AS55" s="54" t="str">
        <f>IF($AL55&lt;&gt;"",VLOOKUP($AL55,Constraints!$H:$AG,23,FALSE),"-")</f>
        <v>-</v>
      </c>
      <c r="AT55" s="54" t="str">
        <f>IF($AL55&lt;&gt;"",VLOOKUP($AL55,Constraints!$H:$AG,24,FALSE),"-")</f>
        <v>-</v>
      </c>
      <c r="AU55" s="54" t="str">
        <f>IF($AL55&lt;&gt;"",VLOOKUP($AL55,Constraints!$H:$AG,25,FALSE),"-")</f>
        <v>-</v>
      </c>
      <c r="AV55" s="54" t="str">
        <f>IF($AL55&lt;&gt;"",VLOOKUP($AL55,Constraints!$H:$AG,26,FALSE),"-")</f>
        <v>-</v>
      </c>
      <c r="AX55" s="30" t="str">
        <f t="shared" si="29"/>
        <v>na</v>
      </c>
      <c r="AY55" s="30" t="str">
        <f t="shared" si="30"/>
        <v>na</v>
      </c>
      <c r="AZ55" s="30" t="str">
        <f t="shared" si="31"/>
        <v>na</v>
      </c>
      <c r="BA55" s="30" t="str">
        <f t="shared" si="32"/>
        <v>na</v>
      </c>
      <c r="BC55" s="18" t="str">
        <f t="shared" si="19"/>
        <v>-</v>
      </c>
      <c r="BD55" s="18" t="str">
        <f t="shared" si="33"/>
        <v>-</v>
      </c>
      <c r="BE55" s="18" t="str">
        <f t="shared" si="34"/>
        <v>-</v>
      </c>
      <c r="BG55" s="54" t="str">
        <f t="shared" si="35"/>
        <v>-</v>
      </c>
      <c r="BH55" s="54" t="str">
        <f t="shared" si="36"/>
        <v>-</v>
      </c>
      <c r="BI55" s="54" t="str">
        <f t="shared" si="37"/>
        <v>-</v>
      </c>
      <c r="BJ55" s="54" t="str">
        <f t="shared" si="38"/>
        <v>-</v>
      </c>
      <c r="BK55" s="58"/>
    </row>
    <row r="56" spans="1:63" x14ac:dyDescent="0.25">
      <c r="B56" s="62">
        <f>SUMIFS(Areas!J:J,Areas!$A:$A,Rios!$A56)</f>
        <v>0</v>
      </c>
      <c r="C56" s="62">
        <f>SUMIFS(Areas!K:K,Areas!$A:$A,Rios!$A56)</f>
        <v>0</v>
      </c>
      <c r="D56" s="62">
        <f>SUMIFS(Areas!L:L,Areas!$A:$A,Rios!$A56)</f>
        <v>0</v>
      </c>
      <c r="E56" s="62">
        <f>SUMIFS(Areas!M:M,Areas!$A:$A,Rios!$A56)</f>
        <v>0</v>
      </c>
      <c r="F56" s="40" t="str">
        <f>IF($A56&lt;&gt;"",VLOOKUP(Rios!$A56,Areas!$A:$I,F$2,FALSE),"-")</f>
        <v>-</v>
      </c>
      <c r="G56" t="str">
        <f>IF($A56&lt;&gt;"",VLOOKUP(Rios!$A56,Areas!$A:$I,G$2,FALSE),"-")</f>
        <v>-</v>
      </c>
      <c r="H56" s="40" t="str">
        <f>IF($A56&lt;&gt;"",VLOOKUP(Rios!$A56,Areas!$A:$I,H$2,FALSE),"-")</f>
        <v>-</v>
      </c>
      <c r="J56" s="48">
        <v>0</v>
      </c>
      <c r="L56" s="54" t="str">
        <f t="shared" si="21"/>
        <v>-</v>
      </c>
      <c r="M56" s="54" t="str">
        <f t="shared" si="22"/>
        <v>-</v>
      </c>
      <c r="N56" s="54" t="str">
        <f t="shared" si="23"/>
        <v>-</v>
      </c>
      <c r="O56" s="54" t="str">
        <f t="shared" si="24"/>
        <v>-</v>
      </c>
      <c r="Q56" s="54" t="str">
        <f>IF($J56&gt;0,ROUNDUP((L56*Constraints!$D$3/$J56/100)+L56,0),"-")</f>
        <v>-</v>
      </c>
      <c r="R56" s="54" t="str">
        <f>IF($J56&gt;0,ROUNDUP((M56*Constraints!$D$3/$J56/100)+M56,0),"-")</f>
        <v>-</v>
      </c>
      <c r="S56" s="54" t="str">
        <f>IF($J56&gt;0,ROUNDUP((N56*Constraints!$D$3/$J56/100)+N56,0),"-")</f>
        <v>-</v>
      </c>
      <c r="T56" s="54" t="str">
        <f>IF($J56&gt;0,ROUNDUP((O56*Constraints!$D$3/$J56/100)+O56,0),"-")</f>
        <v>-</v>
      </c>
      <c r="V56" s="54" t="str">
        <f>IF($J56&gt;0,ROUNDUP((Q56*Constraints!$D$4/$J56/100)+Q56,0),"-")</f>
        <v>-</v>
      </c>
      <c r="W56" s="54" t="str">
        <f>IF($J56&gt;0,ROUNDUP((R56*Constraints!$D$4/$J56/100)+R56,0),"-")</f>
        <v>-</v>
      </c>
      <c r="X56" s="54" t="str">
        <f>IF($J56&gt;0,ROUNDUP((S56*Constraints!$D$4/$J56/100)+S56,0),"-")</f>
        <v>-</v>
      </c>
      <c r="Y56" s="54" t="str">
        <f>IF($J56&gt;0,ROUNDUP((T56*Constraints!$D$4/$J56/100)+T56,0),"-")</f>
        <v>-</v>
      </c>
      <c r="AA56" s="25">
        <f t="shared" si="20"/>
        <v>0</v>
      </c>
      <c r="AB56" s="110" t="str">
        <f>IF(AA56&gt;Constraints!$D$5,Rios!AA56-Constraints!$D$5,"-")</f>
        <v>-</v>
      </c>
      <c r="AD56" s="30" t="str">
        <f t="shared" si="25"/>
        <v>-</v>
      </c>
      <c r="AE56" s="30" t="str">
        <f t="shared" si="26"/>
        <v>-</v>
      </c>
      <c r="AF56" s="30" t="str">
        <f t="shared" si="27"/>
        <v>-</v>
      </c>
      <c r="AG56" s="30" t="str">
        <f t="shared" si="28"/>
        <v>-</v>
      </c>
      <c r="AI56" s="25">
        <f t="shared" si="18"/>
        <v>0</v>
      </c>
      <c r="AJ56" s="110" t="str">
        <f>IF(AI56&gt;Constraints!$D$6,Rios!AI56-Constraints!$D$6,"-")</f>
        <v>-</v>
      </c>
      <c r="AL56" s="25" t="str">
        <f>IF(AM56&lt;&gt;"",VLOOKUP(AM56,Constraints!I:J,2,FALSE),"")</f>
        <v/>
      </c>
      <c r="AM56" s="105"/>
      <c r="AN56" s="30" t="str">
        <f>IF($AL56&lt;&gt;"",VLOOKUP($AL56,Constraints!$H:$V,4,FALSE),"-")</f>
        <v>-</v>
      </c>
      <c r="AO56" s="30" t="str">
        <f>IF($AL56&lt;&gt;"",VLOOKUP($AL56,Constraints!$H:$V,7,FALSE),"-")</f>
        <v>-</v>
      </c>
      <c r="AP56" s="30" t="str">
        <f>IF($AL56&lt;&gt;"",VLOOKUP($AL56,Constraints!$H:$V,10,FALSE),"-")</f>
        <v>-</v>
      </c>
      <c r="AQ56" s="30" t="str">
        <f>IF($AL56&lt;&gt;"",VLOOKUP($AL56,Constraints!$H:$V,13,FALSE),"-")</f>
        <v>-</v>
      </c>
      <c r="AS56" s="54" t="str">
        <f>IF($AL56&lt;&gt;"",VLOOKUP($AL56,Constraints!$H:$AG,23,FALSE),"-")</f>
        <v>-</v>
      </c>
      <c r="AT56" s="54" t="str">
        <f>IF($AL56&lt;&gt;"",VLOOKUP($AL56,Constraints!$H:$AG,24,FALSE),"-")</f>
        <v>-</v>
      </c>
      <c r="AU56" s="54" t="str">
        <f>IF($AL56&lt;&gt;"",VLOOKUP($AL56,Constraints!$H:$AG,25,FALSE),"-")</f>
        <v>-</v>
      </c>
      <c r="AV56" s="54" t="str">
        <f>IF($AL56&lt;&gt;"",VLOOKUP($AL56,Constraints!$H:$AG,26,FALSE),"-")</f>
        <v>-</v>
      </c>
      <c r="AX56" s="30" t="str">
        <f t="shared" si="29"/>
        <v>na</v>
      </c>
      <c r="AY56" s="30" t="str">
        <f t="shared" si="30"/>
        <v>na</v>
      </c>
      <c r="AZ56" s="30" t="str">
        <f t="shared" si="31"/>
        <v>na</v>
      </c>
      <c r="BA56" s="30" t="str">
        <f t="shared" si="32"/>
        <v>na</v>
      </c>
      <c r="BC56" s="18" t="str">
        <f t="shared" si="19"/>
        <v>-</v>
      </c>
      <c r="BD56" s="18" t="str">
        <f t="shared" si="33"/>
        <v>-</v>
      </c>
      <c r="BE56" s="18" t="str">
        <f t="shared" si="34"/>
        <v>-</v>
      </c>
      <c r="BG56" s="54" t="str">
        <f t="shared" si="35"/>
        <v>-</v>
      </c>
      <c r="BH56" s="54" t="str">
        <f t="shared" si="36"/>
        <v>-</v>
      </c>
      <c r="BI56" s="54" t="str">
        <f t="shared" si="37"/>
        <v>-</v>
      </c>
      <c r="BJ56" s="54" t="str">
        <f t="shared" si="38"/>
        <v>-</v>
      </c>
      <c r="BK56" s="58"/>
    </row>
    <row r="57" spans="1:63" x14ac:dyDescent="0.25">
      <c r="B57" s="62">
        <f>SUMIFS(Areas!J:J,Areas!$A:$A,Rios!$A57)</f>
        <v>0</v>
      </c>
      <c r="C57" s="62">
        <f>SUMIFS(Areas!K:K,Areas!$A:$A,Rios!$A57)</f>
        <v>0</v>
      </c>
      <c r="D57" s="62">
        <f>SUMIFS(Areas!L:L,Areas!$A:$A,Rios!$A57)</f>
        <v>0</v>
      </c>
      <c r="E57" s="62">
        <f>SUMIFS(Areas!M:M,Areas!$A:$A,Rios!$A57)</f>
        <v>0</v>
      </c>
      <c r="F57" s="40" t="str">
        <f>IF($A57&lt;&gt;"",VLOOKUP(Rios!$A57,Areas!$A:$I,F$2,FALSE),"-")</f>
        <v>-</v>
      </c>
      <c r="G57" t="str">
        <f>IF($A57&lt;&gt;"",VLOOKUP(Rios!$A57,Areas!$A:$I,G$2,FALSE),"-")</f>
        <v>-</v>
      </c>
      <c r="H57" s="40" t="str">
        <f>IF($A57&lt;&gt;"",VLOOKUP(Rios!$A57,Areas!$A:$I,H$2,FALSE),"-")</f>
        <v>-</v>
      </c>
      <c r="J57" s="48">
        <v>0</v>
      </c>
      <c r="L57" s="54" t="str">
        <f t="shared" si="21"/>
        <v>-</v>
      </c>
      <c r="M57" s="54" t="str">
        <f t="shared" si="22"/>
        <v>-</v>
      </c>
      <c r="N57" s="54" t="str">
        <f t="shared" si="23"/>
        <v>-</v>
      </c>
      <c r="O57" s="54" t="str">
        <f t="shared" si="24"/>
        <v>-</v>
      </c>
      <c r="Q57" s="54" t="str">
        <f>IF($J57&gt;0,ROUNDUP((L57*Constraints!$D$3/$J57/100)+L57,0),"-")</f>
        <v>-</v>
      </c>
      <c r="R57" s="54" t="str">
        <f>IF($J57&gt;0,ROUNDUP((M57*Constraints!$D$3/$J57/100)+M57,0),"-")</f>
        <v>-</v>
      </c>
      <c r="S57" s="54" t="str">
        <f>IF($J57&gt;0,ROUNDUP((N57*Constraints!$D$3/$J57/100)+N57,0),"-")</f>
        <v>-</v>
      </c>
      <c r="T57" s="54" t="str">
        <f>IF($J57&gt;0,ROUNDUP((O57*Constraints!$D$3/$J57/100)+O57,0),"-")</f>
        <v>-</v>
      </c>
      <c r="V57" s="54" t="str">
        <f>IF($J57&gt;0,ROUNDUP((Q57*Constraints!$D$4/$J57/100)+Q57,0),"-")</f>
        <v>-</v>
      </c>
      <c r="W57" s="54" t="str">
        <f>IF($J57&gt;0,ROUNDUP((R57*Constraints!$D$4/$J57/100)+R57,0),"-")</f>
        <v>-</v>
      </c>
      <c r="X57" s="54" t="str">
        <f>IF($J57&gt;0,ROUNDUP((S57*Constraints!$D$4/$J57/100)+S57,0),"-")</f>
        <v>-</v>
      </c>
      <c r="Y57" s="54" t="str">
        <f>IF($J57&gt;0,ROUNDUP((T57*Constraints!$D$4/$J57/100)+T57,0),"-")</f>
        <v>-</v>
      </c>
      <c r="AA57" s="25">
        <f t="shared" si="20"/>
        <v>0</v>
      </c>
      <c r="AB57" s="110" t="str">
        <f>IF(AA57&gt;Constraints!$D$5,Rios!AA57-Constraints!$D$5,"-")</f>
        <v>-</v>
      </c>
      <c r="AD57" s="30" t="str">
        <f t="shared" si="25"/>
        <v>-</v>
      </c>
      <c r="AE57" s="30" t="str">
        <f t="shared" si="26"/>
        <v>-</v>
      </c>
      <c r="AF57" s="30" t="str">
        <f t="shared" si="27"/>
        <v>-</v>
      </c>
      <c r="AG57" s="30" t="str">
        <f t="shared" si="28"/>
        <v>-</v>
      </c>
      <c r="AI57" s="25">
        <f t="shared" si="18"/>
        <v>0</v>
      </c>
      <c r="AJ57" s="110" t="str">
        <f>IF(AI57&gt;Constraints!$D$6,Rios!AI57-Constraints!$D$6,"-")</f>
        <v>-</v>
      </c>
      <c r="AL57" s="25" t="str">
        <f>IF(AM57&lt;&gt;"",VLOOKUP(AM57,Constraints!I:J,2,FALSE),"")</f>
        <v/>
      </c>
      <c r="AM57" s="105"/>
      <c r="AN57" s="30" t="str">
        <f>IF($AL57&lt;&gt;"",VLOOKUP($AL57,Constraints!$H:$V,4,FALSE),"-")</f>
        <v>-</v>
      </c>
      <c r="AO57" s="30" t="str">
        <f>IF($AL57&lt;&gt;"",VLOOKUP($AL57,Constraints!$H:$V,7,FALSE),"-")</f>
        <v>-</v>
      </c>
      <c r="AP57" s="30" t="str">
        <f>IF($AL57&lt;&gt;"",VLOOKUP($AL57,Constraints!$H:$V,10,FALSE),"-")</f>
        <v>-</v>
      </c>
      <c r="AQ57" s="30" t="str">
        <f>IF($AL57&lt;&gt;"",VLOOKUP($AL57,Constraints!$H:$V,13,FALSE),"-")</f>
        <v>-</v>
      </c>
      <c r="AS57" s="54" t="str">
        <f>IF($AL57&lt;&gt;"",VLOOKUP($AL57,Constraints!$H:$AG,23,FALSE),"-")</f>
        <v>-</v>
      </c>
      <c r="AT57" s="54" t="str">
        <f>IF($AL57&lt;&gt;"",VLOOKUP($AL57,Constraints!$H:$AG,24,FALSE),"-")</f>
        <v>-</v>
      </c>
      <c r="AU57" s="54" t="str">
        <f>IF($AL57&lt;&gt;"",VLOOKUP($AL57,Constraints!$H:$AG,25,FALSE),"-")</f>
        <v>-</v>
      </c>
      <c r="AV57" s="54" t="str">
        <f>IF($AL57&lt;&gt;"",VLOOKUP($AL57,Constraints!$H:$AG,26,FALSE),"-")</f>
        <v>-</v>
      </c>
      <c r="AX57" s="30" t="str">
        <f t="shared" si="29"/>
        <v>na</v>
      </c>
      <c r="AY57" s="30" t="str">
        <f t="shared" si="30"/>
        <v>na</v>
      </c>
      <c r="AZ57" s="30" t="str">
        <f t="shared" si="31"/>
        <v>na</v>
      </c>
      <c r="BA57" s="30" t="str">
        <f t="shared" si="32"/>
        <v>na</v>
      </c>
      <c r="BC57" s="18" t="str">
        <f t="shared" si="19"/>
        <v>-</v>
      </c>
      <c r="BD57" s="18" t="str">
        <f t="shared" si="33"/>
        <v>-</v>
      </c>
      <c r="BE57" s="18" t="str">
        <f t="shared" si="34"/>
        <v>-</v>
      </c>
      <c r="BG57" s="54" t="str">
        <f t="shared" si="35"/>
        <v>-</v>
      </c>
      <c r="BH57" s="54" t="str">
        <f t="shared" si="36"/>
        <v>-</v>
      </c>
      <c r="BI57" s="54" t="str">
        <f t="shared" si="37"/>
        <v>-</v>
      </c>
      <c r="BJ57" s="54" t="str">
        <f t="shared" si="38"/>
        <v>-</v>
      </c>
      <c r="BK57" s="58"/>
    </row>
    <row r="58" spans="1:63" x14ac:dyDescent="0.25">
      <c r="B58" s="62">
        <f>SUMIFS(Areas!J:J,Areas!$A:$A,Rios!$A58)</f>
        <v>0</v>
      </c>
      <c r="C58" s="62">
        <f>SUMIFS(Areas!K:K,Areas!$A:$A,Rios!$A58)</f>
        <v>0</v>
      </c>
      <c r="D58" s="62">
        <f>SUMIFS(Areas!L:L,Areas!$A:$A,Rios!$A58)</f>
        <v>0</v>
      </c>
      <c r="E58" s="62">
        <f>SUMIFS(Areas!M:M,Areas!$A:$A,Rios!$A58)</f>
        <v>0</v>
      </c>
      <c r="F58" s="40" t="str">
        <f>IF($A58&lt;&gt;"",VLOOKUP(Rios!$A58,Areas!$A:$I,F$2,FALSE),"-")</f>
        <v>-</v>
      </c>
      <c r="G58" t="str">
        <f>IF($A58&lt;&gt;"",VLOOKUP(Rios!$A58,Areas!$A:$I,G$2,FALSE),"-")</f>
        <v>-</v>
      </c>
      <c r="H58" s="40" t="str">
        <f>IF($A58&lt;&gt;"",VLOOKUP(Rios!$A58,Areas!$A:$I,H$2,FALSE),"-")</f>
        <v>-</v>
      </c>
      <c r="J58" s="48">
        <v>0</v>
      </c>
      <c r="L58" s="54" t="str">
        <f t="shared" si="21"/>
        <v>-</v>
      </c>
      <c r="M58" s="54" t="str">
        <f t="shared" si="22"/>
        <v>-</v>
      </c>
      <c r="N58" s="54" t="str">
        <f t="shared" si="23"/>
        <v>-</v>
      </c>
      <c r="O58" s="54" t="str">
        <f t="shared" si="24"/>
        <v>-</v>
      </c>
      <c r="Q58" s="54" t="str">
        <f>IF($J58&gt;0,ROUNDUP((L58*Constraints!$D$3/$J58/100)+L58,0),"-")</f>
        <v>-</v>
      </c>
      <c r="R58" s="54" t="str">
        <f>IF($J58&gt;0,ROUNDUP((M58*Constraints!$D$3/$J58/100)+M58,0),"-")</f>
        <v>-</v>
      </c>
      <c r="S58" s="54" t="str">
        <f>IF($J58&gt;0,ROUNDUP((N58*Constraints!$D$3/$J58/100)+N58,0),"-")</f>
        <v>-</v>
      </c>
      <c r="T58" s="54" t="str">
        <f>IF($J58&gt;0,ROUNDUP((O58*Constraints!$D$3/$J58/100)+O58,0),"-")</f>
        <v>-</v>
      </c>
      <c r="V58" s="54" t="str">
        <f>IF($J58&gt;0,ROUNDUP((Q58*Constraints!$D$4/$J58/100)+Q58,0),"-")</f>
        <v>-</v>
      </c>
      <c r="W58" s="54" t="str">
        <f>IF($J58&gt;0,ROUNDUP((R58*Constraints!$D$4/$J58/100)+R58,0),"-")</f>
        <v>-</v>
      </c>
      <c r="X58" s="54" t="str">
        <f>IF($J58&gt;0,ROUNDUP((S58*Constraints!$D$4/$J58/100)+S58,0),"-")</f>
        <v>-</v>
      </c>
      <c r="Y58" s="54" t="str">
        <f>IF($J58&gt;0,ROUNDUP((T58*Constraints!$D$4/$J58/100)+T58,0),"-")</f>
        <v>-</v>
      </c>
      <c r="AA58" s="25">
        <f t="shared" si="20"/>
        <v>0</v>
      </c>
      <c r="AB58" s="110" t="str">
        <f>IF(AA58&gt;Constraints!$D$5,Rios!AA58-Constraints!$D$5,"-")</f>
        <v>-</v>
      </c>
      <c r="AD58" s="30" t="str">
        <f t="shared" si="25"/>
        <v>-</v>
      </c>
      <c r="AE58" s="30" t="str">
        <f t="shared" si="26"/>
        <v>-</v>
      </c>
      <c r="AF58" s="30" t="str">
        <f t="shared" si="27"/>
        <v>-</v>
      </c>
      <c r="AG58" s="30" t="str">
        <f t="shared" si="28"/>
        <v>-</v>
      </c>
      <c r="AI58" s="25">
        <f t="shared" si="18"/>
        <v>0</v>
      </c>
      <c r="AJ58" s="110" t="str">
        <f>IF(AI58&gt;Constraints!$D$6,Rios!AI58-Constraints!$D$6,"-")</f>
        <v>-</v>
      </c>
      <c r="AL58" s="25" t="str">
        <f>IF(AM58&lt;&gt;"",VLOOKUP(AM58,Constraints!I:J,2,FALSE),"")</f>
        <v/>
      </c>
      <c r="AM58" s="105"/>
      <c r="AN58" s="30" t="str">
        <f>IF($AL58&lt;&gt;"",VLOOKUP($AL58,Constraints!$H:$V,4,FALSE),"-")</f>
        <v>-</v>
      </c>
      <c r="AO58" s="30" t="str">
        <f>IF($AL58&lt;&gt;"",VLOOKUP($AL58,Constraints!$H:$V,7,FALSE),"-")</f>
        <v>-</v>
      </c>
      <c r="AP58" s="30" t="str">
        <f>IF($AL58&lt;&gt;"",VLOOKUP($AL58,Constraints!$H:$V,10,FALSE),"-")</f>
        <v>-</v>
      </c>
      <c r="AQ58" s="30" t="str">
        <f>IF($AL58&lt;&gt;"",VLOOKUP($AL58,Constraints!$H:$V,13,FALSE),"-")</f>
        <v>-</v>
      </c>
      <c r="AS58" s="54" t="str">
        <f>IF($AL58&lt;&gt;"",VLOOKUP($AL58,Constraints!$H:$AG,23,FALSE),"-")</f>
        <v>-</v>
      </c>
      <c r="AT58" s="54" t="str">
        <f>IF($AL58&lt;&gt;"",VLOOKUP($AL58,Constraints!$H:$AG,24,FALSE),"-")</f>
        <v>-</v>
      </c>
      <c r="AU58" s="54" t="str">
        <f>IF($AL58&lt;&gt;"",VLOOKUP($AL58,Constraints!$H:$AG,25,FALSE),"-")</f>
        <v>-</v>
      </c>
      <c r="AV58" s="54" t="str">
        <f>IF($AL58&lt;&gt;"",VLOOKUP($AL58,Constraints!$H:$AG,26,FALSE),"-")</f>
        <v>-</v>
      </c>
      <c r="AX58" s="30" t="str">
        <f t="shared" si="29"/>
        <v>na</v>
      </c>
      <c r="AY58" s="30" t="str">
        <f t="shared" si="30"/>
        <v>na</v>
      </c>
      <c r="AZ58" s="30" t="str">
        <f t="shared" si="31"/>
        <v>na</v>
      </c>
      <c r="BA58" s="30" t="str">
        <f t="shared" si="32"/>
        <v>na</v>
      </c>
      <c r="BC58" s="18" t="str">
        <f t="shared" si="19"/>
        <v>-</v>
      </c>
      <c r="BD58" s="18" t="str">
        <f t="shared" si="33"/>
        <v>-</v>
      </c>
      <c r="BE58" s="18" t="str">
        <f t="shared" si="34"/>
        <v>-</v>
      </c>
      <c r="BG58" s="54" t="str">
        <f t="shared" si="35"/>
        <v>-</v>
      </c>
      <c r="BH58" s="54" t="str">
        <f t="shared" si="36"/>
        <v>-</v>
      </c>
      <c r="BI58" s="54" t="str">
        <f t="shared" si="37"/>
        <v>-</v>
      </c>
      <c r="BJ58" s="54" t="str">
        <f t="shared" si="38"/>
        <v>-</v>
      </c>
      <c r="BK58" s="58"/>
    </row>
    <row r="59" spans="1:63" x14ac:dyDescent="0.25">
      <c r="B59" s="62">
        <f>SUMIFS(Areas!J:J,Areas!$A:$A,Rios!$A59)</f>
        <v>0</v>
      </c>
      <c r="C59" s="62">
        <f>SUMIFS(Areas!K:K,Areas!$A:$A,Rios!$A59)</f>
        <v>0</v>
      </c>
      <c r="D59" s="62">
        <f>SUMIFS(Areas!L:L,Areas!$A:$A,Rios!$A59)</f>
        <v>0</v>
      </c>
      <c r="E59" s="62">
        <f>SUMIFS(Areas!M:M,Areas!$A:$A,Rios!$A59)</f>
        <v>0</v>
      </c>
      <c r="F59" s="40" t="str">
        <f>IF($A59&lt;&gt;"",VLOOKUP(Rios!$A59,Areas!$A:$I,F$2,FALSE),"-")</f>
        <v>-</v>
      </c>
      <c r="G59" t="str">
        <f>IF($A59&lt;&gt;"",VLOOKUP(Rios!$A59,Areas!$A:$I,G$2,FALSE),"-")</f>
        <v>-</v>
      </c>
      <c r="H59" s="40" t="str">
        <f>IF($A59&lt;&gt;"",VLOOKUP(Rios!$A59,Areas!$A:$I,H$2,FALSE),"-")</f>
        <v>-</v>
      </c>
      <c r="J59" s="48">
        <v>0</v>
      </c>
      <c r="L59" s="54" t="str">
        <f t="shared" si="21"/>
        <v>-</v>
      </c>
      <c r="M59" s="54" t="str">
        <f t="shared" si="22"/>
        <v>-</v>
      </c>
      <c r="N59" s="54" t="str">
        <f t="shared" si="23"/>
        <v>-</v>
      </c>
      <c r="O59" s="54" t="str">
        <f t="shared" si="24"/>
        <v>-</v>
      </c>
      <c r="Q59" s="54" t="str">
        <f>IF($J59&gt;0,ROUNDUP((L59*Constraints!$D$3/$J59/100)+L59,0),"-")</f>
        <v>-</v>
      </c>
      <c r="R59" s="54" t="str">
        <f>IF($J59&gt;0,ROUNDUP((M59*Constraints!$D$3/$J59/100)+M59,0),"-")</f>
        <v>-</v>
      </c>
      <c r="S59" s="54" t="str">
        <f>IF($J59&gt;0,ROUNDUP((N59*Constraints!$D$3/$J59/100)+N59,0),"-")</f>
        <v>-</v>
      </c>
      <c r="T59" s="54" t="str">
        <f>IF($J59&gt;0,ROUNDUP((O59*Constraints!$D$3/$J59/100)+O59,0),"-")</f>
        <v>-</v>
      </c>
      <c r="V59" s="54" t="str">
        <f>IF($J59&gt;0,ROUNDUP((Q59*Constraints!$D$4/$J59/100)+Q59,0),"-")</f>
        <v>-</v>
      </c>
      <c r="W59" s="54" t="str">
        <f>IF($J59&gt;0,ROUNDUP((R59*Constraints!$D$4/$J59/100)+R59,0),"-")</f>
        <v>-</v>
      </c>
      <c r="X59" s="54" t="str">
        <f>IF($J59&gt;0,ROUNDUP((S59*Constraints!$D$4/$J59/100)+S59,0),"-")</f>
        <v>-</v>
      </c>
      <c r="Y59" s="54" t="str">
        <f>IF($J59&gt;0,ROUNDUP((T59*Constraints!$D$4/$J59/100)+T59,0),"-")</f>
        <v>-</v>
      </c>
      <c r="AA59" s="25">
        <f t="shared" si="20"/>
        <v>0</v>
      </c>
      <c r="AB59" s="110" t="str">
        <f>IF(AA59&gt;Constraints!$D$5,Rios!AA59-Constraints!$D$5,"-")</f>
        <v>-</v>
      </c>
      <c r="AD59" s="30" t="str">
        <f t="shared" si="25"/>
        <v>-</v>
      </c>
      <c r="AE59" s="30" t="str">
        <f t="shared" si="26"/>
        <v>-</v>
      </c>
      <c r="AF59" s="30" t="str">
        <f t="shared" si="27"/>
        <v>-</v>
      </c>
      <c r="AG59" s="30" t="str">
        <f t="shared" si="28"/>
        <v>-</v>
      </c>
      <c r="AI59" s="25">
        <f t="shared" si="18"/>
        <v>0</v>
      </c>
      <c r="AJ59" s="110" t="str">
        <f>IF(AI59&gt;Constraints!$D$6,Rios!AI59-Constraints!$D$6,"-")</f>
        <v>-</v>
      </c>
      <c r="AL59" s="25" t="str">
        <f>IF(AM59&lt;&gt;"",VLOOKUP(AM59,Constraints!I:J,2,FALSE),"")</f>
        <v/>
      </c>
      <c r="AM59" s="105"/>
      <c r="AN59" s="30" t="str">
        <f>IF($AL59&lt;&gt;"",VLOOKUP($AL59,Constraints!$H:$V,4,FALSE),"-")</f>
        <v>-</v>
      </c>
      <c r="AO59" s="30" t="str">
        <f>IF($AL59&lt;&gt;"",VLOOKUP($AL59,Constraints!$H:$V,7,FALSE),"-")</f>
        <v>-</v>
      </c>
      <c r="AP59" s="30" t="str">
        <f>IF($AL59&lt;&gt;"",VLOOKUP($AL59,Constraints!$H:$V,10,FALSE),"-")</f>
        <v>-</v>
      </c>
      <c r="AQ59" s="30" t="str">
        <f>IF($AL59&lt;&gt;"",VLOOKUP($AL59,Constraints!$H:$V,13,FALSE),"-")</f>
        <v>-</v>
      </c>
      <c r="AS59" s="54" t="str">
        <f>IF($AL59&lt;&gt;"",VLOOKUP($AL59,Constraints!$H:$AG,23,FALSE),"-")</f>
        <v>-</v>
      </c>
      <c r="AT59" s="54" t="str">
        <f>IF($AL59&lt;&gt;"",VLOOKUP($AL59,Constraints!$H:$AG,24,FALSE),"-")</f>
        <v>-</v>
      </c>
      <c r="AU59" s="54" t="str">
        <f>IF($AL59&lt;&gt;"",VLOOKUP($AL59,Constraints!$H:$AG,25,FALSE),"-")</f>
        <v>-</v>
      </c>
      <c r="AV59" s="54" t="str">
        <f>IF($AL59&lt;&gt;"",VLOOKUP($AL59,Constraints!$H:$AG,26,FALSE),"-")</f>
        <v>-</v>
      </c>
      <c r="AX59" s="30" t="str">
        <f t="shared" si="29"/>
        <v>na</v>
      </c>
      <c r="AY59" s="30" t="str">
        <f t="shared" si="30"/>
        <v>na</v>
      </c>
      <c r="AZ59" s="30" t="str">
        <f t="shared" si="31"/>
        <v>na</v>
      </c>
      <c r="BA59" s="30" t="str">
        <f t="shared" si="32"/>
        <v>na</v>
      </c>
      <c r="BC59" s="18" t="str">
        <f t="shared" si="19"/>
        <v>-</v>
      </c>
      <c r="BD59" s="18" t="str">
        <f t="shared" si="33"/>
        <v>-</v>
      </c>
      <c r="BE59" s="18" t="str">
        <f t="shared" si="34"/>
        <v>-</v>
      </c>
      <c r="BG59" s="54" t="str">
        <f t="shared" si="35"/>
        <v>-</v>
      </c>
      <c r="BH59" s="54" t="str">
        <f t="shared" si="36"/>
        <v>-</v>
      </c>
      <c r="BI59" s="54" t="str">
        <f t="shared" si="37"/>
        <v>-</v>
      </c>
      <c r="BJ59" s="54" t="str">
        <f t="shared" si="38"/>
        <v>-</v>
      </c>
      <c r="BK59" s="58"/>
    </row>
    <row r="60" spans="1:63" x14ac:dyDescent="0.25">
      <c r="B60" s="62">
        <f>SUMIFS(Areas!J:J,Areas!$A:$A,Rios!$A60)</f>
        <v>0</v>
      </c>
      <c r="C60" s="62">
        <f>SUMIFS(Areas!K:K,Areas!$A:$A,Rios!$A60)</f>
        <v>0</v>
      </c>
      <c r="D60" s="62">
        <f>SUMIFS(Areas!L:L,Areas!$A:$A,Rios!$A60)</f>
        <v>0</v>
      </c>
      <c r="E60" s="62">
        <f>SUMIFS(Areas!M:M,Areas!$A:$A,Rios!$A60)</f>
        <v>0</v>
      </c>
      <c r="F60" s="40" t="str">
        <f>IF($A60&lt;&gt;"",VLOOKUP(Rios!$A60,Areas!$A:$I,F$2,FALSE),"-")</f>
        <v>-</v>
      </c>
      <c r="G60" t="str">
        <f>IF($A60&lt;&gt;"",VLOOKUP(Rios!$A60,Areas!$A:$I,G$2,FALSE),"-")</f>
        <v>-</v>
      </c>
      <c r="H60" s="40" t="str">
        <f>IF($A60&lt;&gt;"",VLOOKUP(Rios!$A60,Areas!$A:$I,H$2,FALSE),"-")</f>
        <v>-</v>
      </c>
      <c r="J60" s="48">
        <v>0</v>
      </c>
      <c r="L60" s="54" t="str">
        <f t="shared" si="21"/>
        <v>-</v>
      </c>
      <c r="M60" s="54" t="str">
        <f t="shared" si="22"/>
        <v>-</v>
      </c>
      <c r="N60" s="54" t="str">
        <f t="shared" si="23"/>
        <v>-</v>
      </c>
      <c r="O60" s="54" t="str">
        <f t="shared" si="24"/>
        <v>-</v>
      </c>
      <c r="Q60" s="54" t="str">
        <f>IF($J60&gt;0,ROUNDUP((L60*Constraints!$D$3/$J60/100)+L60,0),"-")</f>
        <v>-</v>
      </c>
      <c r="R60" s="54" t="str">
        <f>IF($J60&gt;0,ROUNDUP((M60*Constraints!$D$3/$J60/100)+M60,0),"-")</f>
        <v>-</v>
      </c>
      <c r="S60" s="54" t="str">
        <f>IF($J60&gt;0,ROUNDUP((N60*Constraints!$D$3/$J60/100)+N60,0),"-")</f>
        <v>-</v>
      </c>
      <c r="T60" s="54" t="str">
        <f>IF($J60&gt;0,ROUNDUP((O60*Constraints!$D$3/$J60/100)+O60,0),"-")</f>
        <v>-</v>
      </c>
      <c r="V60" s="54" t="str">
        <f>IF($J60&gt;0,ROUNDUP((Q60*Constraints!$D$4/$J60/100)+Q60,0),"-")</f>
        <v>-</v>
      </c>
      <c r="W60" s="54" t="str">
        <f>IF($J60&gt;0,ROUNDUP((R60*Constraints!$D$4/$J60/100)+R60,0),"-")</f>
        <v>-</v>
      </c>
      <c r="X60" s="54" t="str">
        <f>IF($J60&gt;0,ROUNDUP((S60*Constraints!$D$4/$J60/100)+S60,0),"-")</f>
        <v>-</v>
      </c>
      <c r="Y60" s="54" t="str">
        <f>IF($J60&gt;0,ROUNDUP((T60*Constraints!$D$4/$J60/100)+T60,0),"-")</f>
        <v>-</v>
      </c>
      <c r="AA60" s="25">
        <f t="shared" si="20"/>
        <v>0</v>
      </c>
      <c r="AB60" s="110" t="str">
        <f>IF(AA60&gt;Constraints!$D$5,Rios!AA60-Constraints!$D$5,"-")</f>
        <v>-</v>
      </c>
      <c r="AD60" s="30" t="str">
        <f t="shared" si="25"/>
        <v>-</v>
      </c>
      <c r="AE60" s="30" t="str">
        <f t="shared" si="26"/>
        <v>-</v>
      </c>
      <c r="AF60" s="30" t="str">
        <f t="shared" si="27"/>
        <v>-</v>
      </c>
      <c r="AG60" s="30" t="str">
        <f t="shared" si="28"/>
        <v>-</v>
      </c>
      <c r="AI60" s="25">
        <f t="shared" si="18"/>
        <v>0</v>
      </c>
      <c r="AJ60" s="110" t="str">
        <f>IF(AI60&gt;Constraints!$D$6,Rios!AI60-Constraints!$D$6,"-")</f>
        <v>-</v>
      </c>
      <c r="AL60" s="25" t="str">
        <f>IF(AM60&lt;&gt;"",VLOOKUP(AM60,Constraints!I:J,2,FALSE),"")</f>
        <v/>
      </c>
      <c r="AM60" s="105"/>
      <c r="AN60" s="30" t="str">
        <f>IF($AL60&lt;&gt;"",VLOOKUP($AL60,Constraints!$H:$V,4,FALSE),"-")</f>
        <v>-</v>
      </c>
      <c r="AO60" s="30" t="str">
        <f>IF($AL60&lt;&gt;"",VLOOKUP($AL60,Constraints!$H:$V,7,FALSE),"-")</f>
        <v>-</v>
      </c>
      <c r="AP60" s="30" t="str">
        <f>IF($AL60&lt;&gt;"",VLOOKUP($AL60,Constraints!$H:$V,10,FALSE),"-")</f>
        <v>-</v>
      </c>
      <c r="AQ60" s="30" t="str">
        <f>IF($AL60&lt;&gt;"",VLOOKUP($AL60,Constraints!$H:$V,13,FALSE),"-")</f>
        <v>-</v>
      </c>
      <c r="AS60" s="54" t="str">
        <f>IF($AL60&lt;&gt;"",VLOOKUP($AL60,Constraints!$H:$AG,23,FALSE),"-")</f>
        <v>-</v>
      </c>
      <c r="AT60" s="54" t="str">
        <f>IF($AL60&lt;&gt;"",VLOOKUP($AL60,Constraints!$H:$AG,24,FALSE),"-")</f>
        <v>-</v>
      </c>
      <c r="AU60" s="54" t="str">
        <f>IF($AL60&lt;&gt;"",VLOOKUP($AL60,Constraints!$H:$AG,25,FALSE),"-")</f>
        <v>-</v>
      </c>
      <c r="AV60" s="54" t="str">
        <f>IF($AL60&lt;&gt;"",VLOOKUP($AL60,Constraints!$H:$AG,26,FALSE),"-")</f>
        <v>-</v>
      </c>
      <c r="AX60" s="30" t="str">
        <f t="shared" si="29"/>
        <v>na</v>
      </c>
      <c r="AY60" s="30" t="str">
        <f t="shared" si="30"/>
        <v>na</v>
      </c>
      <c r="AZ60" s="30" t="str">
        <f t="shared" si="31"/>
        <v>na</v>
      </c>
      <c r="BA60" s="30" t="str">
        <f t="shared" si="32"/>
        <v>na</v>
      </c>
      <c r="BC60" s="18" t="str">
        <f t="shared" si="19"/>
        <v>-</v>
      </c>
      <c r="BD60" s="18" t="str">
        <f t="shared" si="33"/>
        <v>-</v>
      </c>
      <c r="BE60" s="18" t="str">
        <f t="shared" si="34"/>
        <v>-</v>
      </c>
      <c r="BG60" s="54" t="str">
        <f t="shared" si="35"/>
        <v>-</v>
      </c>
      <c r="BH60" s="54" t="str">
        <f t="shared" si="36"/>
        <v>-</v>
      </c>
      <c r="BI60" s="54" t="str">
        <f t="shared" si="37"/>
        <v>-</v>
      </c>
      <c r="BJ60" s="54" t="str">
        <f t="shared" si="38"/>
        <v>-</v>
      </c>
      <c r="BK60" s="58"/>
    </row>
    <row r="61" spans="1:63" x14ac:dyDescent="0.25">
      <c r="B61" s="62">
        <f>SUMIFS(Areas!J:J,Areas!$A:$A,Rios!$A61)</f>
        <v>0</v>
      </c>
      <c r="C61" s="62">
        <f>SUMIFS(Areas!K:K,Areas!$A:$A,Rios!$A61)</f>
        <v>0</v>
      </c>
      <c r="D61" s="62">
        <f>SUMIFS(Areas!L:L,Areas!$A:$A,Rios!$A61)</f>
        <v>0</v>
      </c>
      <c r="E61" s="62">
        <f>SUMIFS(Areas!M:M,Areas!$A:$A,Rios!$A61)</f>
        <v>0</v>
      </c>
      <c r="F61" s="40" t="str">
        <f>IF($A61&lt;&gt;"",VLOOKUP(Rios!$A61,Areas!$A:$I,F$2,FALSE),"-")</f>
        <v>-</v>
      </c>
      <c r="G61" t="str">
        <f>IF($A61&lt;&gt;"",VLOOKUP(Rios!$A61,Areas!$A:$I,G$2,FALSE),"-")</f>
        <v>-</v>
      </c>
      <c r="H61" s="40" t="str">
        <f>IF($A61&lt;&gt;"",VLOOKUP(Rios!$A61,Areas!$A:$I,H$2,FALSE),"-")</f>
        <v>-</v>
      </c>
      <c r="J61" s="48">
        <v>0</v>
      </c>
      <c r="L61" s="54" t="str">
        <f t="shared" si="21"/>
        <v>-</v>
      </c>
      <c r="M61" s="54" t="str">
        <f t="shared" si="22"/>
        <v>-</v>
      </c>
      <c r="N61" s="54" t="str">
        <f t="shared" si="23"/>
        <v>-</v>
      </c>
      <c r="O61" s="54" t="str">
        <f t="shared" si="24"/>
        <v>-</v>
      </c>
      <c r="Q61" s="54" t="str">
        <f>IF($J61&gt;0,ROUNDUP((L61*Constraints!$D$3/$J61/100)+L61,0),"-")</f>
        <v>-</v>
      </c>
      <c r="R61" s="54" t="str">
        <f>IF($J61&gt;0,ROUNDUP((M61*Constraints!$D$3/$J61/100)+M61,0),"-")</f>
        <v>-</v>
      </c>
      <c r="S61" s="54" t="str">
        <f>IF($J61&gt;0,ROUNDUP((N61*Constraints!$D$3/$J61/100)+N61,0),"-")</f>
        <v>-</v>
      </c>
      <c r="T61" s="54" t="str">
        <f>IF($J61&gt;0,ROUNDUP((O61*Constraints!$D$3/$J61/100)+O61,0),"-")</f>
        <v>-</v>
      </c>
      <c r="V61" s="54" t="str">
        <f>IF($J61&gt;0,ROUNDUP((Q61*Constraints!$D$4/$J61/100)+Q61,0),"-")</f>
        <v>-</v>
      </c>
      <c r="W61" s="54" t="str">
        <f>IF($J61&gt;0,ROUNDUP((R61*Constraints!$D$4/$J61/100)+R61,0),"-")</f>
        <v>-</v>
      </c>
      <c r="X61" s="54" t="str">
        <f>IF($J61&gt;0,ROUNDUP((S61*Constraints!$D$4/$J61/100)+S61,0),"-")</f>
        <v>-</v>
      </c>
      <c r="Y61" s="54" t="str">
        <f>IF($J61&gt;0,ROUNDUP((T61*Constraints!$D$4/$J61/100)+T61,0),"-")</f>
        <v>-</v>
      </c>
      <c r="AA61" s="25">
        <f t="shared" si="20"/>
        <v>0</v>
      </c>
      <c r="AB61" s="110" t="str">
        <f>IF(AA61&gt;Constraints!$D$5,Rios!AA61-Constraints!$D$5,"-")</f>
        <v>-</v>
      </c>
      <c r="AD61" s="30" t="str">
        <f t="shared" si="25"/>
        <v>-</v>
      </c>
      <c r="AE61" s="30" t="str">
        <f t="shared" si="26"/>
        <v>-</v>
      </c>
      <c r="AF61" s="30" t="str">
        <f t="shared" si="27"/>
        <v>-</v>
      </c>
      <c r="AG61" s="30" t="str">
        <f t="shared" si="28"/>
        <v>-</v>
      </c>
      <c r="AI61" s="25">
        <f t="shared" si="18"/>
        <v>0</v>
      </c>
      <c r="AJ61" s="110" t="str">
        <f>IF(AI61&gt;Constraints!$D$6,Rios!AI61-Constraints!$D$6,"-")</f>
        <v>-</v>
      </c>
      <c r="AL61" s="25" t="str">
        <f>IF(AM61&lt;&gt;"",VLOOKUP(AM61,Constraints!I:J,2,FALSE),"")</f>
        <v/>
      </c>
      <c r="AM61" s="105"/>
      <c r="AN61" s="30" t="str">
        <f>IF($AL61&lt;&gt;"",VLOOKUP($AL61,Constraints!$H:$V,4,FALSE),"-")</f>
        <v>-</v>
      </c>
      <c r="AO61" s="30" t="str">
        <f>IF($AL61&lt;&gt;"",VLOOKUP($AL61,Constraints!$H:$V,7,FALSE),"-")</f>
        <v>-</v>
      </c>
      <c r="AP61" s="30" t="str">
        <f>IF($AL61&lt;&gt;"",VLOOKUP($AL61,Constraints!$H:$V,10,FALSE),"-")</f>
        <v>-</v>
      </c>
      <c r="AQ61" s="30" t="str">
        <f>IF($AL61&lt;&gt;"",VLOOKUP($AL61,Constraints!$H:$V,13,FALSE),"-")</f>
        <v>-</v>
      </c>
      <c r="AS61" s="54" t="str">
        <f>IF($AL61&lt;&gt;"",VLOOKUP($AL61,Constraints!$H:$AG,23,FALSE),"-")</f>
        <v>-</v>
      </c>
      <c r="AT61" s="54" t="str">
        <f>IF($AL61&lt;&gt;"",VLOOKUP($AL61,Constraints!$H:$AG,24,FALSE),"-")</f>
        <v>-</v>
      </c>
      <c r="AU61" s="54" t="str">
        <f>IF($AL61&lt;&gt;"",VLOOKUP($AL61,Constraints!$H:$AG,25,FALSE),"-")</f>
        <v>-</v>
      </c>
      <c r="AV61" s="54" t="str">
        <f>IF($AL61&lt;&gt;"",VLOOKUP($AL61,Constraints!$H:$AG,26,FALSE),"-")</f>
        <v>-</v>
      </c>
      <c r="AX61" s="30" t="str">
        <f t="shared" si="29"/>
        <v>na</v>
      </c>
      <c r="AY61" s="30" t="str">
        <f t="shared" si="30"/>
        <v>na</v>
      </c>
      <c r="AZ61" s="30" t="str">
        <f t="shared" si="31"/>
        <v>na</v>
      </c>
      <c r="BA61" s="30" t="str">
        <f t="shared" si="32"/>
        <v>na</v>
      </c>
      <c r="BC61" s="18" t="str">
        <f t="shared" si="19"/>
        <v>-</v>
      </c>
      <c r="BD61" s="18" t="str">
        <f t="shared" si="33"/>
        <v>-</v>
      </c>
      <c r="BE61" s="18" t="str">
        <f t="shared" si="34"/>
        <v>-</v>
      </c>
      <c r="BG61" s="54" t="str">
        <f t="shared" si="35"/>
        <v>-</v>
      </c>
      <c r="BH61" s="54" t="str">
        <f t="shared" si="36"/>
        <v>-</v>
      </c>
      <c r="BI61" s="54" t="str">
        <f t="shared" si="37"/>
        <v>-</v>
      </c>
      <c r="BJ61" s="54" t="str">
        <f t="shared" si="38"/>
        <v>-</v>
      </c>
      <c r="BK61" s="58"/>
    </row>
    <row r="62" spans="1:63" x14ac:dyDescent="0.25">
      <c r="B62" s="62">
        <f>SUMIFS(Areas!J:J,Areas!$A:$A,Rios!$A62)</f>
        <v>0</v>
      </c>
      <c r="C62" s="62">
        <f>SUMIFS(Areas!K:K,Areas!$A:$A,Rios!$A62)</f>
        <v>0</v>
      </c>
      <c r="D62" s="62">
        <f>SUMIFS(Areas!L:L,Areas!$A:$A,Rios!$A62)</f>
        <v>0</v>
      </c>
      <c r="E62" s="62">
        <f>SUMIFS(Areas!M:M,Areas!$A:$A,Rios!$A62)</f>
        <v>0</v>
      </c>
      <c r="F62" s="40" t="str">
        <f>IF($A62&lt;&gt;"",VLOOKUP(Rios!$A62,Areas!$A:$I,F$2,FALSE),"-")</f>
        <v>-</v>
      </c>
      <c r="G62" t="str">
        <f>IF($A62&lt;&gt;"",VLOOKUP(Rios!$A62,Areas!$A:$I,G$2,FALSE),"-")</f>
        <v>-</v>
      </c>
      <c r="H62" s="40" t="str">
        <f>IF($A62&lt;&gt;"",VLOOKUP(Rios!$A62,Areas!$A:$I,H$2,FALSE),"-")</f>
        <v>-</v>
      </c>
      <c r="J62" s="48">
        <v>0</v>
      </c>
      <c r="L62" s="54" t="str">
        <f t="shared" si="21"/>
        <v>-</v>
      </c>
      <c r="M62" s="54" t="str">
        <f t="shared" si="22"/>
        <v>-</v>
      </c>
      <c r="N62" s="54" t="str">
        <f t="shared" si="23"/>
        <v>-</v>
      </c>
      <c r="O62" s="54" t="str">
        <f t="shared" si="24"/>
        <v>-</v>
      </c>
      <c r="Q62" s="54" t="str">
        <f>IF($J62&gt;0,ROUNDUP((L62*Constraints!$D$3/$J62/100)+L62,0),"-")</f>
        <v>-</v>
      </c>
      <c r="R62" s="54" t="str">
        <f>IF($J62&gt;0,ROUNDUP((M62*Constraints!$D$3/$J62/100)+M62,0),"-")</f>
        <v>-</v>
      </c>
      <c r="S62" s="54" t="str">
        <f>IF($J62&gt;0,ROUNDUP((N62*Constraints!$D$3/$J62/100)+N62,0),"-")</f>
        <v>-</v>
      </c>
      <c r="T62" s="54" t="str">
        <f>IF($J62&gt;0,ROUNDUP((O62*Constraints!$D$3/$J62/100)+O62,0),"-")</f>
        <v>-</v>
      </c>
      <c r="V62" s="54" t="str">
        <f>IF($J62&gt;0,ROUNDUP((Q62*Constraints!$D$4/$J62/100)+Q62,0),"-")</f>
        <v>-</v>
      </c>
      <c r="W62" s="54" t="str">
        <f>IF($J62&gt;0,ROUNDUP((R62*Constraints!$D$4/$J62/100)+R62,0),"-")</f>
        <v>-</v>
      </c>
      <c r="X62" s="54" t="str">
        <f>IF($J62&gt;0,ROUNDUP((S62*Constraints!$D$4/$J62/100)+S62,0),"-")</f>
        <v>-</v>
      </c>
      <c r="Y62" s="54" t="str">
        <f>IF($J62&gt;0,ROUNDUP((T62*Constraints!$D$4/$J62/100)+T62,0),"-")</f>
        <v>-</v>
      </c>
      <c r="AA62" s="25">
        <f t="shared" si="20"/>
        <v>0</v>
      </c>
      <c r="AB62" s="110" t="str">
        <f>IF(AA62&gt;Constraints!$D$5,Rios!AA62-Constraints!$D$5,"-")</f>
        <v>-</v>
      </c>
      <c r="AD62" s="30" t="str">
        <f t="shared" si="25"/>
        <v>-</v>
      </c>
      <c r="AE62" s="30" t="str">
        <f t="shared" si="26"/>
        <v>-</v>
      </c>
      <c r="AF62" s="30" t="str">
        <f t="shared" si="27"/>
        <v>-</v>
      </c>
      <c r="AG62" s="30" t="str">
        <f t="shared" si="28"/>
        <v>-</v>
      </c>
      <c r="AI62" s="25">
        <f t="shared" si="18"/>
        <v>0</v>
      </c>
      <c r="AJ62" s="110" t="str">
        <f>IF(AI62&gt;Constraints!$D$6,Rios!AI62-Constraints!$D$6,"-")</f>
        <v>-</v>
      </c>
      <c r="AL62" s="25" t="str">
        <f>IF(AM62&lt;&gt;"",VLOOKUP(AM62,Constraints!I:J,2,FALSE),"")</f>
        <v/>
      </c>
      <c r="AM62" s="105"/>
      <c r="AN62" s="30" t="str">
        <f>IF($AL62&lt;&gt;"",VLOOKUP($AL62,Constraints!$H:$V,4,FALSE),"-")</f>
        <v>-</v>
      </c>
      <c r="AO62" s="30" t="str">
        <f>IF($AL62&lt;&gt;"",VLOOKUP($AL62,Constraints!$H:$V,7,FALSE),"-")</f>
        <v>-</v>
      </c>
      <c r="AP62" s="30" t="str">
        <f>IF($AL62&lt;&gt;"",VLOOKUP($AL62,Constraints!$H:$V,10,FALSE),"-")</f>
        <v>-</v>
      </c>
      <c r="AQ62" s="30" t="str">
        <f>IF($AL62&lt;&gt;"",VLOOKUP($AL62,Constraints!$H:$V,13,FALSE),"-")</f>
        <v>-</v>
      </c>
      <c r="AS62" s="54" t="str">
        <f>IF($AL62&lt;&gt;"",VLOOKUP($AL62,Constraints!$H:$AG,23,FALSE),"-")</f>
        <v>-</v>
      </c>
      <c r="AT62" s="54" t="str">
        <f>IF($AL62&lt;&gt;"",VLOOKUP($AL62,Constraints!$H:$AG,24,FALSE),"-")</f>
        <v>-</v>
      </c>
      <c r="AU62" s="54" t="str">
        <f>IF($AL62&lt;&gt;"",VLOOKUP($AL62,Constraints!$H:$AG,25,FALSE),"-")</f>
        <v>-</v>
      </c>
      <c r="AV62" s="54" t="str">
        <f>IF($AL62&lt;&gt;"",VLOOKUP($AL62,Constraints!$H:$AG,26,FALSE),"-")</f>
        <v>-</v>
      </c>
      <c r="AX62" s="30" t="str">
        <f t="shared" si="29"/>
        <v>na</v>
      </c>
      <c r="AY62" s="30" t="str">
        <f t="shared" si="30"/>
        <v>na</v>
      </c>
      <c r="AZ62" s="30" t="str">
        <f t="shared" si="31"/>
        <v>na</v>
      </c>
      <c r="BA62" s="30" t="str">
        <f t="shared" si="32"/>
        <v>na</v>
      </c>
      <c r="BC62" s="18" t="str">
        <f t="shared" si="19"/>
        <v>-</v>
      </c>
      <c r="BD62" s="18" t="str">
        <f t="shared" si="33"/>
        <v>-</v>
      </c>
      <c r="BE62" s="18" t="str">
        <f t="shared" si="34"/>
        <v>-</v>
      </c>
      <c r="BG62" s="54" t="str">
        <f t="shared" si="35"/>
        <v>-</v>
      </c>
      <c r="BH62" s="54" t="str">
        <f t="shared" si="36"/>
        <v>-</v>
      </c>
      <c r="BI62" s="54" t="str">
        <f t="shared" si="37"/>
        <v>-</v>
      </c>
      <c r="BJ62" s="54" t="str">
        <f t="shared" si="38"/>
        <v>-</v>
      </c>
      <c r="BK62" s="58"/>
    </row>
    <row r="63" spans="1:63" x14ac:dyDescent="0.25">
      <c r="B63" s="62">
        <f>SUMIFS(Areas!J:J,Areas!$A:$A,Rios!$A63)</f>
        <v>0</v>
      </c>
      <c r="C63" s="62">
        <f>SUMIFS(Areas!K:K,Areas!$A:$A,Rios!$A63)</f>
        <v>0</v>
      </c>
      <c r="D63" s="62">
        <f>SUMIFS(Areas!L:L,Areas!$A:$A,Rios!$A63)</f>
        <v>0</v>
      </c>
      <c r="E63" s="62">
        <f>SUMIFS(Areas!M:M,Areas!$A:$A,Rios!$A63)</f>
        <v>0</v>
      </c>
      <c r="F63" s="40" t="str">
        <f>IF($A63&lt;&gt;"",VLOOKUP(Rios!$A63,Areas!$A:$I,F$2,FALSE),"-")</f>
        <v>-</v>
      </c>
      <c r="G63" t="str">
        <f>IF($A63&lt;&gt;"",VLOOKUP(Rios!$A63,Areas!$A:$I,G$2,FALSE),"-")</f>
        <v>-</v>
      </c>
      <c r="H63" s="40" t="str">
        <f>IF($A63&lt;&gt;"",VLOOKUP(Rios!$A63,Areas!$A:$I,H$2,FALSE),"-")</f>
        <v>-</v>
      </c>
      <c r="J63" s="48">
        <v>0</v>
      </c>
      <c r="L63" s="54" t="str">
        <f t="shared" si="21"/>
        <v>-</v>
      </c>
      <c r="M63" s="54" t="str">
        <f t="shared" si="22"/>
        <v>-</v>
      </c>
      <c r="N63" s="54" t="str">
        <f t="shared" si="23"/>
        <v>-</v>
      </c>
      <c r="O63" s="54" t="str">
        <f t="shared" si="24"/>
        <v>-</v>
      </c>
      <c r="Q63" s="54" t="str">
        <f>IF($J63&gt;0,ROUNDUP((L63*Constraints!$D$3/$J63/100)+L63,0),"-")</f>
        <v>-</v>
      </c>
      <c r="R63" s="54" t="str">
        <f>IF($J63&gt;0,ROUNDUP((M63*Constraints!$D$3/$J63/100)+M63,0),"-")</f>
        <v>-</v>
      </c>
      <c r="S63" s="54" t="str">
        <f>IF($J63&gt;0,ROUNDUP((N63*Constraints!$D$3/$J63/100)+N63,0),"-")</f>
        <v>-</v>
      </c>
      <c r="T63" s="54" t="str">
        <f>IF($J63&gt;0,ROUNDUP((O63*Constraints!$D$3/$J63/100)+O63,0),"-")</f>
        <v>-</v>
      </c>
      <c r="V63" s="54" t="str">
        <f>IF($J63&gt;0,ROUNDUP((Q63*Constraints!$D$4/$J63/100)+Q63,0),"-")</f>
        <v>-</v>
      </c>
      <c r="W63" s="54" t="str">
        <f>IF($J63&gt;0,ROUNDUP((R63*Constraints!$D$4/$J63/100)+R63,0),"-")</f>
        <v>-</v>
      </c>
      <c r="X63" s="54" t="str">
        <f>IF($J63&gt;0,ROUNDUP((S63*Constraints!$D$4/$J63/100)+S63,0),"-")</f>
        <v>-</v>
      </c>
      <c r="Y63" s="54" t="str">
        <f>IF($J63&gt;0,ROUNDUP((T63*Constraints!$D$4/$J63/100)+T63,0),"-")</f>
        <v>-</v>
      </c>
      <c r="AA63" s="25">
        <f t="shared" si="20"/>
        <v>0</v>
      </c>
      <c r="AB63" s="110" t="str">
        <f>IF(AA63&gt;Constraints!$D$5,Rios!AA63-Constraints!$D$5,"-")</f>
        <v>-</v>
      </c>
      <c r="AD63" s="30" t="str">
        <f t="shared" si="25"/>
        <v>-</v>
      </c>
      <c r="AE63" s="30" t="str">
        <f t="shared" si="26"/>
        <v>-</v>
      </c>
      <c r="AF63" s="30" t="str">
        <f t="shared" si="27"/>
        <v>-</v>
      </c>
      <c r="AG63" s="30" t="str">
        <f t="shared" si="28"/>
        <v>-</v>
      </c>
      <c r="AI63" s="25">
        <f t="shared" si="18"/>
        <v>0</v>
      </c>
      <c r="AJ63" s="110" t="str">
        <f>IF(AI63&gt;Constraints!$D$6,Rios!AI63-Constraints!$D$6,"-")</f>
        <v>-</v>
      </c>
      <c r="AL63" s="25" t="str">
        <f>IF(AM63&lt;&gt;"",VLOOKUP(AM63,Constraints!I:J,2,FALSE),"")</f>
        <v/>
      </c>
      <c r="AM63" s="105"/>
      <c r="AN63" s="30" t="str">
        <f>IF($AL63&lt;&gt;"",VLOOKUP($AL63,Constraints!$H:$V,4,FALSE),"-")</f>
        <v>-</v>
      </c>
      <c r="AO63" s="30" t="str">
        <f>IF($AL63&lt;&gt;"",VLOOKUP($AL63,Constraints!$H:$V,7,FALSE),"-")</f>
        <v>-</v>
      </c>
      <c r="AP63" s="30" t="str">
        <f>IF($AL63&lt;&gt;"",VLOOKUP($AL63,Constraints!$H:$V,10,FALSE),"-")</f>
        <v>-</v>
      </c>
      <c r="AQ63" s="30" t="str">
        <f>IF($AL63&lt;&gt;"",VLOOKUP($AL63,Constraints!$H:$V,13,FALSE),"-")</f>
        <v>-</v>
      </c>
      <c r="AS63" s="54" t="str">
        <f>IF($AL63&lt;&gt;"",VLOOKUP($AL63,Constraints!$H:$AG,23,FALSE),"-")</f>
        <v>-</v>
      </c>
      <c r="AT63" s="54" t="str">
        <f>IF($AL63&lt;&gt;"",VLOOKUP($AL63,Constraints!$H:$AG,24,FALSE),"-")</f>
        <v>-</v>
      </c>
      <c r="AU63" s="54" t="str">
        <f>IF($AL63&lt;&gt;"",VLOOKUP($AL63,Constraints!$H:$AG,25,FALSE),"-")</f>
        <v>-</v>
      </c>
      <c r="AV63" s="54" t="str">
        <f>IF($AL63&lt;&gt;"",VLOOKUP($AL63,Constraints!$H:$AG,26,FALSE),"-")</f>
        <v>-</v>
      </c>
      <c r="AX63" s="30" t="str">
        <f t="shared" si="29"/>
        <v>na</v>
      </c>
      <c r="AY63" s="30" t="str">
        <f t="shared" si="30"/>
        <v>na</v>
      </c>
      <c r="AZ63" s="30" t="str">
        <f t="shared" si="31"/>
        <v>na</v>
      </c>
      <c r="BA63" s="30" t="str">
        <f t="shared" si="32"/>
        <v>na</v>
      </c>
      <c r="BC63" s="18" t="str">
        <f t="shared" si="19"/>
        <v>-</v>
      </c>
      <c r="BD63" s="18" t="str">
        <f t="shared" si="33"/>
        <v>-</v>
      </c>
      <c r="BE63" s="18" t="str">
        <f t="shared" si="34"/>
        <v>-</v>
      </c>
      <c r="BG63" s="54" t="str">
        <f t="shared" si="35"/>
        <v>-</v>
      </c>
      <c r="BH63" s="54" t="str">
        <f t="shared" si="36"/>
        <v>-</v>
      </c>
      <c r="BI63" s="54" t="str">
        <f t="shared" si="37"/>
        <v>-</v>
      </c>
      <c r="BJ63" s="54" t="str">
        <f t="shared" si="38"/>
        <v>-</v>
      </c>
      <c r="BK63" s="58"/>
    </row>
    <row r="64" spans="1:63" x14ac:dyDescent="0.25">
      <c r="B64" s="62">
        <f>SUMIFS(Areas!J:J,Areas!$A:$A,Rios!$A64)</f>
        <v>0</v>
      </c>
      <c r="C64" s="62">
        <f>SUMIFS(Areas!K:K,Areas!$A:$A,Rios!$A64)</f>
        <v>0</v>
      </c>
      <c r="D64" s="62">
        <f>SUMIFS(Areas!L:L,Areas!$A:$A,Rios!$A64)</f>
        <v>0</v>
      </c>
      <c r="E64" s="62">
        <f>SUMIFS(Areas!M:M,Areas!$A:$A,Rios!$A64)</f>
        <v>0</v>
      </c>
      <c r="F64" s="40" t="str">
        <f>IF($A64&lt;&gt;"",VLOOKUP(Rios!$A64,Areas!$A:$I,F$2,FALSE),"-")</f>
        <v>-</v>
      </c>
      <c r="G64" t="str">
        <f>IF($A64&lt;&gt;"",VLOOKUP(Rios!$A64,Areas!$A:$I,G$2,FALSE),"-")</f>
        <v>-</v>
      </c>
      <c r="H64" s="40" t="str">
        <f>IF($A64&lt;&gt;"",VLOOKUP(Rios!$A64,Areas!$A:$I,H$2,FALSE),"-")</f>
        <v>-</v>
      </c>
      <c r="J64" s="48">
        <v>0</v>
      </c>
      <c r="L64" s="54" t="str">
        <f t="shared" si="21"/>
        <v>-</v>
      </c>
      <c r="M64" s="54" t="str">
        <f t="shared" si="22"/>
        <v>-</v>
      </c>
      <c r="N64" s="54" t="str">
        <f t="shared" si="23"/>
        <v>-</v>
      </c>
      <c r="O64" s="54" t="str">
        <f t="shared" si="24"/>
        <v>-</v>
      </c>
      <c r="Q64" s="54" t="str">
        <f>IF($J64&gt;0,ROUNDUP((L64*Constraints!$D$3/$J64/100)+L64,0),"-")</f>
        <v>-</v>
      </c>
      <c r="R64" s="54" t="str">
        <f>IF($J64&gt;0,ROUNDUP((M64*Constraints!$D$3/$J64/100)+M64,0),"-")</f>
        <v>-</v>
      </c>
      <c r="S64" s="54" t="str">
        <f>IF($J64&gt;0,ROUNDUP((N64*Constraints!$D$3/$J64/100)+N64,0),"-")</f>
        <v>-</v>
      </c>
      <c r="T64" s="54" t="str">
        <f>IF($J64&gt;0,ROUNDUP((O64*Constraints!$D$3/$J64/100)+O64,0),"-")</f>
        <v>-</v>
      </c>
      <c r="V64" s="54" t="str">
        <f>IF($J64&gt;0,ROUNDUP((Q64*Constraints!$D$4/$J64/100)+Q64,0),"-")</f>
        <v>-</v>
      </c>
      <c r="W64" s="54" t="str">
        <f>IF($J64&gt;0,ROUNDUP((R64*Constraints!$D$4/$J64/100)+R64,0),"-")</f>
        <v>-</v>
      </c>
      <c r="X64" s="54" t="str">
        <f>IF($J64&gt;0,ROUNDUP((S64*Constraints!$D$4/$J64/100)+S64,0),"-")</f>
        <v>-</v>
      </c>
      <c r="Y64" s="54" t="str">
        <f>IF($J64&gt;0,ROUNDUP((T64*Constraints!$D$4/$J64/100)+T64,0),"-")</f>
        <v>-</v>
      </c>
      <c r="AA64" s="25">
        <f t="shared" si="20"/>
        <v>0</v>
      </c>
      <c r="AB64" s="110" t="str">
        <f>IF(AA64&gt;Constraints!$D$5,Rios!AA64-Constraints!$D$5,"-")</f>
        <v>-</v>
      </c>
      <c r="AD64" s="30" t="str">
        <f t="shared" si="25"/>
        <v>-</v>
      </c>
      <c r="AE64" s="30" t="str">
        <f t="shared" si="26"/>
        <v>-</v>
      </c>
      <c r="AF64" s="30" t="str">
        <f t="shared" si="27"/>
        <v>-</v>
      </c>
      <c r="AG64" s="30" t="str">
        <f t="shared" si="28"/>
        <v>-</v>
      </c>
      <c r="AI64" s="25">
        <f t="shared" si="18"/>
        <v>0</v>
      </c>
      <c r="AJ64" s="110" t="str">
        <f>IF(AI64&gt;Constraints!$D$6,Rios!AI64-Constraints!$D$6,"-")</f>
        <v>-</v>
      </c>
      <c r="AL64" s="25" t="str">
        <f>IF(AM64&lt;&gt;"",VLOOKUP(AM64,Constraints!I:J,2,FALSE),"")</f>
        <v/>
      </c>
      <c r="AM64" s="105"/>
      <c r="AN64" s="30" t="str">
        <f>IF($AL64&lt;&gt;"",VLOOKUP($AL64,Constraints!$H:$V,4,FALSE),"-")</f>
        <v>-</v>
      </c>
      <c r="AO64" s="30" t="str">
        <f>IF($AL64&lt;&gt;"",VLOOKUP($AL64,Constraints!$H:$V,7,FALSE),"-")</f>
        <v>-</v>
      </c>
      <c r="AP64" s="30" t="str">
        <f>IF($AL64&lt;&gt;"",VLOOKUP($AL64,Constraints!$H:$V,10,FALSE),"-")</f>
        <v>-</v>
      </c>
      <c r="AQ64" s="30" t="str">
        <f>IF($AL64&lt;&gt;"",VLOOKUP($AL64,Constraints!$H:$V,13,FALSE),"-")</f>
        <v>-</v>
      </c>
      <c r="AS64" s="54" t="str">
        <f>IF($AL64&lt;&gt;"",VLOOKUP($AL64,Constraints!$H:$AG,23,FALSE),"-")</f>
        <v>-</v>
      </c>
      <c r="AT64" s="54" t="str">
        <f>IF($AL64&lt;&gt;"",VLOOKUP($AL64,Constraints!$H:$AG,24,FALSE),"-")</f>
        <v>-</v>
      </c>
      <c r="AU64" s="54" t="str">
        <f>IF($AL64&lt;&gt;"",VLOOKUP($AL64,Constraints!$H:$AG,25,FALSE),"-")</f>
        <v>-</v>
      </c>
      <c r="AV64" s="54" t="str">
        <f>IF($AL64&lt;&gt;"",VLOOKUP($AL64,Constraints!$H:$AG,26,FALSE),"-")</f>
        <v>-</v>
      </c>
      <c r="AX64" s="30" t="str">
        <f t="shared" si="29"/>
        <v>na</v>
      </c>
      <c r="AY64" s="30" t="str">
        <f t="shared" si="30"/>
        <v>na</v>
      </c>
      <c r="AZ64" s="30" t="str">
        <f t="shared" si="31"/>
        <v>na</v>
      </c>
      <c r="BA64" s="30" t="str">
        <f t="shared" si="32"/>
        <v>na</v>
      </c>
      <c r="BC64" s="18" t="str">
        <f t="shared" si="19"/>
        <v>-</v>
      </c>
      <c r="BD64" s="18" t="str">
        <f t="shared" si="33"/>
        <v>-</v>
      </c>
      <c r="BE64" s="18" t="str">
        <f t="shared" si="34"/>
        <v>-</v>
      </c>
      <c r="BG64" s="54" t="str">
        <f t="shared" si="35"/>
        <v>-</v>
      </c>
      <c r="BH64" s="54" t="str">
        <f t="shared" si="36"/>
        <v>-</v>
      </c>
      <c r="BI64" s="54" t="str">
        <f t="shared" si="37"/>
        <v>-</v>
      </c>
      <c r="BJ64" s="54" t="str">
        <f t="shared" si="38"/>
        <v>-</v>
      </c>
      <c r="BK64" s="58"/>
    </row>
    <row r="65" spans="2:63" x14ac:dyDescent="0.25">
      <c r="B65" s="62">
        <f>SUMIFS(Areas!J:J,Areas!$A:$A,Rios!$A65)</f>
        <v>0</v>
      </c>
      <c r="C65" s="62">
        <f>SUMIFS(Areas!K:K,Areas!$A:$A,Rios!$A65)</f>
        <v>0</v>
      </c>
      <c r="D65" s="62">
        <f>SUMIFS(Areas!L:L,Areas!$A:$A,Rios!$A65)</f>
        <v>0</v>
      </c>
      <c r="E65" s="62">
        <f>SUMIFS(Areas!M:M,Areas!$A:$A,Rios!$A65)</f>
        <v>0</v>
      </c>
      <c r="F65" s="40" t="str">
        <f>IF($A65&lt;&gt;"",VLOOKUP(Rios!$A65,Areas!$A:$I,F$2,FALSE),"-")</f>
        <v>-</v>
      </c>
      <c r="G65" t="str">
        <f>IF($A65&lt;&gt;"",VLOOKUP(Rios!$A65,Areas!$A:$I,G$2,FALSE),"-")</f>
        <v>-</v>
      </c>
      <c r="H65" s="40" t="str">
        <f>IF($A65&lt;&gt;"",VLOOKUP(Rios!$A65,Areas!$A:$I,H$2,FALSE),"-")</f>
        <v>-</v>
      </c>
      <c r="J65" s="48">
        <v>0</v>
      </c>
      <c r="L65" s="54" t="str">
        <f t="shared" si="21"/>
        <v>-</v>
      </c>
      <c r="M65" s="54" t="str">
        <f t="shared" si="22"/>
        <v>-</v>
      </c>
      <c r="N65" s="54" t="str">
        <f t="shared" si="23"/>
        <v>-</v>
      </c>
      <c r="O65" s="54" t="str">
        <f t="shared" si="24"/>
        <v>-</v>
      </c>
      <c r="Q65" s="54" t="str">
        <f>IF($J65&gt;0,ROUNDUP((L65*Constraints!$D$3/$J65/100)+L65,0),"-")</f>
        <v>-</v>
      </c>
      <c r="R65" s="54" t="str">
        <f>IF($J65&gt;0,ROUNDUP((M65*Constraints!$D$3/$J65/100)+M65,0),"-")</f>
        <v>-</v>
      </c>
      <c r="S65" s="54" t="str">
        <f>IF($J65&gt;0,ROUNDUP((N65*Constraints!$D$3/$J65/100)+N65,0),"-")</f>
        <v>-</v>
      </c>
      <c r="T65" s="54" t="str">
        <f>IF($J65&gt;0,ROUNDUP((O65*Constraints!$D$3/$J65/100)+O65,0),"-")</f>
        <v>-</v>
      </c>
      <c r="V65" s="54" t="str">
        <f>IF($J65&gt;0,ROUNDUP((Q65*Constraints!$D$4/$J65/100)+Q65,0),"-")</f>
        <v>-</v>
      </c>
      <c r="W65" s="54" t="str">
        <f>IF($J65&gt;0,ROUNDUP((R65*Constraints!$D$4/$J65/100)+R65,0),"-")</f>
        <v>-</v>
      </c>
      <c r="X65" s="54" t="str">
        <f>IF($J65&gt;0,ROUNDUP((S65*Constraints!$D$4/$J65/100)+S65,0),"-")</f>
        <v>-</v>
      </c>
      <c r="Y65" s="54" t="str">
        <f>IF($J65&gt;0,ROUNDUP((T65*Constraints!$D$4/$J65/100)+T65,0),"-")</f>
        <v>-</v>
      </c>
      <c r="AA65" s="25">
        <f t="shared" si="20"/>
        <v>0</v>
      </c>
      <c r="AB65" s="110" t="str">
        <f>IF(AA65&gt;Constraints!$D$5,Rios!AA65-Constraints!$D$5,"-")</f>
        <v>-</v>
      </c>
      <c r="AD65" s="30" t="str">
        <f t="shared" si="25"/>
        <v>-</v>
      </c>
      <c r="AE65" s="30" t="str">
        <f t="shared" si="26"/>
        <v>-</v>
      </c>
      <c r="AF65" s="30" t="str">
        <f t="shared" si="27"/>
        <v>-</v>
      </c>
      <c r="AG65" s="30" t="str">
        <f t="shared" si="28"/>
        <v>-</v>
      </c>
      <c r="AI65" s="25">
        <f t="shared" si="18"/>
        <v>0</v>
      </c>
      <c r="AJ65" s="110" t="str">
        <f>IF(AI65&gt;Constraints!$D$6,Rios!AI65-Constraints!$D$6,"-")</f>
        <v>-</v>
      </c>
      <c r="AL65" s="25" t="str">
        <f>IF(AM65&lt;&gt;"",VLOOKUP(AM65,Constraints!I:J,2,FALSE),"")</f>
        <v/>
      </c>
      <c r="AM65" s="105"/>
      <c r="AN65" s="30" t="str">
        <f>IF($AL65&lt;&gt;"",VLOOKUP($AL65,Constraints!$H:$V,4,FALSE),"-")</f>
        <v>-</v>
      </c>
      <c r="AO65" s="30" t="str">
        <f>IF($AL65&lt;&gt;"",VLOOKUP($AL65,Constraints!$H:$V,7,FALSE),"-")</f>
        <v>-</v>
      </c>
      <c r="AP65" s="30" t="str">
        <f>IF($AL65&lt;&gt;"",VLOOKUP($AL65,Constraints!$H:$V,10,FALSE),"-")</f>
        <v>-</v>
      </c>
      <c r="AQ65" s="30" t="str">
        <f>IF($AL65&lt;&gt;"",VLOOKUP($AL65,Constraints!$H:$V,13,FALSE),"-")</f>
        <v>-</v>
      </c>
      <c r="AS65" s="54" t="str">
        <f>IF($AL65&lt;&gt;"",VLOOKUP($AL65,Constraints!$H:$AG,23,FALSE),"-")</f>
        <v>-</v>
      </c>
      <c r="AT65" s="54" t="str">
        <f>IF($AL65&lt;&gt;"",VLOOKUP($AL65,Constraints!$H:$AG,24,FALSE),"-")</f>
        <v>-</v>
      </c>
      <c r="AU65" s="54" t="str">
        <f>IF($AL65&lt;&gt;"",VLOOKUP($AL65,Constraints!$H:$AG,25,FALSE),"-")</f>
        <v>-</v>
      </c>
      <c r="AV65" s="54" t="str">
        <f>IF($AL65&lt;&gt;"",VLOOKUP($AL65,Constraints!$H:$AG,26,FALSE),"-")</f>
        <v>-</v>
      </c>
      <c r="AX65" s="30" t="str">
        <f t="shared" si="29"/>
        <v>na</v>
      </c>
      <c r="AY65" s="30" t="str">
        <f t="shared" si="30"/>
        <v>na</v>
      </c>
      <c r="AZ65" s="30" t="str">
        <f t="shared" si="31"/>
        <v>na</v>
      </c>
      <c r="BA65" s="30" t="str">
        <f t="shared" si="32"/>
        <v>na</v>
      </c>
      <c r="BC65" s="18" t="str">
        <f t="shared" si="19"/>
        <v>-</v>
      </c>
      <c r="BD65" s="18" t="str">
        <f t="shared" si="33"/>
        <v>-</v>
      </c>
      <c r="BE65" s="18" t="str">
        <f t="shared" si="34"/>
        <v>-</v>
      </c>
      <c r="BG65" s="54" t="str">
        <f t="shared" si="35"/>
        <v>-</v>
      </c>
      <c r="BH65" s="54" t="str">
        <f t="shared" si="36"/>
        <v>-</v>
      </c>
      <c r="BI65" s="54" t="str">
        <f t="shared" si="37"/>
        <v>-</v>
      </c>
      <c r="BJ65" s="54" t="str">
        <f t="shared" si="38"/>
        <v>-</v>
      </c>
      <c r="BK65" s="58"/>
    </row>
    <row r="66" spans="2:63" x14ac:dyDescent="0.25">
      <c r="B66" s="62">
        <f>SUMIFS(Areas!J:J,Areas!$A:$A,Rios!$A66)</f>
        <v>0</v>
      </c>
      <c r="C66" s="62">
        <f>SUMIFS(Areas!K:K,Areas!$A:$A,Rios!$A66)</f>
        <v>0</v>
      </c>
      <c r="D66" s="62">
        <f>SUMIFS(Areas!L:L,Areas!$A:$A,Rios!$A66)</f>
        <v>0</v>
      </c>
      <c r="E66" s="62">
        <f>SUMIFS(Areas!M:M,Areas!$A:$A,Rios!$A66)</f>
        <v>0</v>
      </c>
      <c r="F66" s="40" t="str">
        <f>IF($A66&lt;&gt;"",VLOOKUP(Rios!$A66,Areas!$A:$I,F$2,FALSE),"-")</f>
        <v>-</v>
      </c>
      <c r="G66" t="str">
        <f>IF($A66&lt;&gt;"",VLOOKUP(Rios!$A66,Areas!$A:$I,G$2,FALSE),"-")</f>
        <v>-</v>
      </c>
      <c r="H66" s="40" t="str">
        <f>IF($A66&lt;&gt;"",VLOOKUP(Rios!$A66,Areas!$A:$I,H$2,FALSE),"-")</f>
        <v>-</v>
      </c>
      <c r="J66" s="48">
        <v>0</v>
      </c>
      <c r="L66" s="54" t="str">
        <f t="shared" si="21"/>
        <v>-</v>
      </c>
      <c r="M66" s="54" t="str">
        <f t="shared" si="22"/>
        <v>-</v>
      </c>
      <c r="N66" s="54" t="str">
        <f t="shared" si="23"/>
        <v>-</v>
      </c>
      <c r="O66" s="54" t="str">
        <f t="shared" si="24"/>
        <v>-</v>
      </c>
      <c r="Q66" s="54" t="str">
        <f>IF($J66&gt;0,ROUNDUP((L66*Constraints!$D$3/$J66/100)+L66,0),"-")</f>
        <v>-</v>
      </c>
      <c r="R66" s="54" t="str">
        <f>IF($J66&gt;0,ROUNDUP((M66*Constraints!$D$3/$J66/100)+M66,0),"-")</f>
        <v>-</v>
      </c>
      <c r="S66" s="54" t="str">
        <f>IF($J66&gt;0,ROUNDUP((N66*Constraints!$D$3/$J66/100)+N66,0),"-")</f>
        <v>-</v>
      </c>
      <c r="T66" s="54" t="str">
        <f>IF($J66&gt;0,ROUNDUP((O66*Constraints!$D$3/$J66/100)+O66,0),"-")</f>
        <v>-</v>
      </c>
      <c r="V66" s="54" t="str">
        <f>IF($J66&gt;0,ROUNDUP((Q66*Constraints!$D$4/$J66/100)+Q66,0),"-")</f>
        <v>-</v>
      </c>
      <c r="W66" s="54" t="str">
        <f>IF($J66&gt;0,ROUNDUP((R66*Constraints!$D$4/$J66/100)+R66,0),"-")</f>
        <v>-</v>
      </c>
      <c r="X66" s="54" t="str">
        <f>IF($J66&gt;0,ROUNDUP((S66*Constraints!$D$4/$J66/100)+S66,0),"-")</f>
        <v>-</v>
      </c>
      <c r="Y66" s="54" t="str">
        <f>IF($J66&gt;0,ROUNDUP((T66*Constraints!$D$4/$J66/100)+T66,0),"-")</f>
        <v>-</v>
      </c>
      <c r="AA66" s="25">
        <f t="shared" si="20"/>
        <v>0</v>
      </c>
      <c r="AB66" s="110" t="str">
        <f>IF(AA66&gt;Constraints!$D$5,Rios!AA66-Constraints!$D$5,"-")</f>
        <v>-</v>
      </c>
      <c r="AD66" s="30" t="str">
        <f t="shared" si="25"/>
        <v>-</v>
      </c>
      <c r="AE66" s="30" t="str">
        <f t="shared" si="26"/>
        <v>-</v>
      </c>
      <c r="AF66" s="30" t="str">
        <f t="shared" si="27"/>
        <v>-</v>
      </c>
      <c r="AG66" s="30" t="str">
        <f t="shared" si="28"/>
        <v>-</v>
      </c>
      <c r="AI66" s="25">
        <f t="shared" si="18"/>
        <v>0</v>
      </c>
      <c r="AJ66" s="110" t="str">
        <f>IF(AI66&gt;Constraints!$D$6,Rios!AI66-Constraints!$D$6,"-")</f>
        <v>-</v>
      </c>
      <c r="AL66" s="25" t="str">
        <f>IF(AM66&lt;&gt;"",VLOOKUP(AM66,Constraints!I:J,2,FALSE),"")</f>
        <v/>
      </c>
      <c r="AM66" s="105"/>
      <c r="AN66" s="30" t="str">
        <f>IF($AL66&lt;&gt;"",VLOOKUP($AL66,Constraints!$H:$V,4,FALSE),"-")</f>
        <v>-</v>
      </c>
      <c r="AO66" s="30" t="str">
        <f>IF($AL66&lt;&gt;"",VLOOKUP($AL66,Constraints!$H:$V,7,FALSE),"-")</f>
        <v>-</v>
      </c>
      <c r="AP66" s="30" t="str">
        <f>IF($AL66&lt;&gt;"",VLOOKUP($AL66,Constraints!$H:$V,10,FALSE),"-")</f>
        <v>-</v>
      </c>
      <c r="AQ66" s="30" t="str">
        <f>IF($AL66&lt;&gt;"",VLOOKUP($AL66,Constraints!$H:$V,13,FALSE),"-")</f>
        <v>-</v>
      </c>
      <c r="AS66" s="54" t="str">
        <f>IF($AL66&lt;&gt;"",VLOOKUP($AL66,Constraints!$H:$AG,23,FALSE),"-")</f>
        <v>-</v>
      </c>
      <c r="AT66" s="54" t="str">
        <f>IF($AL66&lt;&gt;"",VLOOKUP($AL66,Constraints!$H:$AG,24,FALSE),"-")</f>
        <v>-</v>
      </c>
      <c r="AU66" s="54" t="str">
        <f>IF($AL66&lt;&gt;"",VLOOKUP($AL66,Constraints!$H:$AG,25,FALSE),"-")</f>
        <v>-</v>
      </c>
      <c r="AV66" s="54" t="str">
        <f>IF($AL66&lt;&gt;"",VLOOKUP($AL66,Constraints!$H:$AG,26,FALSE),"-")</f>
        <v>-</v>
      </c>
      <c r="AX66" s="30" t="str">
        <f t="shared" si="29"/>
        <v>na</v>
      </c>
      <c r="AY66" s="30" t="str">
        <f t="shared" si="30"/>
        <v>na</v>
      </c>
      <c r="AZ66" s="30" t="str">
        <f t="shared" si="31"/>
        <v>na</v>
      </c>
      <c r="BA66" s="30" t="str">
        <f t="shared" si="32"/>
        <v>na</v>
      </c>
      <c r="BC66" s="18" t="str">
        <f t="shared" si="19"/>
        <v>-</v>
      </c>
      <c r="BD66" s="18" t="str">
        <f t="shared" si="33"/>
        <v>-</v>
      </c>
      <c r="BE66" s="18" t="str">
        <f t="shared" si="34"/>
        <v>-</v>
      </c>
      <c r="BG66" s="54" t="str">
        <f t="shared" si="35"/>
        <v>-</v>
      </c>
      <c r="BH66" s="54" t="str">
        <f t="shared" si="36"/>
        <v>-</v>
      </c>
      <c r="BI66" s="54" t="str">
        <f t="shared" si="37"/>
        <v>-</v>
      </c>
      <c r="BJ66" s="54" t="str">
        <f t="shared" si="38"/>
        <v>-</v>
      </c>
      <c r="BK66" s="58"/>
    </row>
    <row r="67" spans="2:63" x14ac:dyDescent="0.25">
      <c r="B67" s="62">
        <f>SUMIFS(Areas!J:J,Areas!$A:$A,Rios!$A67)</f>
        <v>0</v>
      </c>
      <c r="C67" s="62">
        <f>SUMIFS(Areas!K:K,Areas!$A:$A,Rios!$A67)</f>
        <v>0</v>
      </c>
      <c r="D67" s="62">
        <f>SUMIFS(Areas!L:L,Areas!$A:$A,Rios!$A67)</f>
        <v>0</v>
      </c>
      <c r="E67" s="62">
        <f>SUMIFS(Areas!M:M,Areas!$A:$A,Rios!$A67)</f>
        <v>0</v>
      </c>
      <c r="F67" s="40" t="str">
        <f>IF($A67&lt;&gt;"",VLOOKUP(Rios!$A67,Areas!$A:$I,F$2,FALSE),"-")</f>
        <v>-</v>
      </c>
      <c r="G67" t="str">
        <f>IF($A67&lt;&gt;"",VLOOKUP(Rios!$A67,Areas!$A:$I,G$2,FALSE),"-")</f>
        <v>-</v>
      </c>
      <c r="H67" s="40" t="str">
        <f>IF($A67&lt;&gt;"",VLOOKUP(Rios!$A67,Areas!$A:$I,H$2,FALSE),"-")</f>
        <v>-</v>
      </c>
      <c r="J67" s="48">
        <v>0</v>
      </c>
      <c r="L67" s="54" t="str">
        <f t="shared" ref="L67:L100" si="39">IF($J67&gt;0,ROUNDUP(B67/$J67,0),"-")</f>
        <v>-</v>
      </c>
      <c r="M67" s="54" t="str">
        <f t="shared" ref="M67:M100" si="40">IF($J67&gt;0,ROUNDUP(C67/$J67,0),"-")</f>
        <v>-</v>
      </c>
      <c r="N67" s="54" t="str">
        <f t="shared" ref="N67:N100" si="41">IF($J67&gt;0,ROUNDUP(D67/$J67,0),"-")</f>
        <v>-</v>
      </c>
      <c r="O67" s="54" t="str">
        <f t="shared" ref="O67:O100" si="42">IF($J67&gt;0,ROUNDUP(E67/$J67,0),"-")</f>
        <v>-</v>
      </c>
      <c r="Q67" s="54" t="str">
        <f>IF($J67&gt;0,ROUNDUP((L67*Constraints!$D$3/$J67/100)+L67,0),"-")</f>
        <v>-</v>
      </c>
      <c r="R67" s="54" t="str">
        <f>IF($J67&gt;0,ROUNDUP((M67*Constraints!$D$3/$J67/100)+M67,0),"-")</f>
        <v>-</v>
      </c>
      <c r="S67" s="54" t="str">
        <f>IF($J67&gt;0,ROUNDUP((N67*Constraints!$D$3/$J67/100)+N67,0),"-")</f>
        <v>-</v>
      </c>
      <c r="T67" s="54" t="str">
        <f>IF($J67&gt;0,ROUNDUP((O67*Constraints!$D$3/$J67/100)+O67,0),"-")</f>
        <v>-</v>
      </c>
      <c r="V67" s="54" t="str">
        <f>IF($J67&gt;0,ROUNDUP((Q67*Constraints!$D$4/$J67/100)+Q67,0),"-")</f>
        <v>-</v>
      </c>
      <c r="W67" s="54" t="str">
        <f>IF($J67&gt;0,ROUNDUP((R67*Constraints!$D$4/$J67/100)+R67,0),"-")</f>
        <v>-</v>
      </c>
      <c r="X67" s="54" t="str">
        <f>IF($J67&gt;0,ROUNDUP((S67*Constraints!$D$4/$J67/100)+S67,0),"-")</f>
        <v>-</v>
      </c>
      <c r="Y67" s="54" t="str">
        <f>IF($J67&gt;0,ROUNDUP((T67*Constraints!$D$4/$J67/100)+T67,0),"-")</f>
        <v>-</v>
      </c>
      <c r="AA67" s="25">
        <f t="shared" si="20"/>
        <v>0</v>
      </c>
      <c r="AB67" s="110" t="str">
        <f>IF(AA67&gt;Constraints!$D$5,Rios!AA67-Constraints!$D$5,"-")</f>
        <v>-</v>
      </c>
      <c r="AD67" s="30" t="str">
        <f t="shared" ref="AD67:AD100" si="43">IF(ISNUMBER(V67),ROUNDUP(V67/(AS67/AN67),0),"-")</f>
        <v>-</v>
      </c>
      <c r="AE67" s="30" t="str">
        <f t="shared" ref="AE67:AE100" si="44">IF(ISNUMBER(W67),ROUNDUP(W67/(AT67/AO67),0),"-")</f>
        <v>-</v>
      </c>
      <c r="AF67" s="30" t="str">
        <f t="shared" ref="AF67:AF100" si="45">IF(ISNUMBER(X67),ROUNDUP(X67/(AU67/AP67),0),"-")</f>
        <v>-</v>
      </c>
      <c r="AG67" s="30" t="str">
        <f t="shared" ref="AG67:AG100" si="46">IF(ISNUMBER(Y67),ROUNDUP(Y67/(AV67/AQ67),0),"-")</f>
        <v>-</v>
      </c>
      <c r="AI67" s="25">
        <f t="shared" si="18"/>
        <v>0</v>
      </c>
      <c r="AJ67" s="110" t="str">
        <f>IF(AI67&gt;Constraints!$D$6,Rios!AI67-Constraints!$D$6,"-")</f>
        <v>-</v>
      </c>
      <c r="AL67" s="25" t="str">
        <f>IF(AM67&lt;&gt;"",VLOOKUP(AM67,Constraints!I:J,2,FALSE),"")</f>
        <v/>
      </c>
      <c r="AM67" s="105"/>
      <c r="AN67" s="30" t="str">
        <f>IF($AL67&lt;&gt;"",VLOOKUP($AL67,Constraints!$H:$V,4,FALSE),"-")</f>
        <v>-</v>
      </c>
      <c r="AO67" s="30" t="str">
        <f>IF($AL67&lt;&gt;"",VLOOKUP($AL67,Constraints!$H:$V,7,FALSE),"-")</f>
        <v>-</v>
      </c>
      <c r="AP67" s="30" t="str">
        <f>IF($AL67&lt;&gt;"",VLOOKUP($AL67,Constraints!$H:$V,10,FALSE),"-")</f>
        <v>-</v>
      </c>
      <c r="AQ67" s="30" t="str">
        <f>IF($AL67&lt;&gt;"",VLOOKUP($AL67,Constraints!$H:$V,13,FALSE),"-")</f>
        <v>-</v>
      </c>
      <c r="AS67" s="54" t="str">
        <f>IF($AL67&lt;&gt;"",VLOOKUP($AL67,Constraints!$H:$AG,23,FALSE),"-")</f>
        <v>-</v>
      </c>
      <c r="AT67" s="54" t="str">
        <f>IF($AL67&lt;&gt;"",VLOOKUP($AL67,Constraints!$H:$AG,24,FALSE),"-")</f>
        <v>-</v>
      </c>
      <c r="AU67" s="54" t="str">
        <f>IF($AL67&lt;&gt;"",VLOOKUP($AL67,Constraints!$H:$AG,25,FALSE),"-")</f>
        <v>-</v>
      </c>
      <c r="AV67" s="54" t="str">
        <f>IF($AL67&lt;&gt;"",VLOOKUP($AL67,Constraints!$H:$AG,26,FALSE),"-")</f>
        <v>-</v>
      </c>
      <c r="AX67" s="30" t="str">
        <f t="shared" ref="AX67:AX100" si="47">IF(ISNUMBER(AN67),IF(AN67-AD67&gt;=0,"-",AN67-AD67),"na")</f>
        <v>na</v>
      </c>
      <c r="AY67" s="30" t="str">
        <f t="shared" ref="AY67:AY100" si="48">IF(ISNUMBER(AO67),IF(AO67-AE67&gt;=0,"-",AO67-AE67),"na")</f>
        <v>na</v>
      </c>
      <c r="AZ67" s="30" t="str">
        <f t="shared" ref="AZ67:AZ100" si="49">IF(ISNUMBER(AP67),IF(AP67-AF67&gt;=0,"-",AP67-AF67),"na")</f>
        <v>na</v>
      </c>
      <c r="BA67" s="30" t="str">
        <f t="shared" ref="BA67:BA100" si="50">IF(ISNUMBER(AQ67),IF(AQ67-AG67&gt;=0,"-",AQ67-AG67),"na")</f>
        <v>na</v>
      </c>
      <c r="BC67" s="18" t="str">
        <f t="shared" si="19"/>
        <v>-</v>
      </c>
      <c r="BD67" s="18" t="str">
        <f t="shared" ref="BD67:BD100" si="51">IF(AB67="-","-","X")</f>
        <v>-</v>
      </c>
      <c r="BE67" s="18" t="str">
        <f t="shared" si="34"/>
        <v>-</v>
      </c>
      <c r="BG67" s="54" t="str">
        <f t="shared" ref="BG67:BG100" si="52">IF($A67&lt;&gt;"",IF(V67-AS67&lt;=0,"-",V67-AS67),"-")</f>
        <v>-</v>
      </c>
      <c r="BH67" s="54" t="str">
        <f t="shared" ref="BH67:BH100" si="53">IF($A67&lt;&gt;"",IF(W67-AT67&lt;=0,"-",W67-AT67),"-")</f>
        <v>-</v>
      </c>
      <c r="BI67" s="54" t="str">
        <f t="shared" ref="BI67:BI100" si="54">IF($A67&lt;&gt;"",IF(X67-AU67&lt;=0,"-",X67-AU67),"-")</f>
        <v>-</v>
      </c>
      <c r="BJ67" s="54" t="str">
        <f t="shared" ref="BJ67:BJ100" si="55">IF($A67&lt;&gt;"",IF(Y67-AV67&lt;=0,"-",Y67-AV67),"-")</f>
        <v>-</v>
      </c>
      <c r="BK67" s="58"/>
    </row>
    <row r="68" spans="2:63" x14ac:dyDescent="0.25">
      <c r="B68" s="62">
        <f>SUMIFS(Areas!J:J,Areas!$A:$A,Rios!$A68)</f>
        <v>0</v>
      </c>
      <c r="C68" s="62">
        <f>SUMIFS(Areas!K:K,Areas!$A:$A,Rios!$A68)</f>
        <v>0</v>
      </c>
      <c r="D68" s="62">
        <f>SUMIFS(Areas!L:L,Areas!$A:$A,Rios!$A68)</f>
        <v>0</v>
      </c>
      <c r="E68" s="62">
        <f>SUMIFS(Areas!M:M,Areas!$A:$A,Rios!$A68)</f>
        <v>0</v>
      </c>
      <c r="F68" s="40" t="str">
        <f>IF($A68&lt;&gt;"",VLOOKUP(Rios!$A68,Areas!$A:$I,F$2,FALSE),"-")</f>
        <v>-</v>
      </c>
      <c r="G68" t="str">
        <f>IF($A68&lt;&gt;"",VLOOKUP(Rios!$A68,Areas!$A:$I,G$2,FALSE),"-")</f>
        <v>-</v>
      </c>
      <c r="H68" s="40" t="str">
        <f>IF($A68&lt;&gt;"",VLOOKUP(Rios!$A68,Areas!$A:$I,H$2,FALSE),"-")</f>
        <v>-</v>
      </c>
      <c r="J68" s="48">
        <v>0</v>
      </c>
      <c r="L68" s="54" t="str">
        <f t="shared" si="39"/>
        <v>-</v>
      </c>
      <c r="M68" s="54" t="str">
        <f t="shared" si="40"/>
        <v>-</v>
      </c>
      <c r="N68" s="54" t="str">
        <f t="shared" si="41"/>
        <v>-</v>
      </c>
      <c r="O68" s="54" t="str">
        <f t="shared" si="42"/>
        <v>-</v>
      </c>
      <c r="Q68" s="54" t="str">
        <f>IF($J68&gt;0,ROUNDUP((L68*Constraints!$D$3/$J68/100)+L68,0),"-")</f>
        <v>-</v>
      </c>
      <c r="R68" s="54" t="str">
        <f>IF($J68&gt;0,ROUNDUP((M68*Constraints!$D$3/$J68/100)+M68,0),"-")</f>
        <v>-</v>
      </c>
      <c r="S68" s="54" t="str">
        <f>IF($J68&gt;0,ROUNDUP((N68*Constraints!$D$3/$J68/100)+N68,0),"-")</f>
        <v>-</v>
      </c>
      <c r="T68" s="54" t="str">
        <f>IF($J68&gt;0,ROUNDUP((O68*Constraints!$D$3/$J68/100)+O68,0),"-")</f>
        <v>-</v>
      </c>
      <c r="V68" s="54" t="str">
        <f>IF($J68&gt;0,ROUNDUP((Q68*Constraints!$D$4/$J68/100)+Q68,0),"-")</f>
        <v>-</v>
      </c>
      <c r="W68" s="54" t="str">
        <f>IF($J68&gt;0,ROUNDUP((R68*Constraints!$D$4/$J68/100)+R68,0),"-")</f>
        <v>-</v>
      </c>
      <c r="X68" s="54" t="str">
        <f>IF($J68&gt;0,ROUNDUP((S68*Constraints!$D$4/$J68/100)+S68,0),"-")</f>
        <v>-</v>
      </c>
      <c r="Y68" s="54" t="str">
        <f>IF($J68&gt;0,ROUNDUP((T68*Constraints!$D$4/$J68/100)+T68,0),"-")</f>
        <v>-</v>
      </c>
      <c r="AA68" s="25">
        <f t="shared" ref="AA68:AA100" si="56">SUM(V68:Y68)</f>
        <v>0</v>
      </c>
      <c r="AB68" s="110" t="str">
        <f>IF(AA68&gt;Constraints!$D$5,Rios!AA68-Constraints!$D$5,"-")</f>
        <v>-</v>
      </c>
      <c r="AD68" s="30" t="str">
        <f t="shared" si="43"/>
        <v>-</v>
      </c>
      <c r="AE68" s="30" t="str">
        <f t="shared" si="44"/>
        <v>-</v>
      </c>
      <c r="AF68" s="30" t="str">
        <f t="shared" si="45"/>
        <v>-</v>
      </c>
      <c r="AG68" s="30" t="str">
        <f t="shared" si="46"/>
        <v>-</v>
      </c>
      <c r="AI68" s="25">
        <f t="shared" ref="AI68:AI100" si="57">SUM(AD68:AG68)</f>
        <v>0</v>
      </c>
      <c r="AJ68" s="110" t="str">
        <f>IF(AI68&gt;Constraints!$D$6,Rios!AI68-Constraints!$D$6,"-")</f>
        <v>-</v>
      </c>
      <c r="AL68" s="25" t="str">
        <f>IF(AM68&lt;&gt;"",VLOOKUP(AM68,Constraints!I:J,2,FALSE),"")</f>
        <v/>
      </c>
      <c r="AM68" s="105"/>
      <c r="AN68" s="30" t="str">
        <f>IF($AL68&lt;&gt;"",VLOOKUP($AL68,Constraints!$H:$V,4,FALSE),"-")</f>
        <v>-</v>
      </c>
      <c r="AO68" s="30" t="str">
        <f>IF($AL68&lt;&gt;"",VLOOKUP($AL68,Constraints!$H:$V,7,FALSE),"-")</f>
        <v>-</v>
      </c>
      <c r="AP68" s="30" t="str">
        <f>IF($AL68&lt;&gt;"",VLOOKUP($AL68,Constraints!$H:$V,10,FALSE),"-")</f>
        <v>-</v>
      </c>
      <c r="AQ68" s="30" t="str">
        <f>IF($AL68&lt;&gt;"",VLOOKUP($AL68,Constraints!$H:$V,13,FALSE),"-")</f>
        <v>-</v>
      </c>
      <c r="AS68" s="54" t="str">
        <f>IF($AL68&lt;&gt;"",VLOOKUP($AL68,Constraints!$H:$AG,23,FALSE),"-")</f>
        <v>-</v>
      </c>
      <c r="AT68" s="54" t="str">
        <f>IF($AL68&lt;&gt;"",VLOOKUP($AL68,Constraints!$H:$AG,24,FALSE),"-")</f>
        <v>-</v>
      </c>
      <c r="AU68" s="54" t="str">
        <f>IF($AL68&lt;&gt;"",VLOOKUP($AL68,Constraints!$H:$AG,25,FALSE),"-")</f>
        <v>-</v>
      </c>
      <c r="AV68" s="54" t="str">
        <f>IF($AL68&lt;&gt;"",VLOOKUP($AL68,Constraints!$H:$AG,26,FALSE),"-")</f>
        <v>-</v>
      </c>
      <c r="AX68" s="30" t="str">
        <f t="shared" si="47"/>
        <v>na</v>
      </c>
      <c r="AY68" s="30" t="str">
        <f t="shared" si="48"/>
        <v>na</v>
      </c>
      <c r="AZ68" s="30" t="str">
        <f t="shared" si="49"/>
        <v>na</v>
      </c>
      <c r="BA68" s="30" t="str">
        <f t="shared" si="50"/>
        <v>na</v>
      </c>
      <c r="BC68" s="18" t="str">
        <f t="shared" ref="BC68:BC100" si="58">IF(SUM(AX68:BA68)&lt;0,"X","-")</f>
        <v>-</v>
      </c>
      <c r="BD68" s="18" t="str">
        <f t="shared" si="51"/>
        <v>-</v>
      </c>
      <c r="BE68" s="18" t="str">
        <f t="shared" ref="BE68:BE100" si="59">IF(AJ68="-","-","X")</f>
        <v>-</v>
      </c>
      <c r="BG68" s="54" t="str">
        <f t="shared" si="52"/>
        <v>-</v>
      </c>
      <c r="BH68" s="54" t="str">
        <f t="shared" si="53"/>
        <v>-</v>
      </c>
      <c r="BI68" s="54" t="str">
        <f t="shared" si="54"/>
        <v>-</v>
      </c>
      <c r="BJ68" s="54" t="str">
        <f t="shared" si="55"/>
        <v>-</v>
      </c>
      <c r="BK68" s="58"/>
    </row>
    <row r="69" spans="2:63" x14ac:dyDescent="0.25">
      <c r="B69" s="62">
        <f>SUMIFS(Areas!J:J,Areas!$A:$A,Rios!$A69)</f>
        <v>0</v>
      </c>
      <c r="C69" s="62">
        <f>SUMIFS(Areas!K:K,Areas!$A:$A,Rios!$A69)</f>
        <v>0</v>
      </c>
      <c r="D69" s="62">
        <f>SUMIFS(Areas!L:L,Areas!$A:$A,Rios!$A69)</f>
        <v>0</v>
      </c>
      <c r="E69" s="62">
        <f>SUMIFS(Areas!M:M,Areas!$A:$A,Rios!$A69)</f>
        <v>0</v>
      </c>
      <c r="F69" s="40" t="str">
        <f>IF($A69&lt;&gt;"",VLOOKUP(Rios!$A69,Areas!$A:$I,F$2,FALSE),"-")</f>
        <v>-</v>
      </c>
      <c r="G69" t="str">
        <f>IF($A69&lt;&gt;"",VLOOKUP(Rios!$A69,Areas!$A:$I,G$2,FALSE),"-")</f>
        <v>-</v>
      </c>
      <c r="H69" s="40" t="str">
        <f>IF($A69&lt;&gt;"",VLOOKUP(Rios!$A69,Areas!$A:$I,H$2,FALSE),"-")</f>
        <v>-</v>
      </c>
      <c r="J69" s="48">
        <v>0</v>
      </c>
      <c r="L69" s="54" t="str">
        <f t="shared" si="39"/>
        <v>-</v>
      </c>
      <c r="M69" s="54" t="str">
        <f t="shared" si="40"/>
        <v>-</v>
      </c>
      <c r="N69" s="54" t="str">
        <f t="shared" si="41"/>
        <v>-</v>
      </c>
      <c r="O69" s="54" t="str">
        <f t="shared" si="42"/>
        <v>-</v>
      </c>
      <c r="Q69" s="54" t="str">
        <f>IF($J69&gt;0,ROUNDUP((L69*Constraints!$D$3/$J69/100)+L69,0),"-")</f>
        <v>-</v>
      </c>
      <c r="R69" s="54" t="str">
        <f>IF($J69&gt;0,ROUNDUP((M69*Constraints!$D$3/$J69/100)+M69,0),"-")</f>
        <v>-</v>
      </c>
      <c r="S69" s="54" t="str">
        <f>IF($J69&gt;0,ROUNDUP((N69*Constraints!$D$3/$J69/100)+N69,0),"-")</f>
        <v>-</v>
      </c>
      <c r="T69" s="54" t="str">
        <f>IF($J69&gt;0,ROUNDUP((O69*Constraints!$D$3/$J69/100)+O69,0),"-")</f>
        <v>-</v>
      </c>
      <c r="V69" s="54" t="str">
        <f>IF($J69&gt;0,ROUNDUP((Q69*Constraints!$D$4/$J69/100)+Q69,0),"-")</f>
        <v>-</v>
      </c>
      <c r="W69" s="54" t="str">
        <f>IF($J69&gt;0,ROUNDUP((R69*Constraints!$D$4/$J69/100)+R69,0),"-")</f>
        <v>-</v>
      </c>
      <c r="X69" s="54" t="str">
        <f>IF($J69&gt;0,ROUNDUP((S69*Constraints!$D$4/$J69/100)+S69,0),"-")</f>
        <v>-</v>
      </c>
      <c r="Y69" s="54" t="str">
        <f>IF($J69&gt;0,ROUNDUP((T69*Constraints!$D$4/$J69/100)+T69,0),"-")</f>
        <v>-</v>
      </c>
      <c r="AA69" s="25">
        <f t="shared" si="56"/>
        <v>0</v>
      </c>
      <c r="AB69" s="110" t="str">
        <f>IF(AA69&gt;Constraints!$D$5,Rios!AA69-Constraints!$D$5,"-")</f>
        <v>-</v>
      </c>
      <c r="AD69" s="30" t="str">
        <f t="shared" si="43"/>
        <v>-</v>
      </c>
      <c r="AE69" s="30" t="str">
        <f t="shared" si="44"/>
        <v>-</v>
      </c>
      <c r="AF69" s="30" t="str">
        <f t="shared" si="45"/>
        <v>-</v>
      </c>
      <c r="AG69" s="30" t="str">
        <f t="shared" si="46"/>
        <v>-</v>
      </c>
      <c r="AI69" s="25">
        <f t="shared" si="57"/>
        <v>0</v>
      </c>
      <c r="AJ69" s="110" t="str">
        <f>IF(AI69&gt;Constraints!$D$6,Rios!AI69-Constraints!$D$6,"-")</f>
        <v>-</v>
      </c>
      <c r="AL69" s="25" t="str">
        <f>IF(AM69&lt;&gt;"",VLOOKUP(AM69,Constraints!I:J,2,FALSE),"")</f>
        <v/>
      </c>
      <c r="AM69" s="105"/>
      <c r="AN69" s="30" t="str">
        <f>IF($AL69&lt;&gt;"",VLOOKUP($AL69,Constraints!$H:$V,4,FALSE),"-")</f>
        <v>-</v>
      </c>
      <c r="AO69" s="30" t="str">
        <f>IF($AL69&lt;&gt;"",VLOOKUP($AL69,Constraints!$H:$V,7,FALSE),"-")</f>
        <v>-</v>
      </c>
      <c r="AP69" s="30" t="str">
        <f>IF($AL69&lt;&gt;"",VLOOKUP($AL69,Constraints!$H:$V,10,FALSE),"-")</f>
        <v>-</v>
      </c>
      <c r="AQ69" s="30" t="str">
        <f>IF($AL69&lt;&gt;"",VLOOKUP($AL69,Constraints!$H:$V,13,FALSE),"-")</f>
        <v>-</v>
      </c>
      <c r="AS69" s="54" t="str">
        <f>IF($AL69&lt;&gt;"",VLOOKUP($AL69,Constraints!$H:$AG,23,FALSE),"-")</f>
        <v>-</v>
      </c>
      <c r="AT69" s="54" t="str">
        <f>IF($AL69&lt;&gt;"",VLOOKUP($AL69,Constraints!$H:$AG,24,FALSE),"-")</f>
        <v>-</v>
      </c>
      <c r="AU69" s="54" t="str">
        <f>IF($AL69&lt;&gt;"",VLOOKUP($AL69,Constraints!$H:$AG,25,FALSE),"-")</f>
        <v>-</v>
      </c>
      <c r="AV69" s="54" t="str">
        <f>IF($AL69&lt;&gt;"",VLOOKUP($AL69,Constraints!$H:$AG,26,FALSE),"-")</f>
        <v>-</v>
      </c>
      <c r="AX69" s="30" t="str">
        <f t="shared" si="47"/>
        <v>na</v>
      </c>
      <c r="AY69" s="30" t="str">
        <f t="shared" si="48"/>
        <v>na</v>
      </c>
      <c r="AZ69" s="30" t="str">
        <f t="shared" si="49"/>
        <v>na</v>
      </c>
      <c r="BA69" s="30" t="str">
        <f t="shared" si="50"/>
        <v>na</v>
      </c>
      <c r="BC69" s="18" t="str">
        <f t="shared" si="58"/>
        <v>-</v>
      </c>
      <c r="BD69" s="18" t="str">
        <f t="shared" si="51"/>
        <v>-</v>
      </c>
      <c r="BE69" s="18" t="str">
        <f t="shared" si="59"/>
        <v>-</v>
      </c>
      <c r="BG69" s="54" t="str">
        <f t="shared" si="52"/>
        <v>-</v>
      </c>
      <c r="BH69" s="54" t="str">
        <f t="shared" si="53"/>
        <v>-</v>
      </c>
      <c r="BI69" s="54" t="str">
        <f t="shared" si="54"/>
        <v>-</v>
      </c>
      <c r="BJ69" s="54" t="str">
        <f t="shared" si="55"/>
        <v>-</v>
      </c>
      <c r="BK69" s="58"/>
    </row>
    <row r="70" spans="2:63" x14ac:dyDescent="0.25">
      <c r="B70" s="62">
        <f>SUMIFS(Areas!J:J,Areas!$A:$A,Rios!$A70)</f>
        <v>0</v>
      </c>
      <c r="C70" s="62">
        <f>SUMIFS(Areas!K:K,Areas!$A:$A,Rios!$A70)</f>
        <v>0</v>
      </c>
      <c r="D70" s="62">
        <f>SUMIFS(Areas!L:L,Areas!$A:$A,Rios!$A70)</f>
        <v>0</v>
      </c>
      <c r="E70" s="62">
        <f>SUMIFS(Areas!M:M,Areas!$A:$A,Rios!$A70)</f>
        <v>0</v>
      </c>
      <c r="F70" s="40" t="str">
        <f>IF($A70&lt;&gt;"",VLOOKUP(Rios!$A70,Areas!$A:$I,F$2,FALSE),"-")</f>
        <v>-</v>
      </c>
      <c r="G70" t="str">
        <f>IF($A70&lt;&gt;"",VLOOKUP(Rios!$A70,Areas!$A:$I,G$2,FALSE),"-")</f>
        <v>-</v>
      </c>
      <c r="H70" s="40" t="str">
        <f>IF($A70&lt;&gt;"",VLOOKUP(Rios!$A70,Areas!$A:$I,H$2,FALSE),"-")</f>
        <v>-</v>
      </c>
      <c r="J70" s="48">
        <v>0</v>
      </c>
      <c r="L70" s="54" t="str">
        <f t="shared" si="39"/>
        <v>-</v>
      </c>
      <c r="M70" s="54" t="str">
        <f t="shared" si="40"/>
        <v>-</v>
      </c>
      <c r="N70" s="54" t="str">
        <f t="shared" si="41"/>
        <v>-</v>
      </c>
      <c r="O70" s="54" t="str">
        <f t="shared" si="42"/>
        <v>-</v>
      </c>
      <c r="Q70" s="54" t="str">
        <f>IF($J70&gt;0,ROUNDUP((L70*Constraints!$D$3/$J70/100)+L70,0),"-")</f>
        <v>-</v>
      </c>
      <c r="R70" s="54" t="str">
        <f>IF($J70&gt;0,ROUNDUP((M70*Constraints!$D$3/$J70/100)+M70,0),"-")</f>
        <v>-</v>
      </c>
      <c r="S70" s="54" t="str">
        <f>IF($J70&gt;0,ROUNDUP((N70*Constraints!$D$3/$J70/100)+N70,0),"-")</f>
        <v>-</v>
      </c>
      <c r="T70" s="54" t="str">
        <f>IF($J70&gt;0,ROUNDUP((O70*Constraints!$D$3/$J70/100)+O70,0),"-")</f>
        <v>-</v>
      </c>
      <c r="V70" s="54" t="str">
        <f>IF($J70&gt;0,ROUNDUP((Q70*Constraints!$D$4/$J70/100)+Q70,0),"-")</f>
        <v>-</v>
      </c>
      <c r="W70" s="54" t="str">
        <f>IF($J70&gt;0,ROUNDUP((R70*Constraints!$D$4/$J70/100)+R70,0),"-")</f>
        <v>-</v>
      </c>
      <c r="X70" s="54" t="str">
        <f>IF($J70&gt;0,ROUNDUP((S70*Constraints!$D$4/$J70/100)+S70,0),"-")</f>
        <v>-</v>
      </c>
      <c r="Y70" s="54" t="str">
        <f>IF($J70&gt;0,ROUNDUP((T70*Constraints!$D$4/$J70/100)+T70,0),"-")</f>
        <v>-</v>
      </c>
      <c r="AA70" s="25">
        <f t="shared" si="56"/>
        <v>0</v>
      </c>
      <c r="AB70" s="110" t="str">
        <f>IF(AA70&gt;Constraints!$D$5,Rios!AA70-Constraints!$D$5,"-")</f>
        <v>-</v>
      </c>
      <c r="AD70" s="30" t="str">
        <f t="shared" si="43"/>
        <v>-</v>
      </c>
      <c r="AE70" s="30" t="str">
        <f t="shared" si="44"/>
        <v>-</v>
      </c>
      <c r="AF70" s="30" t="str">
        <f t="shared" si="45"/>
        <v>-</v>
      </c>
      <c r="AG70" s="30" t="str">
        <f t="shared" si="46"/>
        <v>-</v>
      </c>
      <c r="AI70" s="25">
        <f t="shared" si="57"/>
        <v>0</v>
      </c>
      <c r="AJ70" s="110" t="str">
        <f>IF(AI70&gt;Constraints!$D$6,Rios!AI70-Constraints!$D$6,"-")</f>
        <v>-</v>
      </c>
      <c r="AL70" s="25" t="str">
        <f>IF(AM70&lt;&gt;"",VLOOKUP(AM70,Constraints!I:J,2,FALSE),"")</f>
        <v/>
      </c>
      <c r="AM70" s="105"/>
      <c r="AN70" s="30" t="str">
        <f>IF($AL70&lt;&gt;"",VLOOKUP($AL70,Constraints!$H:$V,4,FALSE),"-")</f>
        <v>-</v>
      </c>
      <c r="AO70" s="30" t="str">
        <f>IF($AL70&lt;&gt;"",VLOOKUP($AL70,Constraints!$H:$V,7,FALSE),"-")</f>
        <v>-</v>
      </c>
      <c r="AP70" s="30" t="str">
        <f>IF($AL70&lt;&gt;"",VLOOKUP($AL70,Constraints!$H:$V,10,FALSE),"-")</f>
        <v>-</v>
      </c>
      <c r="AQ70" s="30" t="str">
        <f>IF($AL70&lt;&gt;"",VLOOKUP($AL70,Constraints!$H:$V,13,FALSE),"-")</f>
        <v>-</v>
      </c>
      <c r="AS70" s="54" t="str">
        <f>IF($AL70&lt;&gt;"",VLOOKUP($AL70,Constraints!$H:$AG,23,FALSE),"-")</f>
        <v>-</v>
      </c>
      <c r="AT70" s="54" t="str">
        <f>IF($AL70&lt;&gt;"",VLOOKUP($AL70,Constraints!$H:$AG,24,FALSE),"-")</f>
        <v>-</v>
      </c>
      <c r="AU70" s="54" t="str">
        <f>IF($AL70&lt;&gt;"",VLOOKUP($AL70,Constraints!$H:$AG,25,FALSE),"-")</f>
        <v>-</v>
      </c>
      <c r="AV70" s="54" t="str">
        <f>IF($AL70&lt;&gt;"",VLOOKUP($AL70,Constraints!$H:$AG,26,FALSE),"-")</f>
        <v>-</v>
      </c>
      <c r="AX70" s="30" t="str">
        <f t="shared" si="47"/>
        <v>na</v>
      </c>
      <c r="AY70" s="30" t="str">
        <f t="shared" si="48"/>
        <v>na</v>
      </c>
      <c r="AZ70" s="30" t="str">
        <f t="shared" si="49"/>
        <v>na</v>
      </c>
      <c r="BA70" s="30" t="str">
        <f t="shared" si="50"/>
        <v>na</v>
      </c>
      <c r="BC70" s="18" t="str">
        <f t="shared" si="58"/>
        <v>-</v>
      </c>
      <c r="BD70" s="18" t="str">
        <f t="shared" si="51"/>
        <v>-</v>
      </c>
      <c r="BE70" s="18" t="str">
        <f t="shared" si="59"/>
        <v>-</v>
      </c>
      <c r="BG70" s="54" t="str">
        <f t="shared" si="52"/>
        <v>-</v>
      </c>
      <c r="BH70" s="54" t="str">
        <f t="shared" si="53"/>
        <v>-</v>
      </c>
      <c r="BI70" s="54" t="str">
        <f t="shared" si="54"/>
        <v>-</v>
      </c>
      <c r="BJ70" s="54" t="str">
        <f t="shared" si="55"/>
        <v>-</v>
      </c>
      <c r="BK70" s="58"/>
    </row>
    <row r="71" spans="2:63" x14ac:dyDescent="0.25">
      <c r="B71" s="62">
        <f>SUMIFS(Areas!J:J,Areas!$A:$A,Rios!$A71)</f>
        <v>0</v>
      </c>
      <c r="C71" s="62">
        <f>SUMIFS(Areas!K:K,Areas!$A:$A,Rios!$A71)</f>
        <v>0</v>
      </c>
      <c r="D71" s="62">
        <f>SUMIFS(Areas!L:L,Areas!$A:$A,Rios!$A71)</f>
        <v>0</v>
      </c>
      <c r="E71" s="62">
        <f>SUMIFS(Areas!M:M,Areas!$A:$A,Rios!$A71)</f>
        <v>0</v>
      </c>
      <c r="F71" s="40" t="str">
        <f>IF($A71&lt;&gt;"",VLOOKUP(Rios!$A71,Areas!$A:$I,F$2,FALSE),"-")</f>
        <v>-</v>
      </c>
      <c r="G71" t="str">
        <f>IF($A71&lt;&gt;"",VLOOKUP(Rios!$A71,Areas!$A:$I,G$2,FALSE),"-")</f>
        <v>-</v>
      </c>
      <c r="H71" s="40" t="str">
        <f>IF($A71&lt;&gt;"",VLOOKUP(Rios!$A71,Areas!$A:$I,H$2,FALSE),"-")</f>
        <v>-</v>
      </c>
      <c r="J71" s="48">
        <v>0</v>
      </c>
      <c r="L71" s="54" t="str">
        <f t="shared" si="39"/>
        <v>-</v>
      </c>
      <c r="M71" s="54" t="str">
        <f t="shared" si="40"/>
        <v>-</v>
      </c>
      <c r="N71" s="54" t="str">
        <f t="shared" si="41"/>
        <v>-</v>
      </c>
      <c r="O71" s="54" t="str">
        <f t="shared" si="42"/>
        <v>-</v>
      </c>
      <c r="Q71" s="54" t="str">
        <f>IF($J71&gt;0,ROUNDUP((L71*Constraints!$D$3/$J71/100)+L71,0),"-")</f>
        <v>-</v>
      </c>
      <c r="R71" s="54" t="str">
        <f>IF($J71&gt;0,ROUNDUP((M71*Constraints!$D$3/$J71/100)+M71,0),"-")</f>
        <v>-</v>
      </c>
      <c r="S71" s="54" t="str">
        <f>IF($J71&gt;0,ROUNDUP((N71*Constraints!$D$3/$J71/100)+N71,0),"-")</f>
        <v>-</v>
      </c>
      <c r="T71" s="54" t="str">
        <f>IF($J71&gt;0,ROUNDUP((O71*Constraints!$D$3/$J71/100)+O71,0),"-")</f>
        <v>-</v>
      </c>
      <c r="V71" s="54" t="str">
        <f>IF($J71&gt;0,ROUNDUP((Q71*Constraints!$D$4/$J71/100)+Q71,0),"-")</f>
        <v>-</v>
      </c>
      <c r="W71" s="54" t="str">
        <f>IF($J71&gt;0,ROUNDUP((R71*Constraints!$D$4/$J71/100)+R71,0),"-")</f>
        <v>-</v>
      </c>
      <c r="X71" s="54" t="str">
        <f>IF($J71&gt;0,ROUNDUP((S71*Constraints!$D$4/$J71/100)+S71,0),"-")</f>
        <v>-</v>
      </c>
      <c r="Y71" s="54" t="str">
        <f>IF($J71&gt;0,ROUNDUP((T71*Constraints!$D$4/$J71/100)+T71,0),"-")</f>
        <v>-</v>
      </c>
      <c r="AA71" s="25">
        <f t="shared" si="56"/>
        <v>0</v>
      </c>
      <c r="AB71" s="110" t="str">
        <f>IF(AA71&gt;Constraints!$D$5,Rios!AA71-Constraints!$D$5,"-")</f>
        <v>-</v>
      </c>
      <c r="AD71" s="30" t="str">
        <f t="shared" si="43"/>
        <v>-</v>
      </c>
      <c r="AE71" s="30" t="str">
        <f t="shared" si="44"/>
        <v>-</v>
      </c>
      <c r="AF71" s="30" t="str">
        <f t="shared" si="45"/>
        <v>-</v>
      </c>
      <c r="AG71" s="30" t="str">
        <f t="shared" si="46"/>
        <v>-</v>
      </c>
      <c r="AI71" s="25">
        <f t="shared" si="57"/>
        <v>0</v>
      </c>
      <c r="AJ71" s="110" t="str">
        <f>IF(AI71&gt;Constraints!$D$6,Rios!AI71-Constraints!$D$6,"-")</f>
        <v>-</v>
      </c>
      <c r="AL71" s="25" t="str">
        <f>IF(AM71&lt;&gt;"",VLOOKUP(AM71,Constraints!I:J,2,FALSE),"")</f>
        <v/>
      </c>
      <c r="AM71" s="105"/>
      <c r="AN71" s="30" t="str">
        <f>IF($AL71&lt;&gt;"",VLOOKUP($AL71,Constraints!$H:$V,4,FALSE),"-")</f>
        <v>-</v>
      </c>
      <c r="AO71" s="30" t="str">
        <f>IF($AL71&lt;&gt;"",VLOOKUP($AL71,Constraints!$H:$V,7,FALSE),"-")</f>
        <v>-</v>
      </c>
      <c r="AP71" s="30" t="str">
        <f>IF($AL71&lt;&gt;"",VLOOKUP($AL71,Constraints!$H:$V,10,FALSE),"-")</f>
        <v>-</v>
      </c>
      <c r="AQ71" s="30" t="str">
        <f>IF($AL71&lt;&gt;"",VLOOKUP($AL71,Constraints!$H:$V,13,FALSE),"-")</f>
        <v>-</v>
      </c>
      <c r="AS71" s="54" t="str">
        <f>IF($AL71&lt;&gt;"",VLOOKUP($AL71,Constraints!$H:$AG,23,FALSE),"-")</f>
        <v>-</v>
      </c>
      <c r="AT71" s="54" t="str">
        <f>IF($AL71&lt;&gt;"",VLOOKUP($AL71,Constraints!$H:$AG,24,FALSE),"-")</f>
        <v>-</v>
      </c>
      <c r="AU71" s="54" t="str">
        <f>IF($AL71&lt;&gt;"",VLOOKUP($AL71,Constraints!$H:$AG,25,FALSE),"-")</f>
        <v>-</v>
      </c>
      <c r="AV71" s="54" t="str">
        <f>IF($AL71&lt;&gt;"",VLOOKUP($AL71,Constraints!$H:$AG,26,FALSE),"-")</f>
        <v>-</v>
      </c>
      <c r="AX71" s="30" t="str">
        <f t="shared" si="47"/>
        <v>na</v>
      </c>
      <c r="AY71" s="30" t="str">
        <f t="shared" si="48"/>
        <v>na</v>
      </c>
      <c r="AZ71" s="30" t="str">
        <f t="shared" si="49"/>
        <v>na</v>
      </c>
      <c r="BA71" s="30" t="str">
        <f t="shared" si="50"/>
        <v>na</v>
      </c>
      <c r="BC71" s="18" t="str">
        <f t="shared" si="58"/>
        <v>-</v>
      </c>
      <c r="BD71" s="18" t="str">
        <f t="shared" si="51"/>
        <v>-</v>
      </c>
      <c r="BE71" s="18" t="str">
        <f t="shared" si="59"/>
        <v>-</v>
      </c>
      <c r="BG71" s="54" t="str">
        <f t="shared" si="52"/>
        <v>-</v>
      </c>
      <c r="BH71" s="54" t="str">
        <f t="shared" si="53"/>
        <v>-</v>
      </c>
      <c r="BI71" s="54" t="str">
        <f t="shared" si="54"/>
        <v>-</v>
      </c>
      <c r="BJ71" s="54" t="str">
        <f t="shared" si="55"/>
        <v>-</v>
      </c>
      <c r="BK71" s="58"/>
    </row>
    <row r="72" spans="2:63" x14ac:dyDescent="0.25">
      <c r="B72" s="62">
        <f>SUMIFS(Areas!J:J,Areas!$A:$A,Rios!$A72)</f>
        <v>0</v>
      </c>
      <c r="C72" s="62">
        <f>SUMIFS(Areas!K:K,Areas!$A:$A,Rios!$A72)</f>
        <v>0</v>
      </c>
      <c r="D72" s="62">
        <f>SUMIFS(Areas!L:L,Areas!$A:$A,Rios!$A72)</f>
        <v>0</v>
      </c>
      <c r="E72" s="62">
        <f>SUMIFS(Areas!M:M,Areas!$A:$A,Rios!$A72)</f>
        <v>0</v>
      </c>
      <c r="F72" s="40" t="str">
        <f>IF($A72&lt;&gt;"",VLOOKUP(Rios!$A72,Areas!$A:$I,F$2,FALSE),"-")</f>
        <v>-</v>
      </c>
      <c r="G72" t="str">
        <f>IF($A72&lt;&gt;"",VLOOKUP(Rios!$A72,Areas!$A:$I,G$2,FALSE),"-")</f>
        <v>-</v>
      </c>
      <c r="H72" s="40" t="str">
        <f>IF($A72&lt;&gt;"",VLOOKUP(Rios!$A72,Areas!$A:$I,H$2,FALSE),"-")</f>
        <v>-</v>
      </c>
      <c r="J72" s="48">
        <v>0</v>
      </c>
      <c r="L72" s="54" t="str">
        <f t="shared" si="39"/>
        <v>-</v>
      </c>
      <c r="M72" s="54" t="str">
        <f t="shared" si="40"/>
        <v>-</v>
      </c>
      <c r="N72" s="54" t="str">
        <f t="shared" si="41"/>
        <v>-</v>
      </c>
      <c r="O72" s="54" t="str">
        <f t="shared" si="42"/>
        <v>-</v>
      </c>
      <c r="Q72" s="54" t="str">
        <f>IF($J72&gt;0,ROUNDUP((L72*Constraints!$D$3/$J72/100)+L72,0),"-")</f>
        <v>-</v>
      </c>
      <c r="R72" s="54" t="str">
        <f>IF($J72&gt;0,ROUNDUP((M72*Constraints!$D$3/$J72/100)+M72,0),"-")</f>
        <v>-</v>
      </c>
      <c r="S72" s="54" t="str">
        <f>IF($J72&gt;0,ROUNDUP((N72*Constraints!$D$3/$J72/100)+N72,0),"-")</f>
        <v>-</v>
      </c>
      <c r="T72" s="54" t="str">
        <f>IF($J72&gt;0,ROUNDUP((O72*Constraints!$D$3/$J72/100)+O72,0),"-")</f>
        <v>-</v>
      </c>
      <c r="V72" s="54" t="str">
        <f>IF($J72&gt;0,ROUNDUP((Q72*Constraints!$D$4/$J72/100)+Q72,0),"-")</f>
        <v>-</v>
      </c>
      <c r="W72" s="54" t="str">
        <f>IF($J72&gt;0,ROUNDUP((R72*Constraints!$D$4/$J72/100)+R72,0),"-")</f>
        <v>-</v>
      </c>
      <c r="X72" s="54" t="str">
        <f>IF($J72&gt;0,ROUNDUP((S72*Constraints!$D$4/$J72/100)+S72,0),"-")</f>
        <v>-</v>
      </c>
      <c r="Y72" s="54" t="str">
        <f>IF($J72&gt;0,ROUNDUP((T72*Constraints!$D$4/$J72/100)+T72,0),"-")</f>
        <v>-</v>
      </c>
      <c r="AA72" s="25">
        <f t="shared" si="56"/>
        <v>0</v>
      </c>
      <c r="AB72" s="110" t="str">
        <f>IF(AA72&gt;Constraints!$D$5,Rios!AA72-Constraints!$D$5,"-")</f>
        <v>-</v>
      </c>
      <c r="AD72" s="30" t="str">
        <f t="shared" si="43"/>
        <v>-</v>
      </c>
      <c r="AE72" s="30" t="str">
        <f t="shared" si="44"/>
        <v>-</v>
      </c>
      <c r="AF72" s="30" t="str">
        <f t="shared" si="45"/>
        <v>-</v>
      </c>
      <c r="AG72" s="30" t="str">
        <f t="shared" si="46"/>
        <v>-</v>
      </c>
      <c r="AI72" s="25">
        <f t="shared" si="57"/>
        <v>0</v>
      </c>
      <c r="AJ72" s="110" t="str">
        <f>IF(AI72&gt;Constraints!$D$6,Rios!AI72-Constraints!$D$6,"-")</f>
        <v>-</v>
      </c>
      <c r="AL72" s="25" t="str">
        <f>IF(AM72&lt;&gt;"",VLOOKUP(AM72,Constraints!I:J,2,FALSE),"")</f>
        <v/>
      </c>
      <c r="AM72" s="105"/>
      <c r="AN72" s="30" t="str">
        <f>IF($AL72&lt;&gt;"",VLOOKUP($AL72,Constraints!$H:$V,4,FALSE),"-")</f>
        <v>-</v>
      </c>
      <c r="AO72" s="30" t="str">
        <f>IF($AL72&lt;&gt;"",VLOOKUP($AL72,Constraints!$H:$V,7,FALSE),"-")</f>
        <v>-</v>
      </c>
      <c r="AP72" s="30" t="str">
        <f>IF($AL72&lt;&gt;"",VLOOKUP($AL72,Constraints!$H:$V,10,FALSE),"-")</f>
        <v>-</v>
      </c>
      <c r="AQ72" s="30" t="str">
        <f>IF($AL72&lt;&gt;"",VLOOKUP($AL72,Constraints!$H:$V,13,FALSE),"-")</f>
        <v>-</v>
      </c>
      <c r="AS72" s="54" t="str">
        <f>IF($AL72&lt;&gt;"",VLOOKUP($AL72,Constraints!$H:$AG,23,FALSE),"-")</f>
        <v>-</v>
      </c>
      <c r="AT72" s="54" t="str">
        <f>IF($AL72&lt;&gt;"",VLOOKUP($AL72,Constraints!$H:$AG,24,FALSE),"-")</f>
        <v>-</v>
      </c>
      <c r="AU72" s="54" t="str">
        <f>IF($AL72&lt;&gt;"",VLOOKUP($AL72,Constraints!$H:$AG,25,FALSE),"-")</f>
        <v>-</v>
      </c>
      <c r="AV72" s="54" t="str">
        <f>IF($AL72&lt;&gt;"",VLOOKUP($AL72,Constraints!$H:$AG,26,FALSE),"-")</f>
        <v>-</v>
      </c>
      <c r="AX72" s="30" t="str">
        <f t="shared" si="47"/>
        <v>na</v>
      </c>
      <c r="AY72" s="30" t="str">
        <f t="shared" si="48"/>
        <v>na</v>
      </c>
      <c r="AZ72" s="30" t="str">
        <f t="shared" si="49"/>
        <v>na</v>
      </c>
      <c r="BA72" s="30" t="str">
        <f t="shared" si="50"/>
        <v>na</v>
      </c>
      <c r="BC72" s="18" t="str">
        <f t="shared" si="58"/>
        <v>-</v>
      </c>
      <c r="BD72" s="18" t="str">
        <f t="shared" si="51"/>
        <v>-</v>
      </c>
      <c r="BE72" s="18" t="str">
        <f t="shared" si="59"/>
        <v>-</v>
      </c>
      <c r="BG72" s="54" t="str">
        <f t="shared" si="52"/>
        <v>-</v>
      </c>
      <c r="BH72" s="54" t="str">
        <f t="shared" si="53"/>
        <v>-</v>
      </c>
      <c r="BI72" s="54" t="str">
        <f t="shared" si="54"/>
        <v>-</v>
      </c>
      <c r="BJ72" s="54" t="str">
        <f t="shared" si="55"/>
        <v>-</v>
      </c>
      <c r="BK72" s="58"/>
    </row>
    <row r="73" spans="2:63" x14ac:dyDescent="0.25">
      <c r="B73" s="62">
        <f>SUMIFS(Areas!J:J,Areas!$A:$A,Rios!$A73)</f>
        <v>0</v>
      </c>
      <c r="C73" s="62">
        <f>SUMIFS(Areas!K:K,Areas!$A:$A,Rios!$A73)</f>
        <v>0</v>
      </c>
      <c r="D73" s="62">
        <f>SUMIFS(Areas!L:L,Areas!$A:$A,Rios!$A73)</f>
        <v>0</v>
      </c>
      <c r="E73" s="62">
        <f>SUMIFS(Areas!M:M,Areas!$A:$A,Rios!$A73)</f>
        <v>0</v>
      </c>
      <c r="F73" s="40" t="str">
        <f>IF($A73&lt;&gt;"",VLOOKUP(Rios!$A73,Areas!$A:$I,F$2,FALSE),"-")</f>
        <v>-</v>
      </c>
      <c r="G73" t="str">
        <f>IF($A73&lt;&gt;"",VLOOKUP(Rios!$A73,Areas!$A:$I,G$2,FALSE),"-")</f>
        <v>-</v>
      </c>
      <c r="H73" s="40" t="str">
        <f>IF($A73&lt;&gt;"",VLOOKUP(Rios!$A73,Areas!$A:$I,H$2,FALSE),"-")</f>
        <v>-</v>
      </c>
      <c r="J73" s="48">
        <v>0</v>
      </c>
      <c r="L73" s="54" t="str">
        <f t="shared" si="39"/>
        <v>-</v>
      </c>
      <c r="M73" s="54" t="str">
        <f t="shared" si="40"/>
        <v>-</v>
      </c>
      <c r="N73" s="54" t="str">
        <f t="shared" si="41"/>
        <v>-</v>
      </c>
      <c r="O73" s="54" t="str">
        <f t="shared" si="42"/>
        <v>-</v>
      </c>
      <c r="Q73" s="54" t="str">
        <f>IF($J73&gt;0,ROUNDUP((L73*Constraints!$D$3/$J73/100)+L73,0),"-")</f>
        <v>-</v>
      </c>
      <c r="R73" s="54" t="str">
        <f>IF($J73&gt;0,ROUNDUP((M73*Constraints!$D$3/$J73/100)+M73,0),"-")</f>
        <v>-</v>
      </c>
      <c r="S73" s="54" t="str">
        <f>IF($J73&gt;0,ROUNDUP((N73*Constraints!$D$3/$J73/100)+N73,0),"-")</f>
        <v>-</v>
      </c>
      <c r="T73" s="54" t="str">
        <f>IF($J73&gt;0,ROUNDUP((O73*Constraints!$D$3/$J73/100)+O73,0),"-")</f>
        <v>-</v>
      </c>
      <c r="V73" s="54" t="str">
        <f>IF($J73&gt;0,ROUNDUP((Q73*Constraints!$D$4/$J73/100)+Q73,0),"-")</f>
        <v>-</v>
      </c>
      <c r="W73" s="54" t="str">
        <f>IF($J73&gt;0,ROUNDUP((R73*Constraints!$D$4/$J73/100)+R73,0),"-")</f>
        <v>-</v>
      </c>
      <c r="X73" s="54" t="str">
        <f>IF($J73&gt;0,ROUNDUP((S73*Constraints!$D$4/$J73/100)+S73,0),"-")</f>
        <v>-</v>
      </c>
      <c r="Y73" s="54" t="str">
        <f>IF($J73&gt;0,ROUNDUP((T73*Constraints!$D$4/$J73/100)+T73,0),"-")</f>
        <v>-</v>
      </c>
      <c r="AA73" s="25">
        <f t="shared" si="56"/>
        <v>0</v>
      </c>
      <c r="AB73" s="110" t="str">
        <f>IF(AA73&gt;Constraints!$D$5,Rios!AA73-Constraints!$D$5,"-")</f>
        <v>-</v>
      </c>
      <c r="AD73" s="30" t="str">
        <f t="shared" si="43"/>
        <v>-</v>
      </c>
      <c r="AE73" s="30" t="str">
        <f t="shared" si="44"/>
        <v>-</v>
      </c>
      <c r="AF73" s="30" t="str">
        <f t="shared" si="45"/>
        <v>-</v>
      </c>
      <c r="AG73" s="30" t="str">
        <f t="shared" si="46"/>
        <v>-</v>
      </c>
      <c r="AI73" s="25">
        <f t="shared" si="57"/>
        <v>0</v>
      </c>
      <c r="AJ73" s="110" t="str">
        <f>IF(AI73&gt;Constraints!$D$6,Rios!AI73-Constraints!$D$6,"-")</f>
        <v>-</v>
      </c>
      <c r="AL73" s="25" t="str">
        <f>IF(AM73&lt;&gt;"",VLOOKUP(AM73,Constraints!I:J,2,FALSE),"")</f>
        <v/>
      </c>
      <c r="AM73" s="105"/>
      <c r="AN73" s="30" t="str">
        <f>IF($AL73&lt;&gt;"",VLOOKUP($AL73,Constraints!$H:$V,4,FALSE),"-")</f>
        <v>-</v>
      </c>
      <c r="AO73" s="30" t="str">
        <f>IF($AL73&lt;&gt;"",VLOOKUP($AL73,Constraints!$H:$V,7,FALSE),"-")</f>
        <v>-</v>
      </c>
      <c r="AP73" s="30" t="str">
        <f>IF($AL73&lt;&gt;"",VLOOKUP($AL73,Constraints!$H:$V,10,FALSE),"-")</f>
        <v>-</v>
      </c>
      <c r="AQ73" s="30" t="str">
        <f>IF($AL73&lt;&gt;"",VLOOKUP($AL73,Constraints!$H:$V,13,FALSE),"-")</f>
        <v>-</v>
      </c>
      <c r="AS73" s="54" t="str">
        <f>IF($AL73&lt;&gt;"",VLOOKUP($AL73,Constraints!$H:$AG,23,FALSE),"-")</f>
        <v>-</v>
      </c>
      <c r="AT73" s="54" t="str">
        <f>IF($AL73&lt;&gt;"",VLOOKUP($AL73,Constraints!$H:$AG,24,FALSE),"-")</f>
        <v>-</v>
      </c>
      <c r="AU73" s="54" t="str">
        <f>IF($AL73&lt;&gt;"",VLOOKUP($AL73,Constraints!$H:$AG,25,FALSE),"-")</f>
        <v>-</v>
      </c>
      <c r="AV73" s="54" t="str">
        <f>IF($AL73&lt;&gt;"",VLOOKUP($AL73,Constraints!$H:$AG,26,FALSE),"-")</f>
        <v>-</v>
      </c>
      <c r="AX73" s="30" t="str">
        <f t="shared" si="47"/>
        <v>na</v>
      </c>
      <c r="AY73" s="30" t="str">
        <f t="shared" si="48"/>
        <v>na</v>
      </c>
      <c r="AZ73" s="30" t="str">
        <f t="shared" si="49"/>
        <v>na</v>
      </c>
      <c r="BA73" s="30" t="str">
        <f t="shared" si="50"/>
        <v>na</v>
      </c>
      <c r="BC73" s="18" t="str">
        <f t="shared" si="58"/>
        <v>-</v>
      </c>
      <c r="BD73" s="18" t="str">
        <f t="shared" si="51"/>
        <v>-</v>
      </c>
      <c r="BE73" s="18" t="str">
        <f t="shared" si="59"/>
        <v>-</v>
      </c>
      <c r="BG73" s="54" t="str">
        <f t="shared" si="52"/>
        <v>-</v>
      </c>
      <c r="BH73" s="54" t="str">
        <f t="shared" si="53"/>
        <v>-</v>
      </c>
      <c r="BI73" s="54" t="str">
        <f t="shared" si="54"/>
        <v>-</v>
      </c>
      <c r="BJ73" s="54" t="str">
        <f t="shared" si="55"/>
        <v>-</v>
      </c>
      <c r="BK73" s="58"/>
    </row>
    <row r="74" spans="2:63" x14ac:dyDescent="0.25">
      <c r="B74" s="62">
        <f>SUMIFS(Areas!J:J,Areas!$A:$A,Rios!$A74)</f>
        <v>0</v>
      </c>
      <c r="C74" s="62">
        <f>SUMIFS(Areas!K:K,Areas!$A:$A,Rios!$A74)</f>
        <v>0</v>
      </c>
      <c r="D74" s="62">
        <f>SUMIFS(Areas!L:L,Areas!$A:$A,Rios!$A74)</f>
        <v>0</v>
      </c>
      <c r="E74" s="62">
        <f>SUMIFS(Areas!M:M,Areas!$A:$A,Rios!$A74)</f>
        <v>0</v>
      </c>
      <c r="F74" s="40" t="str">
        <f>IF($A74&lt;&gt;"",VLOOKUP(Rios!$A74,Areas!$A:$I,F$2,FALSE),"-")</f>
        <v>-</v>
      </c>
      <c r="G74" t="str">
        <f>IF($A74&lt;&gt;"",VLOOKUP(Rios!$A74,Areas!$A:$I,G$2,FALSE),"-")</f>
        <v>-</v>
      </c>
      <c r="H74" s="40" t="str">
        <f>IF($A74&lt;&gt;"",VLOOKUP(Rios!$A74,Areas!$A:$I,H$2,FALSE),"-")</f>
        <v>-</v>
      </c>
      <c r="J74" s="48">
        <v>0</v>
      </c>
      <c r="L74" s="54" t="str">
        <f t="shared" si="39"/>
        <v>-</v>
      </c>
      <c r="M74" s="54" t="str">
        <f t="shared" si="40"/>
        <v>-</v>
      </c>
      <c r="N74" s="54" t="str">
        <f t="shared" si="41"/>
        <v>-</v>
      </c>
      <c r="O74" s="54" t="str">
        <f t="shared" si="42"/>
        <v>-</v>
      </c>
      <c r="Q74" s="54" t="str">
        <f>IF($J74&gt;0,ROUNDUP((L74*Constraints!$D$3/$J74/100)+L74,0),"-")</f>
        <v>-</v>
      </c>
      <c r="R74" s="54" t="str">
        <f>IF($J74&gt;0,ROUNDUP((M74*Constraints!$D$3/$J74/100)+M74,0),"-")</f>
        <v>-</v>
      </c>
      <c r="S74" s="54" t="str">
        <f>IF($J74&gt;0,ROUNDUP((N74*Constraints!$D$3/$J74/100)+N74,0),"-")</f>
        <v>-</v>
      </c>
      <c r="T74" s="54" t="str">
        <f>IF($J74&gt;0,ROUNDUP((O74*Constraints!$D$3/$J74/100)+O74,0),"-")</f>
        <v>-</v>
      </c>
      <c r="V74" s="54" t="str">
        <f>IF($J74&gt;0,ROUNDUP((Q74*Constraints!$D$4/$J74/100)+Q74,0),"-")</f>
        <v>-</v>
      </c>
      <c r="W74" s="54" t="str">
        <f>IF($J74&gt;0,ROUNDUP((R74*Constraints!$D$4/$J74/100)+R74,0),"-")</f>
        <v>-</v>
      </c>
      <c r="X74" s="54" t="str">
        <f>IF($J74&gt;0,ROUNDUP((S74*Constraints!$D$4/$J74/100)+S74,0),"-")</f>
        <v>-</v>
      </c>
      <c r="Y74" s="54" t="str">
        <f>IF($J74&gt;0,ROUNDUP((T74*Constraints!$D$4/$J74/100)+T74,0),"-")</f>
        <v>-</v>
      </c>
      <c r="AA74" s="25">
        <f t="shared" si="56"/>
        <v>0</v>
      </c>
      <c r="AB74" s="110" t="str">
        <f>IF(AA74&gt;Constraints!$D$5,Rios!AA74-Constraints!$D$5,"-")</f>
        <v>-</v>
      </c>
      <c r="AD74" s="30" t="str">
        <f t="shared" si="43"/>
        <v>-</v>
      </c>
      <c r="AE74" s="30" t="str">
        <f t="shared" si="44"/>
        <v>-</v>
      </c>
      <c r="AF74" s="30" t="str">
        <f t="shared" si="45"/>
        <v>-</v>
      </c>
      <c r="AG74" s="30" t="str">
        <f t="shared" si="46"/>
        <v>-</v>
      </c>
      <c r="AI74" s="25">
        <f t="shared" si="57"/>
        <v>0</v>
      </c>
      <c r="AJ74" s="110" t="str">
        <f>IF(AI74&gt;Constraints!$D$6,Rios!AI74-Constraints!$D$6,"-")</f>
        <v>-</v>
      </c>
      <c r="AL74" s="25" t="str">
        <f>IF(AM74&lt;&gt;"",VLOOKUP(AM74,Constraints!I:J,2,FALSE),"")</f>
        <v/>
      </c>
      <c r="AM74" s="105"/>
      <c r="AN74" s="30" t="str">
        <f>IF($AL74&lt;&gt;"",VLOOKUP($AL74,Constraints!$H:$V,4,FALSE),"-")</f>
        <v>-</v>
      </c>
      <c r="AO74" s="30" t="str">
        <f>IF($AL74&lt;&gt;"",VLOOKUP($AL74,Constraints!$H:$V,7,FALSE),"-")</f>
        <v>-</v>
      </c>
      <c r="AP74" s="30" t="str">
        <f>IF($AL74&lt;&gt;"",VLOOKUP($AL74,Constraints!$H:$V,10,FALSE),"-")</f>
        <v>-</v>
      </c>
      <c r="AQ74" s="30" t="str">
        <f>IF($AL74&lt;&gt;"",VLOOKUP($AL74,Constraints!$H:$V,13,FALSE),"-")</f>
        <v>-</v>
      </c>
      <c r="AS74" s="54" t="str">
        <f>IF($AL74&lt;&gt;"",VLOOKUP($AL74,Constraints!$H:$AG,23,FALSE),"-")</f>
        <v>-</v>
      </c>
      <c r="AT74" s="54" t="str">
        <f>IF($AL74&lt;&gt;"",VLOOKUP($AL74,Constraints!$H:$AG,24,FALSE),"-")</f>
        <v>-</v>
      </c>
      <c r="AU74" s="54" t="str">
        <f>IF($AL74&lt;&gt;"",VLOOKUP($AL74,Constraints!$H:$AG,25,FALSE),"-")</f>
        <v>-</v>
      </c>
      <c r="AV74" s="54" t="str">
        <f>IF($AL74&lt;&gt;"",VLOOKUP($AL74,Constraints!$H:$AG,26,FALSE),"-")</f>
        <v>-</v>
      </c>
      <c r="AX74" s="30" t="str">
        <f t="shared" si="47"/>
        <v>na</v>
      </c>
      <c r="AY74" s="30" t="str">
        <f t="shared" si="48"/>
        <v>na</v>
      </c>
      <c r="AZ74" s="30" t="str">
        <f t="shared" si="49"/>
        <v>na</v>
      </c>
      <c r="BA74" s="30" t="str">
        <f t="shared" si="50"/>
        <v>na</v>
      </c>
      <c r="BC74" s="18" t="str">
        <f t="shared" si="58"/>
        <v>-</v>
      </c>
      <c r="BD74" s="18" t="str">
        <f t="shared" si="51"/>
        <v>-</v>
      </c>
      <c r="BE74" s="18" t="str">
        <f t="shared" si="59"/>
        <v>-</v>
      </c>
      <c r="BG74" s="54" t="str">
        <f t="shared" si="52"/>
        <v>-</v>
      </c>
      <c r="BH74" s="54" t="str">
        <f t="shared" si="53"/>
        <v>-</v>
      </c>
      <c r="BI74" s="54" t="str">
        <f t="shared" si="54"/>
        <v>-</v>
      </c>
      <c r="BJ74" s="54" t="str">
        <f t="shared" si="55"/>
        <v>-</v>
      </c>
      <c r="BK74" s="58"/>
    </row>
    <row r="75" spans="2:63" x14ac:dyDescent="0.25">
      <c r="B75" s="62">
        <f>SUMIFS(Areas!J:J,Areas!$A:$A,Rios!$A75)</f>
        <v>0</v>
      </c>
      <c r="C75" s="62">
        <f>SUMIFS(Areas!K:K,Areas!$A:$A,Rios!$A75)</f>
        <v>0</v>
      </c>
      <c r="D75" s="62">
        <f>SUMIFS(Areas!L:L,Areas!$A:$A,Rios!$A75)</f>
        <v>0</v>
      </c>
      <c r="E75" s="62">
        <f>SUMIFS(Areas!M:M,Areas!$A:$A,Rios!$A75)</f>
        <v>0</v>
      </c>
      <c r="F75" s="40" t="str">
        <f>IF($A75&lt;&gt;"",VLOOKUP(Rios!$A75,Areas!$A:$I,F$2,FALSE),"-")</f>
        <v>-</v>
      </c>
      <c r="G75" t="str">
        <f>IF($A75&lt;&gt;"",VLOOKUP(Rios!$A75,Areas!$A:$I,G$2,FALSE),"-")</f>
        <v>-</v>
      </c>
      <c r="H75" s="40" t="str">
        <f>IF($A75&lt;&gt;"",VLOOKUP(Rios!$A75,Areas!$A:$I,H$2,FALSE),"-")</f>
        <v>-</v>
      </c>
      <c r="J75" s="48">
        <v>0</v>
      </c>
      <c r="L75" s="54" t="str">
        <f t="shared" si="39"/>
        <v>-</v>
      </c>
      <c r="M75" s="54" t="str">
        <f t="shared" si="40"/>
        <v>-</v>
      </c>
      <c r="N75" s="54" t="str">
        <f t="shared" si="41"/>
        <v>-</v>
      </c>
      <c r="O75" s="54" t="str">
        <f t="shared" si="42"/>
        <v>-</v>
      </c>
      <c r="Q75" s="54" t="str">
        <f>IF($J75&gt;0,ROUNDUP((L75*Constraints!$D$3/$J75/100)+L75,0),"-")</f>
        <v>-</v>
      </c>
      <c r="R75" s="54" t="str">
        <f>IF($J75&gt;0,ROUNDUP((M75*Constraints!$D$3/$J75/100)+M75,0),"-")</f>
        <v>-</v>
      </c>
      <c r="S75" s="54" t="str">
        <f>IF($J75&gt;0,ROUNDUP((N75*Constraints!$D$3/$J75/100)+N75,0),"-")</f>
        <v>-</v>
      </c>
      <c r="T75" s="54" t="str">
        <f>IF($J75&gt;0,ROUNDUP((O75*Constraints!$D$3/$J75/100)+O75,0),"-")</f>
        <v>-</v>
      </c>
      <c r="V75" s="54" t="str">
        <f>IF($J75&gt;0,ROUNDUP((Q75*Constraints!$D$4/$J75/100)+Q75,0),"-")</f>
        <v>-</v>
      </c>
      <c r="W75" s="54" t="str">
        <f>IF($J75&gt;0,ROUNDUP((R75*Constraints!$D$4/$J75/100)+R75,0),"-")</f>
        <v>-</v>
      </c>
      <c r="X75" s="54" t="str">
        <f>IF($J75&gt;0,ROUNDUP((S75*Constraints!$D$4/$J75/100)+S75,0),"-")</f>
        <v>-</v>
      </c>
      <c r="Y75" s="54" t="str">
        <f>IF($J75&gt;0,ROUNDUP((T75*Constraints!$D$4/$J75/100)+T75,0),"-")</f>
        <v>-</v>
      </c>
      <c r="AA75" s="25">
        <f t="shared" si="56"/>
        <v>0</v>
      </c>
      <c r="AB75" s="110" t="str">
        <f>IF(AA75&gt;Constraints!$D$5,Rios!AA75-Constraints!$D$5,"-")</f>
        <v>-</v>
      </c>
      <c r="AD75" s="30" t="str">
        <f t="shared" si="43"/>
        <v>-</v>
      </c>
      <c r="AE75" s="30" t="str">
        <f t="shared" si="44"/>
        <v>-</v>
      </c>
      <c r="AF75" s="30" t="str">
        <f t="shared" si="45"/>
        <v>-</v>
      </c>
      <c r="AG75" s="30" t="str">
        <f t="shared" si="46"/>
        <v>-</v>
      </c>
      <c r="AI75" s="25">
        <f t="shared" si="57"/>
        <v>0</v>
      </c>
      <c r="AJ75" s="110" t="str">
        <f>IF(AI75&gt;Constraints!$D$6,Rios!AI75-Constraints!$D$6,"-")</f>
        <v>-</v>
      </c>
      <c r="AL75" s="25" t="str">
        <f>IF(AM75&lt;&gt;"",VLOOKUP(AM75,Constraints!I:J,2,FALSE),"")</f>
        <v/>
      </c>
      <c r="AM75" s="105"/>
      <c r="AN75" s="30" t="str">
        <f>IF($AL75&lt;&gt;"",VLOOKUP($AL75,Constraints!$H:$V,4,FALSE),"-")</f>
        <v>-</v>
      </c>
      <c r="AO75" s="30" t="str">
        <f>IF($AL75&lt;&gt;"",VLOOKUP($AL75,Constraints!$H:$V,7,FALSE),"-")</f>
        <v>-</v>
      </c>
      <c r="AP75" s="30" t="str">
        <f>IF($AL75&lt;&gt;"",VLOOKUP($AL75,Constraints!$H:$V,10,FALSE),"-")</f>
        <v>-</v>
      </c>
      <c r="AQ75" s="30" t="str">
        <f>IF($AL75&lt;&gt;"",VLOOKUP($AL75,Constraints!$H:$V,13,FALSE),"-")</f>
        <v>-</v>
      </c>
      <c r="AS75" s="54" t="str">
        <f>IF($AL75&lt;&gt;"",VLOOKUP($AL75,Constraints!$H:$AG,23,FALSE),"-")</f>
        <v>-</v>
      </c>
      <c r="AT75" s="54" t="str">
        <f>IF($AL75&lt;&gt;"",VLOOKUP($AL75,Constraints!$H:$AG,24,FALSE),"-")</f>
        <v>-</v>
      </c>
      <c r="AU75" s="54" t="str">
        <f>IF($AL75&lt;&gt;"",VLOOKUP($AL75,Constraints!$H:$AG,25,FALSE),"-")</f>
        <v>-</v>
      </c>
      <c r="AV75" s="54" t="str">
        <f>IF($AL75&lt;&gt;"",VLOOKUP($AL75,Constraints!$H:$AG,26,FALSE),"-")</f>
        <v>-</v>
      </c>
      <c r="AX75" s="30" t="str">
        <f t="shared" si="47"/>
        <v>na</v>
      </c>
      <c r="AY75" s="30" t="str">
        <f t="shared" si="48"/>
        <v>na</v>
      </c>
      <c r="AZ75" s="30" t="str">
        <f t="shared" si="49"/>
        <v>na</v>
      </c>
      <c r="BA75" s="30" t="str">
        <f t="shared" si="50"/>
        <v>na</v>
      </c>
      <c r="BC75" s="18" t="str">
        <f t="shared" si="58"/>
        <v>-</v>
      </c>
      <c r="BD75" s="18" t="str">
        <f t="shared" si="51"/>
        <v>-</v>
      </c>
      <c r="BE75" s="18" t="str">
        <f t="shared" si="59"/>
        <v>-</v>
      </c>
      <c r="BG75" s="54" t="str">
        <f t="shared" si="52"/>
        <v>-</v>
      </c>
      <c r="BH75" s="54" t="str">
        <f t="shared" si="53"/>
        <v>-</v>
      </c>
      <c r="BI75" s="54" t="str">
        <f t="shared" si="54"/>
        <v>-</v>
      </c>
      <c r="BJ75" s="54" t="str">
        <f t="shared" si="55"/>
        <v>-</v>
      </c>
      <c r="BK75" s="58"/>
    </row>
    <row r="76" spans="2:63" x14ac:dyDescent="0.25">
      <c r="B76" s="62">
        <f>SUMIFS(Areas!J:J,Areas!$A:$A,Rios!$A76)</f>
        <v>0</v>
      </c>
      <c r="C76" s="62">
        <f>SUMIFS(Areas!K:K,Areas!$A:$A,Rios!$A76)</f>
        <v>0</v>
      </c>
      <c r="D76" s="62">
        <f>SUMIFS(Areas!L:L,Areas!$A:$A,Rios!$A76)</f>
        <v>0</v>
      </c>
      <c r="E76" s="62">
        <f>SUMIFS(Areas!M:M,Areas!$A:$A,Rios!$A76)</f>
        <v>0</v>
      </c>
      <c r="F76" s="40" t="str">
        <f>IF($A76&lt;&gt;"",VLOOKUP(Rios!$A76,Areas!$A:$I,F$2,FALSE),"-")</f>
        <v>-</v>
      </c>
      <c r="G76" t="str">
        <f>IF($A76&lt;&gt;"",VLOOKUP(Rios!$A76,Areas!$A:$I,G$2,FALSE),"-")</f>
        <v>-</v>
      </c>
      <c r="H76" s="40" t="str">
        <f>IF($A76&lt;&gt;"",VLOOKUP(Rios!$A76,Areas!$A:$I,H$2,FALSE),"-")</f>
        <v>-</v>
      </c>
      <c r="J76" s="48">
        <v>0</v>
      </c>
      <c r="L76" s="54" t="str">
        <f t="shared" si="39"/>
        <v>-</v>
      </c>
      <c r="M76" s="54" t="str">
        <f t="shared" si="40"/>
        <v>-</v>
      </c>
      <c r="N76" s="54" t="str">
        <f t="shared" si="41"/>
        <v>-</v>
      </c>
      <c r="O76" s="54" t="str">
        <f t="shared" si="42"/>
        <v>-</v>
      </c>
      <c r="Q76" s="54" t="str">
        <f>IF($J76&gt;0,ROUNDUP((L76*Constraints!$D$3/$J76/100)+L76,0),"-")</f>
        <v>-</v>
      </c>
      <c r="R76" s="54" t="str">
        <f>IF($J76&gt;0,ROUNDUP((M76*Constraints!$D$3/$J76/100)+M76,0),"-")</f>
        <v>-</v>
      </c>
      <c r="S76" s="54" t="str">
        <f>IF($J76&gt;0,ROUNDUP((N76*Constraints!$D$3/$J76/100)+N76,0),"-")</f>
        <v>-</v>
      </c>
      <c r="T76" s="54" t="str">
        <f>IF($J76&gt;0,ROUNDUP((O76*Constraints!$D$3/$J76/100)+O76,0),"-")</f>
        <v>-</v>
      </c>
      <c r="V76" s="54" t="str">
        <f>IF($J76&gt;0,ROUNDUP((Q76*Constraints!$D$4/$J76/100)+Q76,0),"-")</f>
        <v>-</v>
      </c>
      <c r="W76" s="54" t="str">
        <f>IF($J76&gt;0,ROUNDUP((R76*Constraints!$D$4/$J76/100)+R76,0),"-")</f>
        <v>-</v>
      </c>
      <c r="X76" s="54" t="str">
        <f>IF($J76&gt;0,ROUNDUP((S76*Constraints!$D$4/$J76/100)+S76,0),"-")</f>
        <v>-</v>
      </c>
      <c r="Y76" s="54" t="str">
        <f>IF($J76&gt;0,ROUNDUP((T76*Constraints!$D$4/$J76/100)+T76,0),"-")</f>
        <v>-</v>
      </c>
      <c r="AA76" s="25">
        <f t="shared" si="56"/>
        <v>0</v>
      </c>
      <c r="AB76" s="110" t="str">
        <f>IF(AA76&gt;Constraints!$D$5,Rios!AA76-Constraints!$D$5,"-")</f>
        <v>-</v>
      </c>
      <c r="AD76" s="30" t="str">
        <f t="shared" si="43"/>
        <v>-</v>
      </c>
      <c r="AE76" s="30" t="str">
        <f t="shared" si="44"/>
        <v>-</v>
      </c>
      <c r="AF76" s="30" t="str">
        <f t="shared" si="45"/>
        <v>-</v>
      </c>
      <c r="AG76" s="30" t="str">
        <f t="shared" si="46"/>
        <v>-</v>
      </c>
      <c r="AI76" s="25">
        <f t="shared" si="57"/>
        <v>0</v>
      </c>
      <c r="AJ76" s="110" t="str">
        <f>IF(AI76&gt;Constraints!$D$6,Rios!AI76-Constraints!$D$6,"-")</f>
        <v>-</v>
      </c>
      <c r="AL76" s="25" t="str">
        <f>IF(AM76&lt;&gt;"",VLOOKUP(AM76,Constraints!I:J,2,FALSE),"")</f>
        <v/>
      </c>
      <c r="AM76" s="105"/>
      <c r="AN76" s="30" t="str">
        <f>IF($AL76&lt;&gt;"",VLOOKUP($AL76,Constraints!$H:$V,4,FALSE),"-")</f>
        <v>-</v>
      </c>
      <c r="AO76" s="30" t="str">
        <f>IF($AL76&lt;&gt;"",VLOOKUP($AL76,Constraints!$H:$V,7,FALSE),"-")</f>
        <v>-</v>
      </c>
      <c r="AP76" s="30" t="str">
        <f>IF($AL76&lt;&gt;"",VLOOKUP($AL76,Constraints!$H:$V,10,FALSE),"-")</f>
        <v>-</v>
      </c>
      <c r="AQ76" s="30" t="str">
        <f>IF($AL76&lt;&gt;"",VLOOKUP($AL76,Constraints!$H:$V,13,FALSE),"-")</f>
        <v>-</v>
      </c>
      <c r="AS76" s="54" t="str">
        <f>IF($AL76&lt;&gt;"",VLOOKUP($AL76,Constraints!$H:$AG,23,FALSE),"-")</f>
        <v>-</v>
      </c>
      <c r="AT76" s="54" t="str">
        <f>IF($AL76&lt;&gt;"",VLOOKUP($AL76,Constraints!$H:$AG,24,FALSE),"-")</f>
        <v>-</v>
      </c>
      <c r="AU76" s="54" t="str">
        <f>IF($AL76&lt;&gt;"",VLOOKUP($AL76,Constraints!$H:$AG,25,FALSE),"-")</f>
        <v>-</v>
      </c>
      <c r="AV76" s="54" t="str">
        <f>IF($AL76&lt;&gt;"",VLOOKUP($AL76,Constraints!$H:$AG,26,FALSE),"-")</f>
        <v>-</v>
      </c>
      <c r="AX76" s="30" t="str">
        <f t="shared" si="47"/>
        <v>na</v>
      </c>
      <c r="AY76" s="30" t="str">
        <f t="shared" si="48"/>
        <v>na</v>
      </c>
      <c r="AZ76" s="30" t="str">
        <f t="shared" si="49"/>
        <v>na</v>
      </c>
      <c r="BA76" s="30" t="str">
        <f t="shared" si="50"/>
        <v>na</v>
      </c>
      <c r="BC76" s="18" t="str">
        <f t="shared" si="58"/>
        <v>-</v>
      </c>
      <c r="BD76" s="18" t="str">
        <f t="shared" si="51"/>
        <v>-</v>
      </c>
      <c r="BE76" s="18" t="str">
        <f t="shared" si="59"/>
        <v>-</v>
      </c>
      <c r="BG76" s="54" t="str">
        <f t="shared" si="52"/>
        <v>-</v>
      </c>
      <c r="BH76" s="54" t="str">
        <f t="shared" si="53"/>
        <v>-</v>
      </c>
      <c r="BI76" s="54" t="str">
        <f t="shared" si="54"/>
        <v>-</v>
      </c>
      <c r="BJ76" s="54" t="str">
        <f t="shared" si="55"/>
        <v>-</v>
      </c>
      <c r="BK76" s="58"/>
    </row>
    <row r="77" spans="2:63" x14ac:dyDescent="0.25">
      <c r="B77" s="62">
        <f>SUMIFS(Areas!J:J,Areas!$A:$A,Rios!$A77)</f>
        <v>0</v>
      </c>
      <c r="C77" s="62">
        <f>SUMIFS(Areas!K:K,Areas!$A:$A,Rios!$A77)</f>
        <v>0</v>
      </c>
      <c r="D77" s="62">
        <f>SUMIFS(Areas!L:L,Areas!$A:$A,Rios!$A77)</f>
        <v>0</v>
      </c>
      <c r="E77" s="62">
        <f>SUMIFS(Areas!M:M,Areas!$A:$A,Rios!$A77)</f>
        <v>0</v>
      </c>
      <c r="F77" s="40" t="str">
        <f>IF($A77&lt;&gt;"",VLOOKUP(Rios!$A77,Areas!$A:$I,F$2,FALSE),"-")</f>
        <v>-</v>
      </c>
      <c r="G77" t="str">
        <f>IF($A77&lt;&gt;"",VLOOKUP(Rios!$A77,Areas!$A:$I,G$2,FALSE),"-")</f>
        <v>-</v>
      </c>
      <c r="H77" s="40" t="str">
        <f>IF($A77&lt;&gt;"",VLOOKUP(Rios!$A77,Areas!$A:$I,H$2,FALSE),"-")</f>
        <v>-</v>
      </c>
      <c r="J77" s="48">
        <v>0</v>
      </c>
      <c r="L77" s="54" t="str">
        <f t="shared" si="39"/>
        <v>-</v>
      </c>
      <c r="M77" s="54" t="str">
        <f t="shared" si="40"/>
        <v>-</v>
      </c>
      <c r="N77" s="54" t="str">
        <f t="shared" si="41"/>
        <v>-</v>
      </c>
      <c r="O77" s="54" t="str">
        <f t="shared" si="42"/>
        <v>-</v>
      </c>
      <c r="Q77" s="54" t="str">
        <f>IF($J77&gt;0,ROUNDUP((L77*Constraints!$D$3/$J77/100)+L77,0),"-")</f>
        <v>-</v>
      </c>
      <c r="R77" s="54" t="str">
        <f>IF($J77&gt;0,ROUNDUP((M77*Constraints!$D$3/$J77/100)+M77,0),"-")</f>
        <v>-</v>
      </c>
      <c r="S77" s="54" t="str">
        <f>IF($J77&gt;0,ROUNDUP((N77*Constraints!$D$3/$J77/100)+N77,0),"-")</f>
        <v>-</v>
      </c>
      <c r="T77" s="54" t="str">
        <f>IF($J77&gt;0,ROUNDUP((O77*Constraints!$D$3/$J77/100)+O77,0),"-")</f>
        <v>-</v>
      </c>
      <c r="V77" s="54" t="str">
        <f>IF($J77&gt;0,ROUNDUP((Q77*Constraints!$D$4/$J77/100)+Q77,0),"-")</f>
        <v>-</v>
      </c>
      <c r="W77" s="54" t="str">
        <f>IF($J77&gt;0,ROUNDUP((R77*Constraints!$D$4/$J77/100)+R77,0),"-")</f>
        <v>-</v>
      </c>
      <c r="X77" s="54" t="str">
        <f>IF($J77&gt;0,ROUNDUP((S77*Constraints!$D$4/$J77/100)+S77,0),"-")</f>
        <v>-</v>
      </c>
      <c r="Y77" s="54" t="str">
        <f>IF($J77&gt;0,ROUNDUP((T77*Constraints!$D$4/$J77/100)+T77,0),"-")</f>
        <v>-</v>
      </c>
      <c r="AA77" s="25">
        <f t="shared" si="56"/>
        <v>0</v>
      </c>
      <c r="AB77" s="110" t="str">
        <f>IF(AA77&gt;Constraints!$D$5,Rios!AA77-Constraints!$D$5,"-")</f>
        <v>-</v>
      </c>
      <c r="AD77" s="30" t="str">
        <f t="shared" si="43"/>
        <v>-</v>
      </c>
      <c r="AE77" s="30" t="str">
        <f t="shared" si="44"/>
        <v>-</v>
      </c>
      <c r="AF77" s="30" t="str">
        <f t="shared" si="45"/>
        <v>-</v>
      </c>
      <c r="AG77" s="30" t="str">
        <f t="shared" si="46"/>
        <v>-</v>
      </c>
      <c r="AI77" s="25">
        <f t="shared" si="57"/>
        <v>0</v>
      </c>
      <c r="AJ77" s="110" t="str">
        <f>IF(AI77&gt;Constraints!$D$6,Rios!AI77-Constraints!$D$6,"-")</f>
        <v>-</v>
      </c>
      <c r="AL77" s="25" t="str">
        <f>IF(AM77&lt;&gt;"",VLOOKUP(AM77,Constraints!I:J,2,FALSE),"")</f>
        <v/>
      </c>
      <c r="AM77" s="105"/>
      <c r="AN77" s="30" t="str">
        <f>IF($AL77&lt;&gt;"",VLOOKUP($AL77,Constraints!$H:$V,4,FALSE),"-")</f>
        <v>-</v>
      </c>
      <c r="AO77" s="30" t="str">
        <f>IF($AL77&lt;&gt;"",VLOOKUP($AL77,Constraints!$H:$V,7,FALSE),"-")</f>
        <v>-</v>
      </c>
      <c r="AP77" s="30" t="str">
        <f>IF($AL77&lt;&gt;"",VLOOKUP($AL77,Constraints!$H:$V,10,FALSE),"-")</f>
        <v>-</v>
      </c>
      <c r="AQ77" s="30" t="str">
        <f>IF($AL77&lt;&gt;"",VLOOKUP($AL77,Constraints!$H:$V,13,FALSE),"-")</f>
        <v>-</v>
      </c>
      <c r="AS77" s="54" t="str">
        <f>IF($AL77&lt;&gt;"",VLOOKUP($AL77,Constraints!$H:$AG,23,FALSE),"-")</f>
        <v>-</v>
      </c>
      <c r="AT77" s="54" t="str">
        <f>IF($AL77&lt;&gt;"",VLOOKUP($AL77,Constraints!$H:$AG,24,FALSE),"-")</f>
        <v>-</v>
      </c>
      <c r="AU77" s="54" t="str">
        <f>IF($AL77&lt;&gt;"",VLOOKUP($AL77,Constraints!$H:$AG,25,FALSE),"-")</f>
        <v>-</v>
      </c>
      <c r="AV77" s="54" t="str">
        <f>IF($AL77&lt;&gt;"",VLOOKUP($AL77,Constraints!$H:$AG,26,FALSE),"-")</f>
        <v>-</v>
      </c>
      <c r="AX77" s="30" t="str">
        <f t="shared" si="47"/>
        <v>na</v>
      </c>
      <c r="AY77" s="30" t="str">
        <f t="shared" si="48"/>
        <v>na</v>
      </c>
      <c r="AZ77" s="30" t="str">
        <f t="shared" si="49"/>
        <v>na</v>
      </c>
      <c r="BA77" s="30" t="str">
        <f t="shared" si="50"/>
        <v>na</v>
      </c>
      <c r="BC77" s="18" t="str">
        <f t="shared" si="58"/>
        <v>-</v>
      </c>
      <c r="BD77" s="18" t="str">
        <f t="shared" si="51"/>
        <v>-</v>
      </c>
      <c r="BE77" s="18" t="str">
        <f t="shared" si="59"/>
        <v>-</v>
      </c>
      <c r="BG77" s="54" t="str">
        <f t="shared" si="52"/>
        <v>-</v>
      </c>
      <c r="BH77" s="54" t="str">
        <f t="shared" si="53"/>
        <v>-</v>
      </c>
      <c r="BI77" s="54" t="str">
        <f t="shared" si="54"/>
        <v>-</v>
      </c>
      <c r="BJ77" s="54" t="str">
        <f t="shared" si="55"/>
        <v>-</v>
      </c>
      <c r="BK77" s="58"/>
    </row>
    <row r="78" spans="2:63" x14ac:dyDescent="0.25">
      <c r="B78" s="62">
        <f>SUMIFS(Areas!J:J,Areas!$A:$A,Rios!$A78)</f>
        <v>0</v>
      </c>
      <c r="C78" s="62">
        <f>SUMIFS(Areas!K:K,Areas!$A:$A,Rios!$A78)</f>
        <v>0</v>
      </c>
      <c r="D78" s="62">
        <f>SUMIFS(Areas!L:L,Areas!$A:$A,Rios!$A78)</f>
        <v>0</v>
      </c>
      <c r="E78" s="62">
        <f>SUMIFS(Areas!M:M,Areas!$A:$A,Rios!$A78)</f>
        <v>0</v>
      </c>
      <c r="F78" s="40" t="str">
        <f>IF($A78&lt;&gt;"",VLOOKUP(Rios!$A78,Areas!$A:$I,F$2,FALSE),"-")</f>
        <v>-</v>
      </c>
      <c r="G78" t="str">
        <f>IF($A78&lt;&gt;"",VLOOKUP(Rios!$A78,Areas!$A:$I,G$2,FALSE),"-")</f>
        <v>-</v>
      </c>
      <c r="H78" s="40" t="str">
        <f>IF($A78&lt;&gt;"",VLOOKUP(Rios!$A78,Areas!$A:$I,H$2,FALSE),"-")</f>
        <v>-</v>
      </c>
      <c r="J78" s="48">
        <v>0</v>
      </c>
      <c r="L78" s="54" t="str">
        <f t="shared" si="39"/>
        <v>-</v>
      </c>
      <c r="M78" s="54" t="str">
        <f t="shared" si="40"/>
        <v>-</v>
      </c>
      <c r="N78" s="54" t="str">
        <f t="shared" si="41"/>
        <v>-</v>
      </c>
      <c r="O78" s="54" t="str">
        <f t="shared" si="42"/>
        <v>-</v>
      </c>
      <c r="Q78" s="54" t="str">
        <f>IF($J78&gt;0,ROUNDUP((L78*Constraints!$D$3/$J78/100)+L78,0),"-")</f>
        <v>-</v>
      </c>
      <c r="R78" s="54" t="str">
        <f>IF($J78&gt;0,ROUNDUP((M78*Constraints!$D$3/$J78/100)+M78,0),"-")</f>
        <v>-</v>
      </c>
      <c r="S78" s="54" t="str">
        <f>IF($J78&gt;0,ROUNDUP((N78*Constraints!$D$3/$J78/100)+N78,0),"-")</f>
        <v>-</v>
      </c>
      <c r="T78" s="54" t="str">
        <f>IF($J78&gt;0,ROUNDUP((O78*Constraints!$D$3/$J78/100)+O78,0),"-")</f>
        <v>-</v>
      </c>
      <c r="V78" s="54" t="str">
        <f>IF($J78&gt;0,ROUNDUP((Q78*Constraints!$D$4/$J78/100)+Q78,0),"-")</f>
        <v>-</v>
      </c>
      <c r="W78" s="54" t="str">
        <f>IF($J78&gt;0,ROUNDUP((R78*Constraints!$D$4/$J78/100)+R78,0),"-")</f>
        <v>-</v>
      </c>
      <c r="X78" s="54" t="str">
        <f>IF($J78&gt;0,ROUNDUP((S78*Constraints!$D$4/$J78/100)+S78,0),"-")</f>
        <v>-</v>
      </c>
      <c r="Y78" s="54" t="str">
        <f>IF($J78&gt;0,ROUNDUP((T78*Constraints!$D$4/$J78/100)+T78,0),"-")</f>
        <v>-</v>
      </c>
      <c r="AA78" s="25">
        <f t="shared" si="56"/>
        <v>0</v>
      </c>
      <c r="AB78" s="110" t="str">
        <f>IF(AA78&gt;Constraints!$D$5,Rios!AA78-Constraints!$D$5,"-")</f>
        <v>-</v>
      </c>
      <c r="AD78" s="30" t="str">
        <f t="shared" si="43"/>
        <v>-</v>
      </c>
      <c r="AE78" s="30" t="str">
        <f t="shared" si="44"/>
        <v>-</v>
      </c>
      <c r="AF78" s="30" t="str">
        <f t="shared" si="45"/>
        <v>-</v>
      </c>
      <c r="AG78" s="30" t="str">
        <f t="shared" si="46"/>
        <v>-</v>
      </c>
      <c r="AI78" s="25">
        <f t="shared" si="57"/>
        <v>0</v>
      </c>
      <c r="AJ78" s="110" t="str">
        <f>IF(AI78&gt;Constraints!$D$6,Rios!AI78-Constraints!$D$6,"-")</f>
        <v>-</v>
      </c>
      <c r="AL78" s="25" t="str">
        <f>IF(AM78&lt;&gt;"",VLOOKUP(AM78,Constraints!I:J,2,FALSE),"")</f>
        <v/>
      </c>
      <c r="AM78" s="105"/>
      <c r="AN78" s="30" t="str">
        <f>IF($AL78&lt;&gt;"",VLOOKUP($AL78,Constraints!$H:$V,4,FALSE),"-")</f>
        <v>-</v>
      </c>
      <c r="AO78" s="30" t="str">
        <f>IF($AL78&lt;&gt;"",VLOOKUP($AL78,Constraints!$H:$V,7,FALSE),"-")</f>
        <v>-</v>
      </c>
      <c r="AP78" s="30" t="str">
        <f>IF($AL78&lt;&gt;"",VLOOKUP($AL78,Constraints!$H:$V,10,FALSE),"-")</f>
        <v>-</v>
      </c>
      <c r="AQ78" s="30" t="str">
        <f>IF($AL78&lt;&gt;"",VLOOKUP($AL78,Constraints!$H:$V,13,FALSE),"-")</f>
        <v>-</v>
      </c>
      <c r="AS78" s="54" t="str">
        <f>IF($AL78&lt;&gt;"",VLOOKUP($AL78,Constraints!$H:$AG,23,FALSE),"-")</f>
        <v>-</v>
      </c>
      <c r="AT78" s="54" t="str">
        <f>IF($AL78&lt;&gt;"",VLOOKUP($AL78,Constraints!$H:$AG,24,FALSE),"-")</f>
        <v>-</v>
      </c>
      <c r="AU78" s="54" t="str">
        <f>IF($AL78&lt;&gt;"",VLOOKUP($AL78,Constraints!$H:$AG,25,FALSE),"-")</f>
        <v>-</v>
      </c>
      <c r="AV78" s="54" t="str">
        <f>IF($AL78&lt;&gt;"",VLOOKUP($AL78,Constraints!$H:$AG,26,FALSE),"-")</f>
        <v>-</v>
      </c>
      <c r="AX78" s="30" t="str">
        <f t="shared" si="47"/>
        <v>na</v>
      </c>
      <c r="AY78" s="30" t="str">
        <f t="shared" si="48"/>
        <v>na</v>
      </c>
      <c r="AZ78" s="30" t="str">
        <f t="shared" si="49"/>
        <v>na</v>
      </c>
      <c r="BA78" s="30" t="str">
        <f t="shared" si="50"/>
        <v>na</v>
      </c>
      <c r="BC78" s="18" t="str">
        <f t="shared" si="58"/>
        <v>-</v>
      </c>
      <c r="BD78" s="18" t="str">
        <f t="shared" si="51"/>
        <v>-</v>
      </c>
      <c r="BE78" s="18" t="str">
        <f t="shared" si="59"/>
        <v>-</v>
      </c>
      <c r="BG78" s="54" t="str">
        <f t="shared" si="52"/>
        <v>-</v>
      </c>
      <c r="BH78" s="54" t="str">
        <f t="shared" si="53"/>
        <v>-</v>
      </c>
      <c r="BI78" s="54" t="str">
        <f t="shared" si="54"/>
        <v>-</v>
      </c>
      <c r="BJ78" s="54" t="str">
        <f t="shared" si="55"/>
        <v>-</v>
      </c>
      <c r="BK78" s="58"/>
    </row>
    <row r="79" spans="2:63" x14ac:dyDescent="0.25">
      <c r="B79" s="62">
        <f>SUMIFS(Areas!J:J,Areas!$A:$A,Rios!$A79)</f>
        <v>0</v>
      </c>
      <c r="C79" s="62">
        <f>SUMIFS(Areas!K:K,Areas!$A:$A,Rios!$A79)</f>
        <v>0</v>
      </c>
      <c r="D79" s="62">
        <f>SUMIFS(Areas!L:L,Areas!$A:$A,Rios!$A79)</f>
        <v>0</v>
      </c>
      <c r="E79" s="62">
        <f>SUMIFS(Areas!M:M,Areas!$A:$A,Rios!$A79)</f>
        <v>0</v>
      </c>
      <c r="F79" s="40" t="str">
        <f>IF($A79&lt;&gt;"",VLOOKUP(Rios!$A79,Areas!$A:$I,F$2,FALSE),"-")</f>
        <v>-</v>
      </c>
      <c r="G79" t="str">
        <f>IF($A79&lt;&gt;"",VLOOKUP(Rios!$A79,Areas!$A:$I,G$2,FALSE),"-")</f>
        <v>-</v>
      </c>
      <c r="H79" s="40" t="str">
        <f>IF($A79&lt;&gt;"",VLOOKUP(Rios!$A79,Areas!$A:$I,H$2,FALSE),"-")</f>
        <v>-</v>
      </c>
      <c r="J79" s="48">
        <v>0</v>
      </c>
      <c r="L79" s="54" t="str">
        <f t="shared" si="39"/>
        <v>-</v>
      </c>
      <c r="M79" s="54" t="str">
        <f t="shared" si="40"/>
        <v>-</v>
      </c>
      <c r="N79" s="54" t="str">
        <f t="shared" si="41"/>
        <v>-</v>
      </c>
      <c r="O79" s="54" t="str">
        <f t="shared" si="42"/>
        <v>-</v>
      </c>
      <c r="Q79" s="54" t="str">
        <f>IF($J79&gt;0,ROUNDUP((L79*Constraints!$D$3/$J79/100)+L79,0),"-")</f>
        <v>-</v>
      </c>
      <c r="R79" s="54" t="str">
        <f>IF($J79&gt;0,ROUNDUP((M79*Constraints!$D$3/$J79/100)+M79,0),"-")</f>
        <v>-</v>
      </c>
      <c r="S79" s="54" t="str">
        <f>IF($J79&gt;0,ROUNDUP((N79*Constraints!$D$3/$J79/100)+N79,0),"-")</f>
        <v>-</v>
      </c>
      <c r="T79" s="54" t="str">
        <f>IF($J79&gt;0,ROUNDUP((O79*Constraints!$D$3/$J79/100)+O79,0),"-")</f>
        <v>-</v>
      </c>
      <c r="V79" s="54" t="str">
        <f>IF($J79&gt;0,ROUNDUP((Q79*Constraints!$D$4/$J79/100)+Q79,0),"-")</f>
        <v>-</v>
      </c>
      <c r="W79" s="54" t="str">
        <f>IF($J79&gt;0,ROUNDUP((R79*Constraints!$D$4/$J79/100)+R79,0),"-")</f>
        <v>-</v>
      </c>
      <c r="X79" s="54" t="str">
        <f>IF($J79&gt;0,ROUNDUP((S79*Constraints!$D$4/$J79/100)+S79,0),"-")</f>
        <v>-</v>
      </c>
      <c r="Y79" s="54" t="str">
        <f>IF($J79&gt;0,ROUNDUP((T79*Constraints!$D$4/$J79/100)+T79,0),"-")</f>
        <v>-</v>
      </c>
      <c r="AA79" s="25">
        <f t="shared" si="56"/>
        <v>0</v>
      </c>
      <c r="AB79" s="110" t="str">
        <f>IF(AA79&gt;Constraints!$D$5,Rios!AA79-Constraints!$D$5,"-")</f>
        <v>-</v>
      </c>
      <c r="AD79" s="30" t="str">
        <f t="shared" si="43"/>
        <v>-</v>
      </c>
      <c r="AE79" s="30" t="str">
        <f t="shared" si="44"/>
        <v>-</v>
      </c>
      <c r="AF79" s="30" t="str">
        <f t="shared" si="45"/>
        <v>-</v>
      </c>
      <c r="AG79" s="30" t="str">
        <f t="shared" si="46"/>
        <v>-</v>
      </c>
      <c r="AI79" s="25">
        <f t="shared" si="57"/>
        <v>0</v>
      </c>
      <c r="AJ79" s="110" t="str">
        <f>IF(AI79&gt;Constraints!$D$6,Rios!AI79-Constraints!$D$6,"-")</f>
        <v>-</v>
      </c>
      <c r="AL79" s="25" t="str">
        <f>IF(AM79&lt;&gt;"",VLOOKUP(AM79,Constraints!I:J,2,FALSE),"")</f>
        <v/>
      </c>
      <c r="AM79" s="105"/>
      <c r="AN79" s="30" t="str">
        <f>IF($AL79&lt;&gt;"",VLOOKUP($AL79,Constraints!$H:$V,4,FALSE),"-")</f>
        <v>-</v>
      </c>
      <c r="AO79" s="30" t="str">
        <f>IF($AL79&lt;&gt;"",VLOOKUP($AL79,Constraints!$H:$V,7,FALSE),"-")</f>
        <v>-</v>
      </c>
      <c r="AP79" s="30" t="str">
        <f>IF($AL79&lt;&gt;"",VLOOKUP($AL79,Constraints!$H:$V,10,FALSE),"-")</f>
        <v>-</v>
      </c>
      <c r="AQ79" s="30" t="str">
        <f>IF($AL79&lt;&gt;"",VLOOKUP($AL79,Constraints!$H:$V,13,FALSE),"-")</f>
        <v>-</v>
      </c>
      <c r="AS79" s="54" t="str">
        <f>IF($AL79&lt;&gt;"",VLOOKUP($AL79,Constraints!$H:$AG,23,FALSE),"-")</f>
        <v>-</v>
      </c>
      <c r="AT79" s="54" t="str">
        <f>IF($AL79&lt;&gt;"",VLOOKUP($AL79,Constraints!$H:$AG,24,FALSE),"-")</f>
        <v>-</v>
      </c>
      <c r="AU79" s="54" t="str">
        <f>IF($AL79&lt;&gt;"",VLOOKUP($AL79,Constraints!$H:$AG,25,FALSE),"-")</f>
        <v>-</v>
      </c>
      <c r="AV79" s="54" t="str">
        <f>IF($AL79&lt;&gt;"",VLOOKUP($AL79,Constraints!$H:$AG,26,FALSE),"-")</f>
        <v>-</v>
      </c>
      <c r="AX79" s="30" t="str">
        <f t="shared" si="47"/>
        <v>na</v>
      </c>
      <c r="AY79" s="30" t="str">
        <f t="shared" si="48"/>
        <v>na</v>
      </c>
      <c r="AZ79" s="30" t="str">
        <f t="shared" si="49"/>
        <v>na</v>
      </c>
      <c r="BA79" s="30" t="str">
        <f t="shared" si="50"/>
        <v>na</v>
      </c>
      <c r="BC79" s="18" t="str">
        <f t="shared" si="58"/>
        <v>-</v>
      </c>
      <c r="BD79" s="18" t="str">
        <f t="shared" si="51"/>
        <v>-</v>
      </c>
      <c r="BE79" s="18" t="str">
        <f t="shared" si="59"/>
        <v>-</v>
      </c>
      <c r="BG79" s="54" t="str">
        <f t="shared" si="52"/>
        <v>-</v>
      </c>
      <c r="BH79" s="54" t="str">
        <f t="shared" si="53"/>
        <v>-</v>
      </c>
      <c r="BI79" s="54" t="str">
        <f t="shared" si="54"/>
        <v>-</v>
      </c>
      <c r="BJ79" s="54" t="str">
        <f t="shared" si="55"/>
        <v>-</v>
      </c>
      <c r="BK79" s="58"/>
    </row>
    <row r="80" spans="2:63" x14ac:dyDescent="0.25">
      <c r="B80" s="62">
        <f>SUMIFS(Areas!J:J,Areas!$A:$A,Rios!$A80)</f>
        <v>0</v>
      </c>
      <c r="C80" s="62">
        <f>SUMIFS(Areas!K:K,Areas!$A:$A,Rios!$A80)</f>
        <v>0</v>
      </c>
      <c r="D80" s="62">
        <f>SUMIFS(Areas!L:L,Areas!$A:$A,Rios!$A80)</f>
        <v>0</v>
      </c>
      <c r="E80" s="62">
        <f>SUMIFS(Areas!M:M,Areas!$A:$A,Rios!$A80)</f>
        <v>0</v>
      </c>
      <c r="F80" s="40" t="str">
        <f>IF($A80&lt;&gt;"",VLOOKUP(Rios!$A80,Areas!$A:$I,F$2,FALSE),"-")</f>
        <v>-</v>
      </c>
      <c r="G80" t="str">
        <f>IF($A80&lt;&gt;"",VLOOKUP(Rios!$A80,Areas!$A:$I,G$2,FALSE),"-")</f>
        <v>-</v>
      </c>
      <c r="H80" s="40" t="str">
        <f>IF($A80&lt;&gt;"",VLOOKUP(Rios!$A80,Areas!$A:$I,H$2,FALSE),"-")</f>
        <v>-</v>
      </c>
      <c r="J80" s="48">
        <v>0</v>
      </c>
      <c r="L80" s="54" t="str">
        <f t="shared" si="39"/>
        <v>-</v>
      </c>
      <c r="M80" s="54" t="str">
        <f t="shared" si="40"/>
        <v>-</v>
      </c>
      <c r="N80" s="54" t="str">
        <f t="shared" si="41"/>
        <v>-</v>
      </c>
      <c r="O80" s="54" t="str">
        <f t="shared" si="42"/>
        <v>-</v>
      </c>
      <c r="Q80" s="54" t="str">
        <f>IF($J80&gt;0,ROUNDUP((L80*Constraints!$D$3/$J80/100)+L80,0),"-")</f>
        <v>-</v>
      </c>
      <c r="R80" s="54" t="str">
        <f>IF($J80&gt;0,ROUNDUP((M80*Constraints!$D$3/$J80/100)+M80,0),"-")</f>
        <v>-</v>
      </c>
      <c r="S80" s="54" t="str">
        <f>IF($J80&gt;0,ROUNDUP((N80*Constraints!$D$3/$J80/100)+N80,0),"-")</f>
        <v>-</v>
      </c>
      <c r="T80" s="54" t="str">
        <f>IF($J80&gt;0,ROUNDUP((O80*Constraints!$D$3/$J80/100)+O80,0),"-")</f>
        <v>-</v>
      </c>
      <c r="V80" s="54" t="str">
        <f>IF($J80&gt;0,ROUNDUP((Q80*Constraints!$D$4/$J80/100)+Q80,0),"-")</f>
        <v>-</v>
      </c>
      <c r="W80" s="54" t="str">
        <f>IF($J80&gt;0,ROUNDUP((R80*Constraints!$D$4/$J80/100)+R80,0),"-")</f>
        <v>-</v>
      </c>
      <c r="X80" s="54" t="str">
        <f>IF($J80&gt;0,ROUNDUP((S80*Constraints!$D$4/$J80/100)+S80,0),"-")</f>
        <v>-</v>
      </c>
      <c r="Y80" s="54" t="str">
        <f>IF($J80&gt;0,ROUNDUP((T80*Constraints!$D$4/$J80/100)+T80,0),"-")</f>
        <v>-</v>
      </c>
      <c r="AA80" s="25">
        <f t="shared" si="56"/>
        <v>0</v>
      </c>
      <c r="AB80" s="110" t="str">
        <f>IF(AA80&gt;Constraints!$D$5,Rios!AA80-Constraints!$D$5,"-")</f>
        <v>-</v>
      </c>
      <c r="AD80" s="30" t="str">
        <f t="shared" si="43"/>
        <v>-</v>
      </c>
      <c r="AE80" s="30" t="str">
        <f t="shared" si="44"/>
        <v>-</v>
      </c>
      <c r="AF80" s="30" t="str">
        <f t="shared" si="45"/>
        <v>-</v>
      </c>
      <c r="AG80" s="30" t="str">
        <f t="shared" si="46"/>
        <v>-</v>
      </c>
      <c r="AI80" s="25">
        <f t="shared" si="57"/>
        <v>0</v>
      </c>
      <c r="AJ80" s="110" t="str">
        <f>IF(AI80&gt;Constraints!$D$6,Rios!AI80-Constraints!$D$6,"-")</f>
        <v>-</v>
      </c>
      <c r="AL80" s="25" t="str">
        <f>IF(AM80&lt;&gt;"",VLOOKUP(AM80,Constraints!I:J,2,FALSE),"")</f>
        <v/>
      </c>
      <c r="AM80" s="105"/>
      <c r="AN80" s="30" t="str">
        <f>IF($AL80&lt;&gt;"",VLOOKUP($AL80,Constraints!$H:$V,4,FALSE),"-")</f>
        <v>-</v>
      </c>
      <c r="AO80" s="30" t="str">
        <f>IF($AL80&lt;&gt;"",VLOOKUP($AL80,Constraints!$H:$V,7,FALSE),"-")</f>
        <v>-</v>
      </c>
      <c r="AP80" s="30" t="str">
        <f>IF($AL80&lt;&gt;"",VLOOKUP($AL80,Constraints!$H:$V,10,FALSE),"-")</f>
        <v>-</v>
      </c>
      <c r="AQ80" s="30" t="str">
        <f>IF($AL80&lt;&gt;"",VLOOKUP($AL80,Constraints!$H:$V,13,FALSE),"-")</f>
        <v>-</v>
      </c>
      <c r="AS80" s="54" t="str">
        <f>IF($AL80&lt;&gt;"",VLOOKUP($AL80,Constraints!$H:$AG,23,FALSE),"-")</f>
        <v>-</v>
      </c>
      <c r="AT80" s="54" t="str">
        <f>IF($AL80&lt;&gt;"",VLOOKUP($AL80,Constraints!$H:$AG,24,FALSE),"-")</f>
        <v>-</v>
      </c>
      <c r="AU80" s="54" t="str">
        <f>IF($AL80&lt;&gt;"",VLOOKUP($AL80,Constraints!$H:$AG,25,FALSE),"-")</f>
        <v>-</v>
      </c>
      <c r="AV80" s="54" t="str">
        <f>IF($AL80&lt;&gt;"",VLOOKUP($AL80,Constraints!$H:$AG,26,FALSE),"-")</f>
        <v>-</v>
      </c>
      <c r="AX80" s="30" t="str">
        <f t="shared" si="47"/>
        <v>na</v>
      </c>
      <c r="AY80" s="30" t="str">
        <f t="shared" si="48"/>
        <v>na</v>
      </c>
      <c r="AZ80" s="30" t="str">
        <f t="shared" si="49"/>
        <v>na</v>
      </c>
      <c r="BA80" s="30" t="str">
        <f t="shared" si="50"/>
        <v>na</v>
      </c>
      <c r="BC80" s="18" t="str">
        <f t="shared" si="58"/>
        <v>-</v>
      </c>
      <c r="BD80" s="18" t="str">
        <f t="shared" si="51"/>
        <v>-</v>
      </c>
      <c r="BE80" s="18" t="str">
        <f t="shared" si="59"/>
        <v>-</v>
      </c>
      <c r="BG80" s="54" t="str">
        <f t="shared" si="52"/>
        <v>-</v>
      </c>
      <c r="BH80" s="54" t="str">
        <f t="shared" si="53"/>
        <v>-</v>
      </c>
      <c r="BI80" s="54" t="str">
        <f t="shared" si="54"/>
        <v>-</v>
      </c>
      <c r="BJ80" s="54" t="str">
        <f t="shared" si="55"/>
        <v>-</v>
      </c>
      <c r="BK80" s="58"/>
    </row>
    <row r="81" spans="2:63" x14ac:dyDescent="0.25">
      <c r="B81" s="62">
        <f>SUMIFS(Areas!J:J,Areas!$A:$A,Rios!$A81)</f>
        <v>0</v>
      </c>
      <c r="C81" s="62">
        <f>SUMIFS(Areas!K:K,Areas!$A:$A,Rios!$A81)</f>
        <v>0</v>
      </c>
      <c r="D81" s="62">
        <f>SUMIFS(Areas!L:L,Areas!$A:$A,Rios!$A81)</f>
        <v>0</v>
      </c>
      <c r="E81" s="62">
        <f>SUMIFS(Areas!M:M,Areas!$A:$A,Rios!$A81)</f>
        <v>0</v>
      </c>
      <c r="F81" s="40" t="str">
        <f>IF($A81&lt;&gt;"",VLOOKUP(Rios!$A81,Areas!$A:$I,F$2,FALSE),"-")</f>
        <v>-</v>
      </c>
      <c r="G81" t="str">
        <f>IF($A81&lt;&gt;"",VLOOKUP(Rios!$A81,Areas!$A:$I,G$2,FALSE),"-")</f>
        <v>-</v>
      </c>
      <c r="H81" s="40" t="str">
        <f>IF($A81&lt;&gt;"",VLOOKUP(Rios!$A81,Areas!$A:$I,H$2,FALSE),"-")</f>
        <v>-</v>
      </c>
      <c r="J81" s="48">
        <v>0</v>
      </c>
      <c r="L81" s="54" t="str">
        <f t="shared" si="39"/>
        <v>-</v>
      </c>
      <c r="M81" s="54" t="str">
        <f t="shared" si="40"/>
        <v>-</v>
      </c>
      <c r="N81" s="54" t="str">
        <f t="shared" si="41"/>
        <v>-</v>
      </c>
      <c r="O81" s="54" t="str">
        <f t="shared" si="42"/>
        <v>-</v>
      </c>
      <c r="Q81" s="54" t="str">
        <f>IF($J81&gt;0,ROUNDUP((L81*Constraints!$D$3/$J81/100)+L81,0),"-")</f>
        <v>-</v>
      </c>
      <c r="R81" s="54" t="str">
        <f>IF($J81&gt;0,ROUNDUP((M81*Constraints!$D$3/$J81/100)+M81,0),"-")</f>
        <v>-</v>
      </c>
      <c r="S81" s="54" t="str">
        <f>IF($J81&gt;0,ROUNDUP((N81*Constraints!$D$3/$J81/100)+N81,0),"-")</f>
        <v>-</v>
      </c>
      <c r="T81" s="54" t="str">
        <f>IF($J81&gt;0,ROUNDUP((O81*Constraints!$D$3/$J81/100)+O81,0),"-")</f>
        <v>-</v>
      </c>
      <c r="V81" s="54" t="str">
        <f>IF($J81&gt;0,ROUNDUP((Q81*Constraints!$D$4/$J81/100)+Q81,0),"-")</f>
        <v>-</v>
      </c>
      <c r="W81" s="54" t="str">
        <f>IF($J81&gt;0,ROUNDUP((R81*Constraints!$D$4/$J81/100)+R81,0),"-")</f>
        <v>-</v>
      </c>
      <c r="X81" s="54" t="str">
        <f>IF($J81&gt;0,ROUNDUP((S81*Constraints!$D$4/$J81/100)+S81,0),"-")</f>
        <v>-</v>
      </c>
      <c r="Y81" s="54" t="str">
        <f>IF($J81&gt;0,ROUNDUP((T81*Constraints!$D$4/$J81/100)+T81,0),"-")</f>
        <v>-</v>
      </c>
      <c r="AA81" s="25">
        <f t="shared" si="56"/>
        <v>0</v>
      </c>
      <c r="AB81" s="110" t="str">
        <f>IF(AA81&gt;Constraints!$D$5,Rios!AA81-Constraints!$D$5,"-")</f>
        <v>-</v>
      </c>
      <c r="AD81" s="30" t="str">
        <f t="shared" si="43"/>
        <v>-</v>
      </c>
      <c r="AE81" s="30" t="str">
        <f t="shared" si="44"/>
        <v>-</v>
      </c>
      <c r="AF81" s="30" t="str">
        <f t="shared" si="45"/>
        <v>-</v>
      </c>
      <c r="AG81" s="30" t="str">
        <f t="shared" si="46"/>
        <v>-</v>
      </c>
      <c r="AI81" s="25">
        <f t="shared" si="57"/>
        <v>0</v>
      </c>
      <c r="AJ81" s="110" t="str">
        <f>IF(AI81&gt;Constraints!$D$6,Rios!AI81-Constraints!$D$6,"-")</f>
        <v>-</v>
      </c>
      <c r="AL81" s="25" t="str">
        <f>IF(AM81&lt;&gt;"",VLOOKUP(AM81,Constraints!I:J,2,FALSE),"")</f>
        <v/>
      </c>
      <c r="AM81" s="105"/>
      <c r="AN81" s="30" t="str">
        <f>IF($AL81&lt;&gt;"",VLOOKUP($AL81,Constraints!$H:$V,4,FALSE),"-")</f>
        <v>-</v>
      </c>
      <c r="AO81" s="30" t="str">
        <f>IF($AL81&lt;&gt;"",VLOOKUP($AL81,Constraints!$H:$V,7,FALSE),"-")</f>
        <v>-</v>
      </c>
      <c r="AP81" s="30" t="str">
        <f>IF($AL81&lt;&gt;"",VLOOKUP($AL81,Constraints!$H:$V,10,FALSE),"-")</f>
        <v>-</v>
      </c>
      <c r="AQ81" s="30" t="str">
        <f>IF($AL81&lt;&gt;"",VLOOKUP($AL81,Constraints!$H:$V,13,FALSE),"-")</f>
        <v>-</v>
      </c>
      <c r="AS81" s="54" t="str">
        <f>IF($AL81&lt;&gt;"",VLOOKUP($AL81,Constraints!$H:$AG,23,FALSE),"-")</f>
        <v>-</v>
      </c>
      <c r="AT81" s="54" t="str">
        <f>IF($AL81&lt;&gt;"",VLOOKUP($AL81,Constraints!$H:$AG,24,FALSE),"-")</f>
        <v>-</v>
      </c>
      <c r="AU81" s="54" t="str">
        <f>IF($AL81&lt;&gt;"",VLOOKUP($AL81,Constraints!$H:$AG,25,FALSE),"-")</f>
        <v>-</v>
      </c>
      <c r="AV81" s="54" t="str">
        <f>IF($AL81&lt;&gt;"",VLOOKUP($AL81,Constraints!$H:$AG,26,FALSE),"-")</f>
        <v>-</v>
      </c>
      <c r="AX81" s="30" t="str">
        <f t="shared" si="47"/>
        <v>na</v>
      </c>
      <c r="AY81" s="30" t="str">
        <f t="shared" si="48"/>
        <v>na</v>
      </c>
      <c r="AZ81" s="30" t="str">
        <f t="shared" si="49"/>
        <v>na</v>
      </c>
      <c r="BA81" s="30" t="str">
        <f t="shared" si="50"/>
        <v>na</v>
      </c>
      <c r="BC81" s="18" t="str">
        <f t="shared" si="58"/>
        <v>-</v>
      </c>
      <c r="BD81" s="18" t="str">
        <f t="shared" si="51"/>
        <v>-</v>
      </c>
      <c r="BE81" s="18" t="str">
        <f t="shared" si="59"/>
        <v>-</v>
      </c>
      <c r="BG81" s="54" t="str">
        <f t="shared" si="52"/>
        <v>-</v>
      </c>
      <c r="BH81" s="54" t="str">
        <f t="shared" si="53"/>
        <v>-</v>
      </c>
      <c r="BI81" s="54" t="str">
        <f t="shared" si="54"/>
        <v>-</v>
      </c>
      <c r="BJ81" s="54" t="str">
        <f t="shared" si="55"/>
        <v>-</v>
      </c>
      <c r="BK81" s="58"/>
    </row>
    <row r="82" spans="2:63" x14ac:dyDescent="0.25">
      <c r="B82" s="62">
        <f>SUMIFS(Areas!J:J,Areas!$A:$A,Rios!$A82)</f>
        <v>0</v>
      </c>
      <c r="C82" s="62">
        <f>SUMIFS(Areas!K:K,Areas!$A:$A,Rios!$A82)</f>
        <v>0</v>
      </c>
      <c r="D82" s="62">
        <f>SUMIFS(Areas!L:L,Areas!$A:$A,Rios!$A82)</f>
        <v>0</v>
      </c>
      <c r="E82" s="62">
        <f>SUMIFS(Areas!M:M,Areas!$A:$A,Rios!$A82)</f>
        <v>0</v>
      </c>
      <c r="F82" s="40" t="str">
        <f>IF($A82&lt;&gt;"",VLOOKUP(Rios!$A82,Areas!$A:$I,F$2,FALSE),"-")</f>
        <v>-</v>
      </c>
      <c r="G82" t="str">
        <f>IF($A82&lt;&gt;"",VLOOKUP(Rios!$A82,Areas!$A:$I,G$2,FALSE),"-")</f>
        <v>-</v>
      </c>
      <c r="H82" s="40" t="str">
        <f>IF($A82&lt;&gt;"",VLOOKUP(Rios!$A82,Areas!$A:$I,H$2,FALSE),"-")</f>
        <v>-</v>
      </c>
      <c r="J82" s="48">
        <v>0</v>
      </c>
      <c r="L82" s="54" t="str">
        <f t="shared" si="39"/>
        <v>-</v>
      </c>
      <c r="M82" s="54" t="str">
        <f t="shared" si="40"/>
        <v>-</v>
      </c>
      <c r="N82" s="54" t="str">
        <f t="shared" si="41"/>
        <v>-</v>
      </c>
      <c r="O82" s="54" t="str">
        <f t="shared" si="42"/>
        <v>-</v>
      </c>
      <c r="Q82" s="54" t="str">
        <f>IF($J82&gt;0,ROUNDUP((L82*Constraints!$D$3/$J82/100)+L82,0),"-")</f>
        <v>-</v>
      </c>
      <c r="R82" s="54" t="str">
        <f>IF($J82&gt;0,ROUNDUP((M82*Constraints!$D$3/$J82/100)+M82,0),"-")</f>
        <v>-</v>
      </c>
      <c r="S82" s="54" t="str">
        <f>IF($J82&gt;0,ROUNDUP((N82*Constraints!$D$3/$J82/100)+N82,0),"-")</f>
        <v>-</v>
      </c>
      <c r="T82" s="54" t="str">
        <f>IF($J82&gt;0,ROUNDUP((O82*Constraints!$D$3/$J82/100)+O82,0),"-")</f>
        <v>-</v>
      </c>
      <c r="V82" s="54" t="str">
        <f>IF($J82&gt;0,ROUNDUP((Q82*Constraints!$D$4/$J82/100)+Q82,0),"-")</f>
        <v>-</v>
      </c>
      <c r="W82" s="54" t="str">
        <f>IF($J82&gt;0,ROUNDUP((R82*Constraints!$D$4/$J82/100)+R82,0),"-")</f>
        <v>-</v>
      </c>
      <c r="X82" s="54" t="str">
        <f>IF($J82&gt;0,ROUNDUP((S82*Constraints!$D$4/$J82/100)+S82,0),"-")</f>
        <v>-</v>
      </c>
      <c r="Y82" s="54" t="str">
        <f>IF($J82&gt;0,ROUNDUP((T82*Constraints!$D$4/$J82/100)+T82,0),"-")</f>
        <v>-</v>
      </c>
      <c r="AA82" s="25">
        <f t="shared" si="56"/>
        <v>0</v>
      </c>
      <c r="AB82" s="110" t="str">
        <f>IF(AA82&gt;Constraints!$D$5,Rios!AA82-Constraints!$D$5,"-")</f>
        <v>-</v>
      </c>
      <c r="AD82" s="30" t="str">
        <f t="shared" si="43"/>
        <v>-</v>
      </c>
      <c r="AE82" s="30" t="str">
        <f t="shared" si="44"/>
        <v>-</v>
      </c>
      <c r="AF82" s="30" t="str">
        <f t="shared" si="45"/>
        <v>-</v>
      </c>
      <c r="AG82" s="30" t="str">
        <f t="shared" si="46"/>
        <v>-</v>
      </c>
      <c r="AI82" s="25">
        <f t="shared" si="57"/>
        <v>0</v>
      </c>
      <c r="AJ82" s="110" t="str">
        <f>IF(AI82&gt;Constraints!$D$6,Rios!AI82-Constraints!$D$6,"-")</f>
        <v>-</v>
      </c>
      <c r="AL82" s="25" t="str">
        <f>IF(AM82&lt;&gt;"",VLOOKUP(AM82,Constraints!I:J,2,FALSE),"")</f>
        <v/>
      </c>
      <c r="AM82" s="105"/>
      <c r="AN82" s="30" t="str">
        <f>IF($AL82&lt;&gt;"",VLOOKUP($AL82,Constraints!$H:$V,4,FALSE),"-")</f>
        <v>-</v>
      </c>
      <c r="AO82" s="30" t="str">
        <f>IF($AL82&lt;&gt;"",VLOOKUP($AL82,Constraints!$H:$V,7,FALSE),"-")</f>
        <v>-</v>
      </c>
      <c r="AP82" s="30" t="str">
        <f>IF($AL82&lt;&gt;"",VLOOKUP($AL82,Constraints!$H:$V,10,FALSE),"-")</f>
        <v>-</v>
      </c>
      <c r="AQ82" s="30" t="str">
        <f>IF($AL82&lt;&gt;"",VLOOKUP($AL82,Constraints!$H:$V,13,FALSE),"-")</f>
        <v>-</v>
      </c>
      <c r="AS82" s="54" t="str">
        <f>IF($AL82&lt;&gt;"",VLOOKUP($AL82,Constraints!$H:$AG,23,FALSE),"-")</f>
        <v>-</v>
      </c>
      <c r="AT82" s="54" t="str">
        <f>IF($AL82&lt;&gt;"",VLOOKUP($AL82,Constraints!$H:$AG,24,FALSE),"-")</f>
        <v>-</v>
      </c>
      <c r="AU82" s="54" t="str">
        <f>IF($AL82&lt;&gt;"",VLOOKUP($AL82,Constraints!$H:$AG,25,FALSE),"-")</f>
        <v>-</v>
      </c>
      <c r="AV82" s="54" t="str">
        <f>IF($AL82&lt;&gt;"",VLOOKUP($AL82,Constraints!$H:$AG,26,FALSE),"-")</f>
        <v>-</v>
      </c>
      <c r="AX82" s="30" t="str">
        <f t="shared" si="47"/>
        <v>na</v>
      </c>
      <c r="AY82" s="30" t="str">
        <f t="shared" si="48"/>
        <v>na</v>
      </c>
      <c r="AZ82" s="30" t="str">
        <f t="shared" si="49"/>
        <v>na</v>
      </c>
      <c r="BA82" s="30" t="str">
        <f t="shared" si="50"/>
        <v>na</v>
      </c>
      <c r="BC82" s="18" t="str">
        <f t="shared" si="58"/>
        <v>-</v>
      </c>
      <c r="BD82" s="18" t="str">
        <f t="shared" si="51"/>
        <v>-</v>
      </c>
      <c r="BE82" s="18" t="str">
        <f t="shared" si="59"/>
        <v>-</v>
      </c>
      <c r="BG82" s="54" t="str">
        <f t="shared" si="52"/>
        <v>-</v>
      </c>
      <c r="BH82" s="54" t="str">
        <f t="shared" si="53"/>
        <v>-</v>
      </c>
      <c r="BI82" s="54" t="str">
        <f t="shared" si="54"/>
        <v>-</v>
      </c>
      <c r="BJ82" s="54" t="str">
        <f t="shared" si="55"/>
        <v>-</v>
      </c>
      <c r="BK82" s="58"/>
    </row>
    <row r="83" spans="2:63" x14ac:dyDescent="0.25">
      <c r="B83" s="62">
        <f>SUMIFS(Areas!J:J,Areas!$A:$A,Rios!$A83)</f>
        <v>0</v>
      </c>
      <c r="C83" s="62">
        <f>SUMIFS(Areas!K:K,Areas!$A:$A,Rios!$A83)</f>
        <v>0</v>
      </c>
      <c r="D83" s="62">
        <f>SUMIFS(Areas!L:L,Areas!$A:$A,Rios!$A83)</f>
        <v>0</v>
      </c>
      <c r="E83" s="62">
        <f>SUMIFS(Areas!M:M,Areas!$A:$A,Rios!$A83)</f>
        <v>0</v>
      </c>
      <c r="F83" s="40" t="str">
        <f>IF($A83&lt;&gt;"",VLOOKUP(Rios!$A83,Areas!$A:$I,F$2,FALSE),"-")</f>
        <v>-</v>
      </c>
      <c r="G83" t="str">
        <f>IF($A83&lt;&gt;"",VLOOKUP(Rios!$A83,Areas!$A:$I,G$2,FALSE),"-")</f>
        <v>-</v>
      </c>
      <c r="H83" s="40" t="str">
        <f>IF($A83&lt;&gt;"",VLOOKUP(Rios!$A83,Areas!$A:$I,H$2,FALSE),"-")</f>
        <v>-</v>
      </c>
      <c r="J83" s="48">
        <v>0</v>
      </c>
      <c r="L83" s="54" t="str">
        <f t="shared" si="39"/>
        <v>-</v>
      </c>
      <c r="M83" s="54" t="str">
        <f t="shared" si="40"/>
        <v>-</v>
      </c>
      <c r="N83" s="54" t="str">
        <f t="shared" si="41"/>
        <v>-</v>
      </c>
      <c r="O83" s="54" t="str">
        <f t="shared" si="42"/>
        <v>-</v>
      </c>
      <c r="Q83" s="54" t="str">
        <f>IF($J83&gt;0,ROUNDUP((L83*Constraints!$D$3/$J83/100)+L83,0),"-")</f>
        <v>-</v>
      </c>
      <c r="R83" s="54" t="str">
        <f>IF($J83&gt;0,ROUNDUP((M83*Constraints!$D$3/$J83/100)+M83,0),"-")</f>
        <v>-</v>
      </c>
      <c r="S83" s="54" t="str">
        <f>IF($J83&gt;0,ROUNDUP((N83*Constraints!$D$3/$J83/100)+N83,0),"-")</f>
        <v>-</v>
      </c>
      <c r="T83" s="54" t="str">
        <f>IF($J83&gt;0,ROUNDUP((O83*Constraints!$D$3/$J83/100)+O83,0),"-")</f>
        <v>-</v>
      </c>
      <c r="V83" s="54" t="str">
        <f>IF($J83&gt;0,ROUNDUP((Q83*Constraints!$D$4/$J83/100)+Q83,0),"-")</f>
        <v>-</v>
      </c>
      <c r="W83" s="54" t="str">
        <f>IF($J83&gt;0,ROUNDUP((R83*Constraints!$D$4/$J83/100)+R83,0),"-")</f>
        <v>-</v>
      </c>
      <c r="X83" s="54" t="str">
        <f>IF($J83&gt;0,ROUNDUP((S83*Constraints!$D$4/$J83/100)+S83,0),"-")</f>
        <v>-</v>
      </c>
      <c r="Y83" s="54" t="str">
        <f>IF($J83&gt;0,ROUNDUP((T83*Constraints!$D$4/$J83/100)+T83,0),"-")</f>
        <v>-</v>
      </c>
      <c r="AA83" s="25">
        <f t="shared" si="56"/>
        <v>0</v>
      </c>
      <c r="AB83" s="110" t="str">
        <f>IF(AA83&gt;Constraints!$D$5,Rios!AA83-Constraints!$D$5,"-")</f>
        <v>-</v>
      </c>
      <c r="AD83" s="30" t="str">
        <f t="shared" si="43"/>
        <v>-</v>
      </c>
      <c r="AE83" s="30" t="str">
        <f t="shared" si="44"/>
        <v>-</v>
      </c>
      <c r="AF83" s="30" t="str">
        <f t="shared" si="45"/>
        <v>-</v>
      </c>
      <c r="AG83" s="30" t="str">
        <f t="shared" si="46"/>
        <v>-</v>
      </c>
      <c r="AI83" s="25">
        <f t="shared" si="57"/>
        <v>0</v>
      </c>
      <c r="AJ83" s="110" t="str">
        <f>IF(AI83&gt;Constraints!$D$6,Rios!AI83-Constraints!$D$6,"-")</f>
        <v>-</v>
      </c>
      <c r="AL83" s="25" t="str">
        <f>IF(AM83&lt;&gt;"",VLOOKUP(AM83,Constraints!I:J,2,FALSE),"")</f>
        <v/>
      </c>
      <c r="AM83" s="105"/>
      <c r="AN83" s="30" t="str">
        <f>IF($AL83&lt;&gt;"",VLOOKUP($AL83,Constraints!$H:$V,4,FALSE),"-")</f>
        <v>-</v>
      </c>
      <c r="AO83" s="30" t="str">
        <f>IF($AL83&lt;&gt;"",VLOOKUP($AL83,Constraints!$H:$V,7,FALSE),"-")</f>
        <v>-</v>
      </c>
      <c r="AP83" s="30" t="str">
        <f>IF($AL83&lt;&gt;"",VLOOKUP($AL83,Constraints!$H:$V,10,FALSE),"-")</f>
        <v>-</v>
      </c>
      <c r="AQ83" s="30" t="str">
        <f>IF($AL83&lt;&gt;"",VLOOKUP($AL83,Constraints!$H:$V,13,FALSE),"-")</f>
        <v>-</v>
      </c>
      <c r="AS83" s="54" t="str">
        <f>IF($AL83&lt;&gt;"",VLOOKUP($AL83,Constraints!$H:$AG,23,FALSE),"-")</f>
        <v>-</v>
      </c>
      <c r="AT83" s="54" t="str">
        <f>IF($AL83&lt;&gt;"",VLOOKUP($AL83,Constraints!$H:$AG,24,FALSE),"-")</f>
        <v>-</v>
      </c>
      <c r="AU83" s="54" t="str">
        <f>IF($AL83&lt;&gt;"",VLOOKUP($AL83,Constraints!$H:$AG,25,FALSE),"-")</f>
        <v>-</v>
      </c>
      <c r="AV83" s="54" t="str">
        <f>IF($AL83&lt;&gt;"",VLOOKUP($AL83,Constraints!$H:$AG,26,FALSE),"-")</f>
        <v>-</v>
      </c>
      <c r="AX83" s="30" t="str">
        <f t="shared" si="47"/>
        <v>na</v>
      </c>
      <c r="AY83" s="30" t="str">
        <f t="shared" si="48"/>
        <v>na</v>
      </c>
      <c r="AZ83" s="30" t="str">
        <f t="shared" si="49"/>
        <v>na</v>
      </c>
      <c r="BA83" s="30" t="str">
        <f t="shared" si="50"/>
        <v>na</v>
      </c>
      <c r="BC83" s="18" t="str">
        <f t="shared" si="58"/>
        <v>-</v>
      </c>
      <c r="BD83" s="18" t="str">
        <f t="shared" si="51"/>
        <v>-</v>
      </c>
      <c r="BE83" s="18" t="str">
        <f t="shared" si="59"/>
        <v>-</v>
      </c>
      <c r="BG83" s="54" t="str">
        <f t="shared" si="52"/>
        <v>-</v>
      </c>
      <c r="BH83" s="54" t="str">
        <f t="shared" si="53"/>
        <v>-</v>
      </c>
      <c r="BI83" s="54" t="str">
        <f t="shared" si="54"/>
        <v>-</v>
      </c>
      <c r="BJ83" s="54" t="str">
        <f t="shared" si="55"/>
        <v>-</v>
      </c>
      <c r="BK83" s="58"/>
    </row>
    <row r="84" spans="2:63" x14ac:dyDescent="0.25">
      <c r="B84" s="62">
        <f>SUMIFS(Areas!J:J,Areas!$A:$A,Rios!$A84)</f>
        <v>0</v>
      </c>
      <c r="C84" s="62">
        <f>SUMIFS(Areas!K:K,Areas!$A:$A,Rios!$A84)</f>
        <v>0</v>
      </c>
      <c r="D84" s="62">
        <f>SUMIFS(Areas!L:L,Areas!$A:$A,Rios!$A84)</f>
        <v>0</v>
      </c>
      <c r="E84" s="62">
        <f>SUMIFS(Areas!M:M,Areas!$A:$A,Rios!$A84)</f>
        <v>0</v>
      </c>
      <c r="F84" s="40" t="str">
        <f>IF($A84&lt;&gt;"",VLOOKUP(Rios!$A84,Areas!$A:$I,F$2,FALSE),"-")</f>
        <v>-</v>
      </c>
      <c r="G84" t="str">
        <f>IF($A84&lt;&gt;"",VLOOKUP(Rios!$A84,Areas!$A:$I,G$2,FALSE),"-")</f>
        <v>-</v>
      </c>
      <c r="H84" s="40" t="str">
        <f>IF($A84&lt;&gt;"",VLOOKUP(Rios!$A84,Areas!$A:$I,H$2,FALSE),"-")</f>
        <v>-</v>
      </c>
      <c r="J84" s="48">
        <v>0</v>
      </c>
      <c r="L84" s="54" t="str">
        <f t="shared" si="39"/>
        <v>-</v>
      </c>
      <c r="M84" s="54" t="str">
        <f t="shared" si="40"/>
        <v>-</v>
      </c>
      <c r="N84" s="54" t="str">
        <f t="shared" si="41"/>
        <v>-</v>
      </c>
      <c r="O84" s="54" t="str">
        <f t="shared" si="42"/>
        <v>-</v>
      </c>
      <c r="Q84" s="54" t="str">
        <f>IF($J84&gt;0,ROUNDUP((L84*Constraints!$D$3/$J84/100)+L84,0),"-")</f>
        <v>-</v>
      </c>
      <c r="R84" s="54" t="str">
        <f>IF($J84&gt;0,ROUNDUP((M84*Constraints!$D$3/$J84/100)+M84,0),"-")</f>
        <v>-</v>
      </c>
      <c r="S84" s="54" t="str">
        <f>IF($J84&gt;0,ROUNDUP((N84*Constraints!$D$3/$J84/100)+N84,0),"-")</f>
        <v>-</v>
      </c>
      <c r="T84" s="54" t="str">
        <f>IF($J84&gt;0,ROUNDUP((O84*Constraints!$D$3/$J84/100)+O84,0),"-")</f>
        <v>-</v>
      </c>
      <c r="V84" s="54" t="str">
        <f>IF($J84&gt;0,ROUNDUP((Q84*Constraints!$D$4/$J84/100)+Q84,0),"-")</f>
        <v>-</v>
      </c>
      <c r="W84" s="54" t="str">
        <f>IF($J84&gt;0,ROUNDUP((R84*Constraints!$D$4/$J84/100)+R84,0),"-")</f>
        <v>-</v>
      </c>
      <c r="X84" s="54" t="str">
        <f>IF($J84&gt;0,ROUNDUP((S84*Constraints!$D$4/$J84/100)+S84,0),"-")</f>
        <v>-</v>
      </c>
      <c r="Y84" s="54" t="str">
        <f>IF($J84&gt;0,ROUNDUP((T84*Constraints!$D$4/$J84/100)+T84,0),"-")</f>
        <v>-</v>
      </c>
      <c r="AA84" s="25">
        <f t="shared" si="56"/>
        <v>0</v>
      </c>
      <c r="AB84" s="110" t="str">
        <f>IF(AA84&gt;Constraints!$D$5,Rios!AA84-Constraints!$D$5,"-")</f>
        <v>-</v>
      </c>
      <c r="AD84" s="30" t="str">
        <f t="shared" si="43"/>
        <v>-</v>
      </c>
      <c r="AE84" s="30" t="str">
        <f t="shared" si="44"/>
        <v>-</v>
      </c>
      <c r="AF84" s="30" t="str">
        <f t="shared" si="45"/>
        <v>-</v>
      </c>
      <c r="AG84" s="30" t="str">
        <f t="shared" si="46"/>
        <v>-</v>
      </c>
      <c r="AI84" s="25">
        <f t="shared" si="57"/>
        <v>0</v>
      </c>
      <c r="AJ84" s="110" t="str">
        <f>IF(AI84&gt;Constraints!$D$6,Rios!AI84-Constraints!$D$6,"-")</f>
        <v>-</v>
      </c>
      <c r="AL84" s="25" t="str">
        <f>IF(AM84&lt;&gt;"",VLOOKUP(AM84,Constraints!I:J,2,FALSE),"")</f>
        <v/>
      </c>
      <c r="AM84" s="105"/>
      <c r="AN84" s="30" t="str">
        <f>IF($AL84&lt;&gt;"",VLOOKUP($AL84,Constraints!$H:$V,4,FALSE),"-")</f>
        <v>-</v>
      </c>
      <c r="AO84" s="30" t="str">
        <f>IF($AL84&lt;&gt;"",VLOOKUP($AL84,Constraints!$H:$V,7,FALSE),"-")</f>
        <v>-</v>
      </c>
      <c r="AP84" s="30" t="str">
        <f>IF($AL84&lt;&gt;"",VLOOKUP($AL84,Constraints!$H:$V,10,FALSE),"-")</f>
        <v>-</v>
      </c>
      <c r="AQ84" s="30" t="str">
        <f>IF($AL84&lt;&gt;"",VLOOKUP($AL84,Constraints!$H:$V,13,FALSE),"-")</f>
        <v>-</v>
      </c>
      <c r="AS84" s="54" t="str">
        <f>IF($AL84&lt;&gt;"",VLOOKUP($AL84,Constraints!$H:$AG,23,FALSE),"-")</f>
        <v>-</v>
      </c>
      <c r="AT84" s="54" t="str">
        <f>IF($AL84&lt;&gt;"",VLOOKUP($AL84,Constraints!$H:$AG,24,FALSE),"-")</f>
        <v>-</v>
      </c>
      <c r="AU84" s="54" t="str">
        <f>IF($AL84&lt;&gt;"",VLOOKUP($AL84,Constraints!$H:$AG,25,FALSE),"-")</f>
        <v>-</v>
      </c>
      <c r="AV84" s="54" t="str">
        <f>IF($AL84&lt;&gt;"",VLOOKUP($AL84,Constraints!$H:$AG,26,FALSE),"-")</f>
        <v>-</v>
      </c>
      <c r="AX84" s="30" t="str">
        <f t="shared" si="47"/>
        <v>na</v>
      </c>
      <c r="AY84" s="30" t="str">
        <f t="shared" si="48"/>
        <v>na</v>
      </c>
      <c r="AZ84" s="30" t="str">
        <f t="shared" si="49"/>
        <v>na</v>
      </c>
      <c r="BA84" s="30" t="str">
        <f t="shared" si="50"/>
        <v>na</v>
      </c>
      <c r="BC84" s="18" t="str">
        <f t="shared" si="58"/>
        <v>-</v>
      </c>
      <c r="BD84" s="18" t="str">
        <f t="shared" si="51"/>
        <v>-</v>
      </c>
      <c r="BE84" s="18" t="str">
        <f t="shared" si="59"/>
        <v>-</v>
      </c>
      <c r="BG84" s="54" t="str">
        <f t="shared" si="52"/>
        <v>-</v>
      </c>
      <c r="BH84" s="54" t="str">
        <f t="shared" si="53"/>
        <v>-</v>
      </c>
      <c r="BI84" s="54" t="str">
        <f t="shared" si="54"/>
        <v>-</v>
      </c>
      <c r="BJ84" s="54" t="str">
        <f t="shared" si="55"/>
        <v>-</v>
      </c>
      <c r="BK84" s="58"/>
    </row>
    <row r="85" spans="2:63" x14ac:dyDescent="0.25">
      <c r="B85" s="62">
        <f>SUMIFS(Areas!J:J,Areas!$A:$A,Rios!$A85)</f>
        <v>0</v>
      </c>
      <c r="C85" s="62">
        <f>SUMIFS(Areas!K:K,Areas!$A:$A,Rios!$A85)</f>
        <v>0</v>
      </c>
      <c r="D85" s="62">
        <f>SUMIFS(Areas!L:L,Areas!$A:$A,Rios!$A85)</f>
        <v>0</v>
      </c>
      <c r="E85" s="62">
        <f>SUMIFS(Areas!M:M,Areas!$A:$A,Rios!$A85)</f>
        <v>0</v>
      </c>
      <c r="F85" s="40" t="str">
        <f>IF($A85&lt;&gt;"",VLOOKUP(Rios!$A85,Areas!$A:$I,F$2,FALSE),"-")</f>
        <v>-</v>
      </c>
      <c r="G85" t="str">
        <f>IF($A85&lt;&gt;"",VLOOKUP(Rios!$A85,Areas!$A:$I,G$2,FALSE),"-")</f>
        <v>-</v>
      </c>
      <c r="H85" s="40" t="str">
        <f>IF($A85&lt;&gt;"",VLOOKUP(Rios!$A85,Areas!$A:$I,H$2,FALSE),"-")</f>
        <v>-</v>
      </c>
      <c r="J85" s="48">
        <v>0</v>
      </c>
      <c r="L85" s="54" t="str">
        <f t="shared" si="39"/>
        <v>-</v>
      </c>
      <c r="M85" s="54" t="str">
        <f t="shared" si="40"/>
        <v>-</v>
      </c>
      <c r="N85" s="54" t="str">
        <f t="shared" si="41"/>
        <v>-</v>
      </c>
      <c r="O85" s="54" t="str">
        <f t="shared" si="42"/>
        <v>-</v>
      </c>
      <c r="Q85" s="54" t="str">
        <f>IF($J85&gt;0,ROUNDUP((L85*Constraints!$D$3/$J85/100)+L85,0),"-")</f>
        <v>-</v>
      </c>
      <c r="R85" s="54" t="str">
        <f>IF($J85&gt;0,ROUNDUP((M85*Constraints!$D$3/$J85/100)+M85,0),"-")</f>
        <v>-</v>
      </c>
      <c r="S85" s="54" t="str">
        <f>IF($J85&gt;0,ROUNDUP((N85*Constraints!$D$3/$J85/100)+N85,0),"-")</f>
        <v>-</v>
      </c>
      <c r="T85" s="54" t="str">
        <f>IF($J85&gt;0,ROUNDUP((O85*Constraints!$D$3/$J85/100)+O85,0),"-")</f>
        <v>-</v>
      </c>
      <c r="V85" s="54" t="str">
        <f>IF($J85&gt;0,ROUNDUP((Q85*Constraints!$D$4/$J85/100)+Q85,0),"-")</f>
        <v>-</v>
      </c>
      <c r="W85" s="54" t="str">
        <f>IF($J85&gt;0,ROUNDUP((R85*Constraints!$D$4/$J85/100)+R85,0),"-")</f>
        <v>-</v>
      </c>
      <c r="X85" s="54" t="str">
        <f>IF($J85&gt;0,ROUNDUP((S85*Constraints!$D$4/$J85/100)+S85,0),"-")</f>
        <v>-</v>
      </c>
      <c r="Y85" s="54" t="str">
        <f>IF($J85&gt;0,ROUNDUP((T85*Constraints!$D$4/$J85/100)+T85,0),"-")</f>
        <v>-</v>
      </c>
      <c r="AA85" s="25">
        <f t="shared" si="56"/>
        <v>0</v>
      </c>
      <c r="AB85" s="110" t="str">
        <f>IF(AA85&gt;Constraints!$D$5,Rios!AA85-Constraints!$D$5,"-")</f>
        <v>-</v>
      </c>
      <c r="AD85" s="30" t="str">
        <f t="shared" si="43"/>
        <v>-</v>
      </c>
      <c r="AE85" s="30" t="str">
        <f t="shared" si="44"/>
        <v>-</v>
      </c>
      <c r="AF85" s="30" t="str">
        <f t="shared" si="45"/>
        <v>-</v>
      </c>
      <c r="AG85" s="30" t="str">
        <f t="shared" si="46"/>
        <v>-</v>
      </c>
      <c r="AI85" s="25">
        <f t="shared" si="57"/>
        <v>0</v>
      </c>
      <c r="AJ85" s="110" t="str">
        <f>IF(AI85&gt;Constraints!$D$6,Rios!AI85-Constraints!$D$6,"-")</f>
        <v>-</v>
      </c>
      <c r="AL85" s="25" t="str">
        <f>IF(AM85&lt;&gt;"",VLOOKUP(AM85,Constraints!I:J,2,FALSE),"")</f>
        <v/>
      </c>
      <c r="AM85" s="105"/>
      <c r="AN85" s="30" t="str">
        <f>IF($AL85&lt;&gt;"",VLOOKUP($AL85,Constraints!$H:$V,4,FALSE),"-")</f>
        <v>-</v>
      </c>
      <c r="AO85" s="30" t="str">
        <f>IF($AL85&lt;&gt;"",VLOOKUP($AL85,Constraints!$H:$V,7,FALSE),"-")</f>
        <v>-</v>
      </c>
      <c r="AP85" s="30" t="str">
        <f>IF($AL85&lt;&gt;"",VLOOKUP($AL85,Constraints!$H:$V,10,FALSE),"-")</f>
        <v>-</v>
      </c>
      <c r="AQ85" s="30" t="str">
        <f>IF($AL85&lt;&gt;"",VLOOKUP($AL85,Constraints!$H:$V,13,FALSE),"-")</f>
        <v>-</v>
      </c>
      <c r="AS85" s="54" t="str">
        <f>IF($AL85&lt;&gt;"",VLOOKUP($AL85,Constraints!$H:$AG,23,FALSE),"-")</f>
        <v>-</v>
      </c>
      <c r="AT85" s="54" t="str">
        <f>IF($AL85&lt;&gt;"",VLOOKUP($AL85,Constraints!$H:$AG,24,FALSE),"-")</f>
        <v>-</v>
      </c>
      <c r="AU85" s="54" t="str">
        <f>IF($AL85&lt;&gt;"",VLOOKUP($AL85,Constraints!$H:$AG,25,FALSE),"-")</f>
        <v>-</v>
      </c>
      <c r="AV85" s="54" t="str">
        <f>IF($AL85&lt;&gt;"",VLOOKUP($AL85,Constraints!$H:$AG,26,FALSE),"-")</f>
        <v>-</v>
      </c>
      <c r="AX85" s="30" t="str">
        <f t="shared" si="47"/>
        <v>na</v>
      </c>
      <c r="AY85" s="30" t="str">
        <f t="shared" si="48"/>
        <v>na</v>
      </c>
      <c r="AZ85" s="30" t="str">
        <f t="shared" si="49"/>
        <v>na</v>
      </c>
      <c r="BA85" s="30" t="str">
        <f t="shared" si="50"/>
        <v>na</v>
      </c>
      <c r="BC85" s="18" t="str">
        <f t="shared" si="58"/>
        <v>-</v>
      </c>
      <c r="BD85" s="18" t="str">
        <f t="shared" si="51"/>
        <v>-</v>
      </c>
      <c r="BE85" s="18" t="str">
        <f t="shared" si="59"/>
        <v>-</v>
      </c>
      <c r="BG85" s="54" t="str">
        <f t="shared" si="52"/>
        <v>-</v>
      </c>
      <c r="BH85" s="54" t="str">
        <f t="shared" si="53"/>
        <v>-</v>
      </c>
      <c r="BI85" s="54" t="str">
        <f t="shared" si="54"/>
        <v>-</v>
      </c>
      <c r="BJ85" s="54" t="str">
        <f t="shared" si="55"/>
        <v>-</v>
      </c>
      <c r="BK85" s="58"/>
    </row>
    <row r="86" spans="2:63" x14ac:dyDescent="0.25">
      <c r="B86" s="62">
        <f>SUMIFS(Areas!J:J,Areas!$A:$A,Rios!$A86)</f>
        <v>0</v>
      </c>
      <c r="C86" s="62">
        <f>SUMIFS(Areas!K:K,Areas!$A:$A,Rios!$A86)</f>
        <v>0</v>
      </c>
      <c r="D86" s="62">
        <f>SUMIFS(Areas!L:L,Areas!$A:$A,Rios!$A86)</f>
        <v>0</v>
      </c>
      <c r="E86" s="62">
        <f>SUMIFS(Areas!M:M,Areas!$A:$A,Rios!$A86)</f>
        <v>0</v>
      </c>
      <c r="F86" s="40" t="str">
        <f>IF($A86&lt;&gt;"",VLOOKUP(Rios!$A86,Areas!$A:$I,F$2,FALSE),"-")</f>
        <v>-</v>
      </c>
      <c r="G86" t="str">
        <f>IF($A86&lt;&gt;"",VLOOKUP(Rios!$A86,Areas!$A:$I,G$2,FALSE),"-")</f>
        <v>-</v>
      </c>
      <c r="H86" s="40" t="str">
        <f>IF($A86&lt;&gt;"",VLOOKUP(Rios!$A86,Areas!$A:$I,H$2,FALSE),"-")</f>
        <v>-</v>
      </c>
      <c r="J86" s="48">
        <v>0</v>
      </c>
      <c r="L86" s="54" t="str">
        <f t="shared" si="39"/>
        <v>-</v>
      </c>
      <c r="M86" s="54" t="str">
        <f t="shared" si="40"/>
        <v>-</v>
      </c>
      <c r="N86" s="54" t="str">
        <f t="shared" si="41"/>
        <v>-</v>
      </c>
      <c r="O86" s="54" t="str">
        <f t="shared" si="42"/>
        <v>-</v>
      </c>
      <c r="Q86" s="54" t="str">
        <f>IF($J86&gt;0,ROUNDUP((L86*Constraints!$D$3/$J86/100)+L86,0),"-")</f>
        <v>-</v>
      </c>
      <c r="R86" s="54" t="str">
        <f>IF($J86&gt;0,ROUNDUP((M86*Constraints!$D$3/$J86/100)+M86,0),"-")</f>
        <v>-</v>
      </c>
      <c r="S86" s="54" t="str">
        <f>IF($J86&gt;0,ROUNDUP((N86*Constraints!$D$3/$J86/100)+N86,0),"-")</f>
        <v>-</v>
      </c>
      <c r="T86" s="54" t="str">
        <f>IF($J86&gt;0,ROUNDUP((O86*Constraints!$D$3/$J86/100)+O86,0),"-")</f>
        <v>-</v>
      </c>
      <c r="V86" s="54" t="str">
        <f>IF($J86&gt;0,ROUNDUP((Q86*Constraints!$D$4/$J86/100)+Q86,0),"-")</f>
        <v>-</v>
      </c>
      <c r="W86" s="54" t="str">
        <f>IF($J86&gt;0,ROUNDUP((R86*Constraints!$D$4/$J86/100)+R86,0),"-")</f>
        <v>-</v>
      </c>
      <c r="X86" s="54" t="str">
        <f>IF($J86&gt;0,ROUNDUP((S86*Constraints!$D$4/$J86/100)+S86,0),"-")</f>
        <v>-</v>
      </c>
      <c r="Y86" s="54" t="str">
        <f>IF($J86&gt;0,ROUNDUP((T86*Constraints!$D$4/$J86/100)+T86,0),"-")</f>
        <v>-</v>
      </c>
      <c r="AA86" s="25">
        <f t="shared" si="56"/>
        <v>0</v>
      </c>
      <c r="AB86" s="110" t="str">
        <f>IF(AA86&gt;Constraints!$D$5,Rios!AA86-Constraints!$D$5,"-")</f>
        <v>-</v>
      </c>
      <c r="AD86" s="30" t="str">
        <f t="shared" si="43"/>
        <v>-</v>
      </c>
      <c r="AE86" s="30" t="str">
        <f t="shared" si="44"/>
        <v>-</v>
      </c>
      <c r="AF86" s="30" t="str">
        <f t="shared" si="45"/>
        <v>-</v>
      </c>
      <c r="AG86" s="30" t="str">
        <f t="shared" si="46"/>
        <v>-</v>
      </c>
      <c r="AI86" s="25">
        <f t="shared" si="57"/>
        <v>0</v>
      </c>
      <c r="AJ86" s="110" t="str">
        <f>IF(AI86&gt;Constraints!$D$6,Rios!AI86-Constraints!$D$6,"-")</f>
        <v>-</v>
      </c>
      <c r="AL86" s="25" t="str">
        <f>IF(AM86&lt;&gt;"",VLOOKUP(AM86,Constraints!I:J,2,FALSE),"")</f>
        <v/>
      </c>
      <c r="AM86" s="105"/>
      <c r="AN86" s="30" t="str">
        <f>IF($AL86&lt;&gt;"",VLOOKUP($AL86,Constraints!$H:$V,4,FALSE),"-")</f>
        <v>-</v>
      </c>
      <c r="AO86" s="30" t="str">
        <f>IF($AL86&lt;&gt;"",VLOOKUP($AL86,Constraints!$H:$V,7,FALSE),"-")</f>
        <v>-</v>
      </c>
      <c r="AP86" s="30" t="str">
        <f>IF($AL86&lt;&gt;"",VLOOKUP($AL86,Constraints!$H:$V,10,FALSE),"-")</f>
        <v>-</v>
      </c>
      <c r="AQ86" s="30" t="str">
        <f>IF($AL86&lt;&gt;"",VLOOKUP($AL86,Constraints!$H:$V,13,FALSE),"-")</f>
        <v>-</v>
      </c>
      <c r="AS86" s="54" t="str">
        <f>IF($AL86&lt;&gt;"",VLOOKUP($AL86,Constraints!$H:$AG,23,FALSE),"-")</f>
        <v>-</v>
      </c>
      <c r="AT86" s="54" t="str">
        <f>IF($AL86&lt;&gt;"",VLOOKUP($AL86,Constraints!$H:$AG,24,FALSE),"-")</f>
        <v>-</v>
      </c>
      <c r="AU86" s="54" t="str">
        <f>IF($AL86&lt;&gt;"",VLOOKUP($AL86,Constraints!$H:$AG,25,FALSE),"-")</f>
        <v>-</v>
      </c>
      <c r="AV86" s="54" t="str">
        <f>IF($AL86&lt;&gt;"",VLOOKUP($AL86,Constraints!$H:$AG,26,FALSE),"-")</f>
        <v>-</v>
      </c>
      <c r="AX86" s="30" t="str">
        <f t="shared" si="47"/>
        <v>na</v>
      </c>
      <c r="AY86" s="30" t="str">
        <f t="shared" si="48"/>
        <v>na</v>
      </c>
      <c r="AZ86" s="30" t="str">
        <f t="shared" si="49"/>
        <v>na</v>
      </c>
      <c r="BA86" s="30" t="str">
        <f t="shared" si="50"/>
        <v>na</v>
      </c>
      <c r="BC86" s="18" t="str">
        <f t="shared" si="58"/>
        <v>-</v>
      </c>
      <c r="BD86" s="18" t="str">
        <f t="shared" si="51"/>
        <v>-</v>
      </c>
      <c r="BE86" s="18" t="str">
        <f t="shared" si="59"/>
        <v>-</v>
      </c>
      <c r="BG86" s="54" t="str">
        <f t="shared" si="52"/>
        <v>-</v>
      </c>
      <c r="BH86" s="54" t="str">
        <f t="shared" si="53"/>
        <v>-</v>
      </c>
      <c r="BI86" s="54" t="str">
        <f t="shared" si="54"/>
        <v>-</v>
      </c>
      <c r="BJ86" s="54" t="str">
        <f t="shared" si="55"/>
        <v>-</v>
      </c>
      <c r="BK86" s="58"/>
    </row>
    <row r="87" spans="2:63" x14ac:dyDescent="0.25">
      <c r="B87" s="62">
        <f>SUMIFS(Areas!J:J,Areas!$A:$A,Rios!$A87)</f>
        <v>0</v>
      </c>
      <c r="C87" s="62">
        <f>SUMIFS(Areas!K:K,Areas!$A:$A,Rios!$A87)</f>
        <v>0</v>
      </c>
      <c r="D87" s="62">
        <f>SUMIFS(Areas!L:L,Areas!$A:$A,Rios!$A87)</f>
        <v>0</v>
      </c>
      <c r="E87" s="62">
        <f>SUMIFS(Areas!M:M,Areas!$A:$A,Rios!$A87)</f>
        <v>0</v>
      </c>
      <c r="F87" s="40" t="str">
        <f>IF($A87&lt;&gt;"",VLOOKUP(Rios!$A87,Areas!$A:$I,F$2,FALSE),"-")</f>
        <v>-</v>
      </c>
      <c r="G87" t="str">
        <f>IF($A87&lt;&gt;"",VLOOKUP(Rios!$A87,Areas!$A:$I,G$2,FALSE),"-")</f>
        <v>-</v>
      </c>
      <c r="H87" s="40" t="str">
        <f>IF($A87&lt;&gt;"",VLOOKUP(Rios!$A87,Areas!$A:$I,H$2,FALSE),"-")</f>
        <v>-</v>
      </c>
      <c r="J87" s="48">
        <v>0</v>
      </c>
      <c r="L87" s="54" t="str">
        <f t="shared" si="39"/>
        <v>-</v>
      </c>
      <c r="M87" s="54" t="str">
        <f t="shared" si="40"/>
        <v>-</v>
      </c>
      <c r="N87" s="54" t="str">
        <f t="shared" si="41"/>
        <v>-</v>
      </c>
      <c r="O87" s="54" t="str">
        <f t="shared" si="42"/>
        <v>-</v>
      </c>
      <c r="Q87" s="54" t="str">
        <f>IF($J87&gt;0,ROUNDUP((L87*Constraints!$D$3/$J87/100)+L87,0),"-")</f>
        <v>-</v>
      </c>
      <c r="R87" s="54" t="str">
        <f>IF($J87&gt;0,ROUNDUP((M87*Constraints!$D$3/$J87/100)+M87,0),"-")</f>
        <v>-</v>
      </c>
      <c r="S87" s="54" t="str">
        <f>IF($J87&gt;0,ROUNDUP((N87*Constraints!$D$3/$J87/100)+N87,0),"-")</f>
        <v>-</v>
      </c>
      <c r="T87" s="54" t="str">
        <f>IF($J87&gt;0,ROUNDUP((O87*Constraints!$D$3/$J87/100)+O87,0),"-")</f>
        <v>-</v>
      </c>
      <c r="V87" s="54" t="str">
        <f>IF($J87&gt;0,ROUNDUP((Q87*Constraints!$D$4/$J87/100)+Q87,0),"-")</f>
        <v>-</v>
      </c>
      <c r="W87" s="54" t="str">
        <f>IF($J87&gt;0,ROUNDUP((R87*Constraints!$D$4/$J87/100)+R87,0),"-")</f>
        <v>-</v>
      </c>
      <c r="X87" s="54" t="str">
        <f>IF($J87&gt;0,ROUNDUP((S87*Constraints!$D$4/$J87/100)+S87,0),"-")</f>
        <v>-</v>
      </c>
      <c r="Y87" s="54" t="str">
        <f>IF($J87&gt;0,ROUNDUP((T87*Constraints!$D$4/$J87/100)+T87,0),"-")</f>
        <v>-</v>
      </c>
      <c r="AA87" s="25">
        <f t="shared" si="56"/>
        <v>0</v>
      </c>
      <c r="AB87" s="110" t="str">
        <f>IF(AA87&gt;Constraints!$D$5,Rios!AA87-Constraints!$D$5,"-")</f>
        <v>-</v>
      </c>
      <c r="AD87" s="30" t="str">
        <f t="shared" si="43"/>
        <v>-</v>
      </c>
      <c r="AE87" s="30" t="str">
        <f t="shared" si="44"/>
        <v>-</v>
      </c>
      <c r="AF87" s="30" t="str">
        <f t="shared" si="45"/>
        <v>-</v>
      </c>
      <c r="AG87" s="30" t="str">
        <f t="shared" si="46"/>
        <v>-</v>
      </c>
      <c r="AI87" s="25">
        <f t="shared" si="57"/>
        <v>0</v>
      </c>
      <c r="AJ87" s="110" t="str">
        <f>IF(AI87&gt;Constraints!$D$6,Rios!AI87-Constraints!$D$6,"-")</f>
        <v>-</v>
      </c>
      <c r="AL87" s="25" t="str">
        <f>IF(AM87&lt;&gt;"",VLOOKUP(AM87,Constraints!I:J,2,FALSE),"")</f>
        <v/>
      </c>
      <c r="AM87" s="105"/>
      <c r="AN87" s="30" t="str">
        <f>IF($AL87&lt;&gt;"",VLOOKUP($AL87,Constraints!$H:$V,4,FALSE),"-")</f>
        <v>-</v>
      </c>
      <c r="AO87" s="30" t="str">
        <f>IF($AL87&lt;&gt;"",VLOOKUP($AL87,Constraints!$H:$V,7,FALSE),"-")</f>
        <v>-</v>
      </c>
      <c r="AP87" s="30" t="str">
        <f>IF($AL87&lt;&gt;"",VLOOKUP($AL87,Constraints!$H:$V,10,FALSE),"-")</f>
        <v>-</v>
      </c>
      <c r="AQ87" s="30" t="str">
        <f>IF($AL87&lt;&gt;"",VLOOKUP($AL87,Constraints!$H:$V,13,FALSE),"-")</f>
        <v>-</v>
      </c>
      <c r="AS87" s="54" t="str">
        <f>IF($AL87&lt;&gt;"",VLOOKUP($AL87,Constraints!$H:$AG,23,FALSE),"-")</f>
        <v>-</v>
      </c>
      <c r="AT87" s="54" t="str">
        <f>IF($AL87&lt;&gt;"",VLOOKUP($AL87,Constraints!$H:$AG,24,FALSE),"-")</f>
        <v>-</v>
      </c>
      <c r="AU87" s="54" t="str">
        <f>IF($AL87&lt;&gt;"",VLOOKUP($AL87,Constraints!$H:$AG,25,FALSE),"-")</f>
        <v>-</v>
      </c>
      <c r="AV87" s="54" t="str">
        <f>IF($AL87&lt;&gt;"",VLOOKUP($AL87,Constraints!$H:$AG,26,FALSE),"-")</f>
        <v>-</v>
      </c>
      <c r="AX87" s="30" t="str">
        <f t="shared" si="47"/>
        <v>na</v>
      </c>
      <c r="AY87" s="30" t="str">
        <f t="shared" si="48"/>
        <v>na</v>
      </c>
      <c r="AZ87" s="30" t="str">
        <f t="shared" si="49"/>
        <v>na</v>
      </c>
      <c r="BA87" s="30" t="str">
        <f t="shared" si="50"/>
        <v>na</v>
      </c>
      <c r="BC87" s="18" t="str">
        <f t="shared" si="58"/>
        <v>-</v>
      </c>
      <c r="BD87" s="18" t="str">
        <f t="shared" si="51"/>
        <v>-</v>
      </c>
      <c r="BE87" s="18" t="str">
        <f t="shared" si="59"/>
        <v>-</v>
      </c>
      <c r="BG87" s="54" t="str">
        <f t="shared" si="52"/>
        <v>-</v>
      </c>
      <c r="BH87" s="54" t="str">
        <f t="shared" si="53"/>
        <v>-</v>
      </c>
      <c r="BI87" s="54" t="str">
        <f t="shared" si="54"/>
        <v>-</v>
      </c>
      <c r="BJ87" s="54" t="str">
        <f t="shared" si="55"/>
        <v>-</v>
      </c>
      <c r="BK87" s="58"/>
    </row>
    <row r="88" spans="2:63" x14ac:dyDescent="0.25">
      <c r="B88" s="62">
        <f>SUMIFS(Areas!J:J,Areas!$A:$A,Rios!$A88)</f>
        <v>0</v>
      </c>
      <c r="C88" s="62">
        <f>SUMIFS(Areas!K:K,Areas!$A:$A,Rios!$A88)</f>
        <v>0</v>
      </c>
      <c r="D88" s="62">
        <f>SUMIFS(Areas!L:L,Areas!$A:$A,Rios!$A88)</f>
        <v>0</v>
      </c>
      <c r="E88" s="62">
        <f>SUMIFS(Areas!M:M,Areas!$A:$A,Rios!$A88)</f>
        <v>0</v>
      </c>
      <c r="F88" s="40" t="str">
        <f>IF($A88&lt;&gt;"",VLOOKUP(Rios!$A88,Areas!$A:$I,F$2,FALSE),"-")</f>
        <v>-</v>
      </c>
      <c r="G88" t="str">
        <f>IF($A88&lt;&gt;"",VLOOKUP(Rios!$A88,Areas!$A:$I,G$2,FALSE),"-")</f>
        <v>-</v>
      </c>
      <c r="H88" s="40" t="str">
        <f>IF($A88&lt;&gt;"",VLOOKUP(Rios!$A88,Areas!$A:$I,H$2,FALSE),"-")</f>
        <v>-</v>
      </c>
      <c r="J88" s="48">
        <v>0</v>
      </c>
      <c r="L88" s="54" t="str">
        <f t="shared" si="39"/>
        <v>-</v>
      </c>
      <c r="M88" s="54" t="str">
        <f t="shared" si="40"/>
        <v>-</v>
      </c>
      <c r="N88" s="54" t="str">
        <f t="shared" si="41"/>
        <v>-</v>
      </c>
      <c r="O88" s="54" t="str">
        <f t="shared" si="42"/>
        <v>-</v>
      </c>
      <c r="Q88" s="54" t="str">
        <f>IF($J88&gt;0,ROUNDUP((L88*Constraints!$D$3/$J88/100)+L88,0),"-")</f>
        <v>-</v>
      </c>
      <c r="R88" s="54" t="str">
        <f>IF($J88&gt;0,ROUNDUP((M88*Constraints!$D$3/$J88/100)+M88,0),"-")</f>
        <v>-</v>
      </c>
      <c r="S88" s="54" t="str">
        <f>IF($J88&gt;0,ROUNDUP((N88*Constraints!$D$3/$J88/100)+N88,0),"-")</f>
        <v>-</v>
      </c>
      <c r="T88" s="54" t="str">
        <f>IF($J88&gt;0,ROUNDUP((O88*Constraints!$D$3/$J88/100)+O88,0),"-")</f>
        <v>-</v>
      </c>
      <c r="V88" s="54" t="str">
        <f>IF($J88&gt;0,ROUNDUP((Q88*Constraints!$D$4/$J88/100)+Q88,0),"-")</f>
        <v>-</v>
      </c>
      <c r="W88" s="54" t="str">
        <f>IF($J88&gt;0,ROUNDUP((R88*Constraints!$D$4/$J88/100)+R88,0),"-")</f>
        <v>-</v>
      </c>
      <c r="X88" s="54" t="str">
        <f>IF($J88&gt;0,ROUNDUP((S88*Constraints!$D$4/$J88/100)+S88,0),"-")</f>
        <v>-</v>
      </c>
      <c r="Y88" s="54" t="str">
        <f>IF($J88&gt;0,ROUNDUP((T88*Constraints!$D$4/$J88/100)+T88,0),"-")</f>
        <v>-</v>
      </c>
      <c r="AA88" s="25">
        <f t="shared" si="56"/>
        <v>0</v>
      </c>
      <c r="AB88" s="110" t="str">
        <f>IF(AA88&gt;Constraints!$D$5,Rios!AA88-Constraints!$D$5,"-")</f>
        <v>-</v>
      </c>
      <c r="AD88" s="30" t="str">
        <f t="shared" si="43"/>
        <v>-</v>
      </c>
      <c r="AE88" s="30" t="str">
        <f t="shared" si="44"/>
        <v>-</v>
      </c>
      <c r="AF88" s="30" t="str">
        <f t="shared" si="45"/>
        <v>-</v>
      </c>
      <c r="AG88" s="30" t="str">
        <f t="shared" si="46"/>
        <v>-</v>
      </c>
      <c r="AI88" s="25">
        <f t="shared" si="57"/>
        <v>0</v>
      </c>
      <c r="AJ88" s="110" t="str">
        <f>IF(AI88&gt;Constraints!$D$6,Rios!AI88-Constraints!$D$6,"-")</f>
        <v>-</v>
      </c>
      <c r="AL88" s="25" t="str">
        <f>IF(AM88&lt;&gt;"",VLOOKUP(AM88,Constraints!I:J,2,FALSE),"")</f>
        <v/>
      </c>
      <c r="AM88" s="105"/>
      <c r="AN88" s="30" t="str">
        <f>IF($AL88&lt;&gt;"",VLOOKUP($AL88,Constraints!$H:$V,4,FALSE),"-")</f>
        <v>-</v>
      </c>
      <c r="AO88" s="30" t="str">
        <f>IF($AL88&lt;&gt;"",VLOOKUP($AL88,Constraints!$H:$V,7,FALSE),"-")</f>
        <v>-</v>
      </c>
      <c r="AP88" s="30" t="str">
        <f>IF($AL88&lt;&gt;"",VLOOKUP($AL88,Constraints!$H:$V,10,FALSE),"-")</f>
        <v>-</v>
      </c>
      <c r="AQ88" s="30" t="str">
        <f>IF($AL88&lt;&gt;"",VLOOKUP($AL88,Constraints!$H:$V,13,FALSE),"-")</f>
        <v>-</v>
      </c>
      <c r="AS88" s="54" t="str">
        <f>IF($AL88&lt;&gt;"",VLOOKUP($AL88,Constraints!$H:$AG,23,FALSE),"-")</f>
        <v>-</v>
      </c>
      <c r="AT88" s="54" t="str">
        <f>IF($AL88&lt;&gt;"",VLOOKUP($AL88,Constraints!$H:$AG,24,FALSE),"-")</f>
        <v>-</v>
      </c>
      <c r="AU88" s="54" t="str">
        <f>IF($AL88&lt;&gt;"",VLOOKUP($AL88,Constraints!$H:$AG,25,FALSE),"-")</f>
        <v>-</v>
      </c>
      <c r="AV88" s="54" t="str">
        <f>IF($AL88&lt;&gt;"",VLOOKUP($AL88,Constraints!$H:$AG,26,FALSE),"-")</f>
        <v>-</v>
      </c>
      <c r="AX88" s="30" t="str">
        <f t="shared" si="47"/>
        <v>na</v>
      </c>
      <c r="AY88" s="30" t="str">
        <f t="shared" si="48"/>
        <v>na</v>
      </c>
      <c r="AZ88" s="30" t="str">
        <f t="shared" si="49"/>
        <v>na</v>
      </c>
      <c r="BA88" s="30" t="str">
        <f t="shared" si="50"/>
        <v>na</v>
      </c>
      <c r="BC88" s="18" t="str">
        <f t="shared" si="58"/>
        <v>-</v>
      </c>
      <c r="BD88" s="18" t="str">
        <f t="shared" si="51"/>
        <v>-</v>
      </c>
      <c r="BE88" s="18" t="str">
        <f t="shared" si="59"/>
        <v>-</v>
      </c>
      <c r="BG88" s="54" t="str">
        <f t="shared" si="52"/>
        <v>-</v>
      </c>
      <c r="BH88" s="54" t="str">
        <f t="shared" si="53"/>
        <v>-</v>
      </c>
      <c r="BI88" s="54" t="str">
        <f t="shared" si="54"/>
        <v>-</v>
      </c>
      <c r="BJ88" s="54" t="str">
        <f t="shared" si="55"/>
        <v>-</v>
      </c>
      <c r="BK88" s="58"/>
    </row>
    <row r="89" spans="2:63" x14ac:dyDescent="0.25">
      <c r="B89" s="62">
        <f>SUMIFS(Areas!J:J,Areas!$A:$A,Rios!$A89)</f>
        <v>0</v>
      </c>
      <c r="C89" s="62">
        <f>SUMIFS(Areas!K:K,Areas!$A:$A,Rios!$A89)</f>
        <v>0</v>
      </c>
      <c r="D89" s="62">
        <f>SUMIFS(Areas!L:L,Areas!$A:$A,Rios!$A89)</f>
        <v>0</v>
      </c>
      <c r="E89" s="62">
        <f>SUMIFS(Areas!M:M,Areas!$A:$A,Rios!$A89)</f>
        <v>0</v>
      </c>
      <c r="F89" s="40" t="str">
        <f>IF($A89&lt;&gt;"",VLOOKUP(Rios!$A89,Areas!$A:$I,F$2,FALSE),"-")</f>
        <v>-</v>
      </c>
      <c r="G89" t="str">
        <f>IF($A89&lt;&gt;"",VLOOKUP(Rios!$A89,Areas!$A:$I,G$2,FALSE),"-")</f>
        <v>-</v>
      </c>
      <c r="H89" s="40" t="str">
        <f>IF($A89&lt;&gt;"",VLOOKUP(Rios!$A89,Areas!$A:$I,H$2,FALSE),"-")</f>
        <v>-</v>
      </c>
      <c r="J89" s="48">
        <v>0</v>
      </c>
      <c r="L89" s="54" t="str">
        <f t="shared" si="39"/>
        <v>-</v>
      </c>
      <c r="M89" s="54" t="str">
        <f t="shared" si="40"/>
        <v>-</v>
      </c>
      <c r="N89" s="54" t="str">
        <f t="shared" si="41"/>
        <v>-</v>
      </c>
      <c r="O89" s="54" t="str">
        <f t="shared" si="42"/>
        <v>-</v>
      </c>
      <c r="Q89" s="54" t="str">
        <f>IF($J89&gt;0,ROUNDUP((L89*Constraints!$D$3/$J89/100)+L89,0),"-")</f>
        <v>-</v>
      </c>
      <c r="R89" s="54" t="str">
        <f>IF($J89&gt;0,ROUNDUP((M89*Constraints!$D$3/$J89/100)+M89,0),"-")</f>
        <v>-</v>
      </c>
      <c r="S89" s="54" t="str">
        <f>IF($J89&gt;0,ROUNDUP((N89*Constraints!$D$3/$J89/100)+N89,0),"-")</f>
        <v>-</v>
      </c>
      <c r="T89" s="54" t="str">
        <f>IF($J89&gt;0,ROUNDUP((O89*Constraints!$D$3/$J89/100)+O89,0),"-")</f>
        <v>-</v>
      </c>
      <c r="V89" s="54" t="str">
        <f>IF($J89&gt;0,ROUNDUP((Q89*Constraints!$D$4/$J89/100)+Q89,0),"-")</f>
        <v>-</v>
      </c>
      <c r="W89" s="54" t="str">
        <f>IF($J89&gt;0,ROUNDUP((R89*Constraints!$D$4/$J89/100)+R89,0),"-")</f>
        <v>-</v>
      </c>
      <c r="X89" s="54" t="str">
        <f>IF($J89&gt;0,ROUNDUP((S89*Constraints!$D$4/$J89/100)+S89,0),"-")</f>
        <v>-</v>
      </c>
      <c r="Y89" s="54" t="str">
        <f>IF($J89&gt;0,ROUNDUP((T89*Constraints!$D$4/$J89/100)+T89,0),"-")</f>
        <v>-</v>
      </c>
      <c r="AA89" s="25">
        <f t="shared" si="56"/>
        <v>0</v>
      </c>
      <c r="AB89" s="110" t="str">
        <f>IF(AA89&gt;Constraints!$D$5,Rios!AA89-Constraints!$D$5,"-")</f>
        <v>-</v>
      </c>
      <c r="AD89" s="30" t="str">
        <f t="shared" si="43"/>
        <v>-</v>
      </c>
      <c r="AE89" s="30" t="str">
        <f t="shared" si="44"/>
        <v>-</v>
      </c>
      <c r="AF89" s="30" t="str">
        <f t="shared" si="45"/>
        <v>-</v>
      </c>
      <c r="AG89" s="30" t="str">
        <f t="shared" si="46"/>
        <v>-</v>
      </c>
      <c r="AI89" s="25">
        <f t="shared" si="57"/>
        <v>0</v>
      </c>
      <c r="AJ89" s="110" t="str">
        <f>IF(AI89&gt;Constraints!$D$6,Rios!AI89-Constraints!$D$6,"-")</f>
        <v>-</v>
      </c>
      <c r="AL89" s="25" t="str">
        <f>IF(AM89&lt;&gt;"",VLOOKUP(AM89,Constraints!I:J,2,FALSE),"")</f>
        <v/>
      </c>
      <c r="AM89" s="105"/>
      <c r="AN89" s="30" t="str">
        <f>IF($AL89&lt;&gt;"",VLOOKUP($AL89,Constraints!$H:$V,4,FALSE),"-")</f>
        <v>-</v>
      </c>
      <c r="AO89" s="30" t="str">
        <f>IF($AL89&lt;&gt;"",VLOOKUP($AL89,Constraints!$H:$V,7,FALSE),"-")</f>
        <v>-</v>
      </c>
      <c r="AP89" s="30" t="str">
        <f>IF($AL89&lt;&gt;"",VLOOKUP($AL89,Constraints!$H:$V,10,FALSE),"-")</f>
        <v>-</v>
      </c>
      <c r="AQ89" s="30" t="str">
        <f>IF($AL89&lt;&gt;"",VLOOKUP($AL89,Constraints!$H:$V,13,FALSE),"-")</f>
        <v>-</v>
      </c>
      <c r="AS89" s="54" t="str">
        <f>IF($AL89&lt;&gt;"",VLOOKUP($AL89,Constraints!$H:$AG,23,FALSE),"-")</f>
        <v>-</v>
      </c>
      <c r="AT89" s="54" t="str">
        <f>IF($AL89&lt;&gt;"",VLOOKUP($AL89,Constraints!$H:$AG,24,FALSE),"-")</f>
        <v>-</v>
      </c>
      <c r="AU89" s="54" t="str">
        <f>IF($AL89&lt;&gt;"",VLOOKUP($AL89,Constraints!$H:$AG,25,FALSE),"-")</f>
        <v>-</v>
      </c>
      <c r="AV89" s="54" t="str">
        <f>IF($AL89&lt;&gt;"",VLOOKUP($AL89,Constraints!$H:$AG,26,FALSE),"-")</f>
        <v>-</v>
      </c>
      <c r="AX89" s="30" t="str">
        <f t="shared" si="47"/>
        <v>na</v>
      </c>
      <c r="AY89" s="30" t="str">
        <f t="shared" si="48"/>
        <v>na</v>
      </c>
      <c r="AZ89" s="30" t="str">
        <f t="shared" si="49"/>
        <v>na</v>
      </c>
      <c r="BA89" s="30" t="str">
        <f t="shared" si="50"/>
        <v>na</v>
      </c>
      <c r="BC89" s="18" t="str">
        <f t="shared" si="58"/>
        <v>-</v>
      </c>
      <c r="BD89" s="18" t="str">
        <f t="shared" si="51"/>
        <v>-</v>
      </c>
      <c r="BE89" s="18" t="str">
        <f t="shared" si="59"/>
        <v>-</v>
      </c>
      <c r="BG89" s="54" t="str">
        <f t="shared" si="52"/>
        <v>-</v>
      </c>
      <c r="BH89" s="54" t="str">
        <f t="shared" si="53"/>
        <v>-</v>
      </c>
      <c r="BI89" s="54" t="str">
        <f t="shared" si="54"/>
        <v>-</v>
      </c>
      <c r="BJ89" s="54" t="str">
        <f t="shared" si="55"/>
        <v>-</v>
      </c>
      <c r="BK89" s="58"/>
    </row>
    <row r="90" spans="2:63" x14ac:dyDescent="0.25">
      <c r="B90" s="62">
        <f>SUMIFS(Areas!J:J,Areas!$A:$A,Rios!$A90)</f>
        <v>0</v>
      </c>
      <c r="C90" s="62">
        <f>SUMIFS(Areas!K:K,Areas!$A:$A,Rios!$A90)</f>
        <v>0</v>
      </c>
      <c r="D90" s="62">
        <f>SUMIFS(Areas!L:L,Areas!$A:$A,Rios!$A90)</f>
        <v>0</v>
      </c>
      <c r="E90" s="62">
        <f>SUMIFS(Areas!M:M,Areas!$A:$A,Rios!$A90)</f>
        <v>0</v>
      </c>
      <c r="F90" s="40" t="str">
        <f>IF($A90&lt;&gt;"",VLOOKUP(Rios!$A90,Areas!$A:$I,F$2,FALSE),"-")</f>
        <v>-</v>
      </c>
      <c r="G90" t="str">
        <f>IF($A90&lt;&gt;"",VLOOKUP(Rios!$A90,Areas!$A:$I,G$2,FALSE),"-")</f>
        <v>-</v>
      </c>
      <c r="H90" s="40" t="str">
        <f>IF($A90&lt;&gt;"",VLOOKUP(Rios!$A90,Areas!$A:$I,H$2,FALSE),"-")</f>
        <v>-</v>
      </c>
      <c r="J90" s="48">
        <v>0</v>
      </c>
      <c r="L90" s="54" t="str">
        <f t="shared" si="39"/>
        <v>-</v>
      </c>
      <c r="M90" s="54" t="str">
        <f t="shared" si="40"/>
        <v>-</v>
      </c>
      <c r="N90" s="54" t="str">
        <f t="shared" si="41"/>
        <v>-</v>
      </c>
      <c r="O90" s="54" t="str">
        <f t="shared" si="42"/>
        <v>-</v>
      </c>
      <c r="Q90" s="54" t="str">
        <f>IF($J90&gt;0,ROUNDUP((L90*Constraints!$D$3/$J90/100)+L90,0),"-")</f>
        <v>-</v>
      </c>
      <c r="R90" s="54" t="str">
        <f>IF($J90&gt;0,ROUNDUP((M90*Constraints!$D$3/$J90/100)+M90,0),"-")</f>
        <v>-</v>
      </c>
      <c r="S90" s="54" t="str">
        <f>IF($J90&gt;0,ROUNDUP((N90*Constraints!$D$3/$J90/100)+N90,0),"-")</f>
        <v>-</v>
      </c>
      <c r="T90" s="54" t="str">
        <f>IF($J90&gt;0,ROUNDUP((O90*Constraints!$D$3/$J90/100)+O90,0),"-")</f>
        <v>-</v>
      </c>
      <c r="V90" s="54" t="str">
        <f>IF($J90&gt;0,ROUNDUP((Q90*Constraints!$D$4/$J90/100)+Q90,0),"-")</f>
        <v>-</v>
      </c>
      <c r="W90" s="54" t="str">
        <f>IF($J90&gt;0,ROUNDUP((R90*Constraints!$D$4/$J90/100)+R90,0),"-")</f>
        <v>-</v>
      </c>
      <c r="X90" s="54" t="str">
        <f>IF($J90&gt;0,ROUNDUP((S90*Constraints!$D$4/$J90/100)+S90,0),"-")</f>
        <v>-</v>
      </c>
      <c r="Y90" s="54" t="str">
        <f>IF($J90&gt;0,ROUNDUP((T90*Constraints!$D$4/$J90/100)+T90,0),"-")</f>
        <v>-</v>
      </c>
      <c r="AA90" s="25">
        <f t="shared" si="56"/>
        <v>0</v>
      </c>
      <c r="AB90" s="110" t="str">
        <f>IF(AA90&gt;Constraints!$D$5,Rios!AA90-Constraints!$D$5,"-")</f>
        <v>-</v>
      </c>
      <c r="AD90" s="30" t="str">
        <f t="shared" si="43"/>
        <v>-</v>
      </c>
      <c r="AE90" s="30" t="str">
        <f t="shared" si="44"/>
        <v>-</v>
      </c>
      <c r="AF90" s="30" t="str">
        <f t="shared" si="45"/>
        <v>-</v>
      </c>
      <c r="AG90" s="30" t="str">
        <f t="shared" si="46"/>
        <v>-</v>
      </c>
      <c r="AI90" s="25">
        <f t="shared" si="57"/>
        <v>0</v>
      </c>
      <c r="AJ90" s="110" t="str">
        <f>IF(AI90&gt;Constraints!$D$6,Rios!AI90-Constraints!$D$6,"-")</f>
        <v>-</v>
      </c>
      <c r="AL90" s="25" t="str">
        <f>IF(AM90&lt;&gt;"",VLOOKUP(AM90,Constraints!I:J,2,FALSE),"")</f>
        <v/>
      </c>
      <c r="AM90" s="105"/>
      <c r="AN90" s="30" t="str">
        <f>IF($AL90&lt;&gt;"",VLOOKUP($AL90,Constraints!$H:$V,4,FALSE),"-")</f>
        <v>-</v>
      </c>
      <c r="AO90" s="30" t="str">
        <f>IF($AL90&lt;&gt;"",VLOOKUP($AL90,Constraints!$H:$V,7,FALSE),"-")</f>
        <v>-</v>
      </c>
      <c r="AP90" s="30" t="str">
        <f>IF($AL90&lt;&gt;"",VLOOKUP($AL90,Constraints!$H:$V,10,FALSE),"-")</f>
        <v>-</v>
      </c>
      <c r="AQ90" s="30" t="str">
        <f>IF($AL90&lt;&gt;"",VLOOKUP($AL90,Constraints!$H:$V,13,FALSE),"-")</f>
        <v>-</v>
      </c>
      <c r="AS90" s="54" t="str">
        <f>IF($AL90&lt;&gt;"",VLOOKUP($AL90,Constraints!$H:$AG,23,FALSE),"-")</f>
        <v>-</v>
      </c>
      <c r="AT90" s="54" t="str">
        <f>IF($AL90&lt;&gt;"",VLOOKUP($AL90,Constraints!$H:$AG,24,FALSE),"-")</f>
        <v>-</v>
      </c>
      <c r="AU90" s="54" t="str">
        <f>IF($AL90&lt;&gt;"",VLOOKUP($AL90,Constraints!$H:$AG,25,FALSE),"-")</f>
        <v>-</v>
      </c>
      <c r="AV90" s="54" t="str">
        <f>IF($AL90&lt;&gt;"",VLOOKUP($AL90,Constraints!$H:$AG,26,FALSE),"-")</f>
        <v>-</v>
      </c>
      <c r="AX90" s="30" t="str">
        <f t="shared" si="47"/>
        <v>na</v>
      </c>
      <c r="AY90" s="30" t="str">
        <f t="shared" si="48"/>
        <v>na</v>
      </c>
      <c r="AZ90" s="30" t="str">
        <f t="shared" si="49"/>
        <v>na</v>
      </c>
      <c r="BA90" s="30" t="str">
        <f t="shared" si="50"/>
        <v>na</v>
      </c>
      <c r="BC90" s="18" t="str">
        <f t="shared" si="58"/>
        <v>-</v>
      </c>
      <c r="BD90" s="18" t="str">
        <f t="shared" si="51"/>
        <v>-</v>
      </c>
      <c r="BE90" s="18" t="str">
        <f t="shared" si="59"/>
        <v>-</v>
      </c>
      <c r="BG90" s="54" t="str">
        <f t="shared" si="52"/>
        <v>-</v>
      </c>
      <c r="BH90" s="54" t="str">
        <f t="shared" si="53"/>
        <v>-</v>
      </c>
      <c r="BI90" s="54" t="str">
        <f t="shared" si="54"/>
        <v>-</v>
      </c>
      <c r="BJ90" s="54" t="str">
        <f t="shared" si="55"/>
        <v>-</v>
      </c>
      <c r="BK90" s="58"/>
    </row>
    <row r="91" spans="2:63" x14ac:dyDescent="0.25">
      <c r="B91" s="62">
        <f>SUMIFS(Areas!J:J,Areas!$A:$A,Rios!$A91)</f>
        <v>0</v>
      </c>
      <c r="C91" s="62">
        <f>SUMIFS(Areas!K:K,Areas!$A:$A,Rios!$A91)</f>
        <v>0</v>
      </c>
      <c r="D91" s="62">
        <f>SUMIFS(Areas!L:L,Areas!$A:$A,Rios!$A91)</f>
        <v>0</v>
      </c>
      <c r="E91" s="62">
        <f>SUMIFS(Areas!M:M,Areas!$A:$A,Rios!$A91)</f>
        <v>0</v>
      </c>
      <c r="F91" s="40" t="str">
        <f>IF($A91&lt;&gt;"",VLOOKUP(Rios!$A91,Areas!$A:$I,F$2,FALSE),"-")</f>
        <v>-</v>
      </c>
      <c r="G91" t="str">
        <f>IF($A91&lt;&gt;"",VLOOKUP(Rios!$A91,Areas!$A:$I,G$2,FALSE),"-")</f>
        <v>-</v>
      </c>
      <c r="H91" s="40" t="str">
        <f>IF($A91&lt;&gt;"",VLOOKUP(Rios!$A91,Areas!$A:$I,H$2,FALSE),"-")</f>
        <v>-</v>
      </c>
      <c r="J91" s="48">
        <v>0</v>
      </c>
      <c r="L91" s="54" t="str">
        <f t="shared" si="39"/>
        <v>-</v>
      </c>
      <c r="M91" s="54" t="str">
        <f t="shared" si="40"/>
        <v>-</v>
      </c>
      <c r="N91" s="54" t="str">
        <f t="shared" si="41"/>
        <v>-</v>
      </c>
      <c r="O91" s="54" t="str">
        <f t="shared" si="42"/>
        <v>-</v>
      </c>
      <c r="Q91" s="54" t="str">
        <f>IF($J91&gt;0,ROUNDUP((L91*Constraints!$D$3/$J91/100)+L91,0),"-")</f>
        <v>-</v>
      </c>
      <c r="R91" s="54" t="str">
        <f>IF($J91&gt;0,ROUNDUP((M91*Constraints!$D$3/$J91/100)+M91,0),"-")</f>
        <v>-</v>
      </c>
      <c r="S91" s="54" t="str">
        <f>IF($J91&gt;0,ROUNDUP((N91*Constraints!$D$3/$J91/100)+N91,0),"-")</f>
        <v>-</v>
      </c>
      <c r="T91" s="54" t="str">
        <f>IF($J91&gt;0,ROUNDUP((O91*Constraints!$D$3/$J91/100)+O91,0),"-")</f>
        <v>-</v>
      </c>
      <c r="V91" s="54" t="str">
        <f>IF($J91&gt;0,ROUNDUP((Q91*Constraints!$D$4/$J91/100)+Q91,0),"-")</f>
        <v>-</v>
      </c>
      <c r="W91" s="54" t="str">
        <f>IF($J91&gt;0,ROUNDUP((R91*Constraints!$D$4/$J91/100)+R91,0),"-")</f>
        <v>-</v>
      </c>
      <c r="X91" s="54" t="str">
        <f>IF($J91&gt;0,ROUNDUP((S91*Constraints!$D$4/$J91/100)+S91,0),"-")</f>
        <v>-</v>
      </c>
      <c r="Y91" s="54" t="str">
        <f>IF($J91&gt;0,ROUNDUP((T91*Constraints!$D$4/$J91/100)+T91,0),"-")</f>
        <v>-</v>
      </c>
      <c r="AA91" s="25">
        <f t="shared" si="56"/>
        <v>0</v>
      </c>
      <c r="AB91" s="110" t="str">
        <f>IF(AA91&gt;Constraints!$D$5,Rios!AA91-Constraints!$D$5,"-")</f>
        <v>-</v>
      </c>
      <c r="AD91" s="30" t="str">
        <f t="shared" si="43"/>
        <v>-</v>
      </c>
      <c r="AE91" s="30" t="str">
        <f t="shared" si="44"/>
        <v>-</v>
      </c>
      <c r="AF91" s="30" t="str">
        <f t="shared" si="45"/>
        <v>-</v>
      </c>
      <c r="AG91" s="30" t="str">
        <f t="shared" si="46"/>
        <v>-</v>
      </c>
      <c r="AI91" s="25">
        <f t="shared" si="57"/>
        <v>0</v>
      </c>
      <c r="AJ91" s="110" t="str">
        <f>IF(AI91&gt;Constraints!$D$6,Rios!AI91-Constraints!$D$6,"-")</f>
        <v>-</v>
      </c>
      <c r="AL91" s="25" t="str">
        <f>IF(AM91&lt;&gt;"",VLOOKUP(AM91,Constraints!I:J,2,FALSE),"")</f>
        <v/>
      </c>
      <c r="AM91" s="105"/>
      <c r="AN91" s="30" t="str">
        <f>IF($AL91&lt;&gt;"",VLOOKUP($AL91,Constraints!$H:$V,4,FALSE),"-")</f>
        <v>-</v>
      </c>
      <c r="AO91" s="30" t="str">
        <f>IF($AL91&lt;&gt;"",VLOOKUP($AL91,Constraints!$H:$V,7,FALSE),"-")</f>
        <v>-</v>
      </c>
      <c r="AP91" s="30" t="str">
        <f>IF($AL91&lt;&gt;"",VLOOKUP($AL91,Constraints!$H:$V,10,FALSE),"-")</f>
        <v>-</v>
      </c>
      <c r="AQ91" s="30" t="str">
        <f>IF($AL91&lt;&gt;"",VLOOKUP($AL91,Constraints!$H:$V,13,FALSE),"-")</f>
        <v>-</v>
      </c>
      <c r="AS91" s="54" t="str">
        <f>IF($AL91&lt;&gt;"",VLOOKUP($AL91,Constraints!$H:$AG,23,FALSE),"-")</f>
        <v>-</v>
      </c>
      <c r="AT91" s="54" t="str">
        <f>IF($AL91&lt;&gt;"",VLOOKUP($AL91,Constraints!$H:$AG,24,FALSE),"-")</f>
        <v>-</v>
      </c>
      <c r="AU91" s="54" t="str">
        <f>IF($AL91&lt;&gt;"",VLOOKUP($AL91,Constraints!$H:$AG,25,FALSE),"-")</f>
        <v>-</v>
      </c>
      <c r="AV91" s="54" t="str">
        <f>IF($AL91&lt;&gt;"",VLOOKUP($AL91,Constraints!$H:$AG,26,FALSE),"-")</f>
        <v>-</v>
      </c>
      <c r="AX91" s="30" t="str">
        <f t="shared" si="47"/>
        <v>na</v>
      </c>
      <c r="AY91" s="30" t="str">
        <f t="shared" si="48"/>
        <v>na</v>
      </c>
      <c r="AZ91" s="30" t="str">
        <f t="shared" si="49"/>
        <v>na</v>
      </c>
      <c r="BA91" s="30" t="str">
        <f t="shared" si="50"/>
        <v>na</v>
      </c>
      <c r="BC91" s="18" t="str">
        <f t="shared" si="58"/>
        <v>-</v>
      </c>
      <c r="BD91" s="18" t="str">
        <f t="shared" si="51"/>
        <v>-</v>
      </c>
      <c r="BE91" s="18" t="str">
        <f t="shared" si="59"/>
        <v>-</v>
      </c>
      <c r="BG91" s="54" t="str">
        <f t="shared" si="52"/>
        <v>-</v>
      </c>
      <c r="BH91" s="54" t="str">
        <f t="shared" si="53"/>
        <v>-</v>
      </c>
      <c r="BI91" s="54" t="str">
        <f t="shared" si="54"/>
        <v>-</v>
      </c>
      <c r="BJ91" s="54" t="str">
        <f t="shared" si="55"/>
        <v>-</v>
      </c>
      <c r="BK91" s="58"/>
    </row>
    <row r="92" spans="2:63" x14ac:dyDescent="0.25">
      <c r="B92" s="62">
        <f>SUMIFS(Areas!J:J,Areas!$A:$A,Rios!$A92)</f>
        <v>0</v>
      </c>
      <c r="C92" s="62">
        <f>SUMIFS(Areas!K:K,Areas!$A:$A,Rios!$A92)</f>
        <v>0</v>
      </c>
      <c r="D92" s="62">
        <f>SUMIFS(Areas!L:L,Areas!$A:$A,Rios!$A92)</f>
        <v>0</v>
      </c>
      <c r="E92" s="62">
        <f>SUMIFS(Areas!M:M,Areas!$A:$A,Rios!$A92)</f>
        <v>0</v>
      </c>
      <c r="F92" s="40" t="str">
        <f>IF($A92&lt;&gt;"",VLOOKUP(Rios!$A92,Areas!$A:$I,F$2,FALSE),"-")</f>
        <v>-</v>
      </c>
      <c r="G92" t="str">
        <f>IF($A92&lt;&gt;"",VLOOKUP(Rios!$A92,Areas!$A:$I,G$2,FALSE),"-")</f>
        <v>-</v>
      </c>
      <c r="H92" s="40" t="str">
        <f>IF($A92&lt;&gt;"",VLOOKUP(Rios!$A92,Areas!$A:$I,H$2,FALSE),"-")</f>
        <v>-</v>
      </c>
      <c r="J92" s="48">
        <v>0</v>
      </c>
      <c r="L92" s="54" t="str">
        <f t="shared" si="39"/>
        <v>-</v>
      </c>
      <c r="M92" s="54" t="str">
        <f t="shared" si="40"/>
        <v>-</v>
      </c>
      <c r="N92" s="54" t="str">
        <f t="shared" si="41"/>
        <v>-</v>
      </c>
      <c r="O92" s="54" t="str">
        <f t="shared" si="42"/>
        <v>-</v>
      </c>
      <c r="Q92" s="54" t="str">
        <f>IF($J92&gt;0,ROUNDUP((L92*Constraints!$D$3/$J92/100)+L92,0),"-")</f>
        <v>-</v>
      </c>
      <c r="R92" s="54" t="str">
        <f>IF($J92&gt;0,ROUNDUP((M92*Constraints!$D$3/$J92/100)+M92,0),"-")</f>
        <v>-</v>
      </c>
      <c r="S92" s="54" t="str">
        <f>IF($J92&gt;0,ROUNDUP((N92*Constraints!$D$3/$J92/100)+N92,0),"-")</f>
        <v>-</v>
      </c>
      <c r="T92" s="54" t="str">
        <f>IF($J92&gt;0,ROUNDUP((O92*Constraints!$D$3/$J92/100)+O92,0),"-")</f>
        <v>-</v>
      </c>
      <c r="V92" s="54" t="str">
        <f>IF($J92&gt;0,ROUNDUP((Q92*Constraints!$D$4/$J92/100)+Q92,0),"-")</f>
        <v>-</v>
      </c>
      <c r="W92" s="54" t="str">
        <f>IF($J92&gt;0,ROUNDUP((R92*Constraints!$D$4/$J92/100)+R92,0),"-")</f>
        <v>-</v>
      </c>
      <c r="X92" s="54" t="str">
        <f>IF($J92&gt;0,ROUNDUP((S92*Constraints!$D$4/$J92/100)+S92,0),"-")</f>
        <v>-</v>
      </c>
      <c r="Y92" s="54" t="str">
        <f>IF($J92&gt;0,ROUNDUP((T92*Constraints!$D$4/$J92/100)+T92,0),"-")</f>
        <v>-</v>
      </c>
      <c r="AA92" s="25">
        <f t="shared" si="56"/>
        <v>0</v>
      </c>
      <c r="AB92" s="110" t="str">
        <f>IF(AA92&gt;Constraints!$D$5,Rios!AA92-Constraints!$D$5,"-")</f>
        <v>-</v>
      </c>
      <c r="AD92" s="30" t="str">
        <f t="shared" si="43"/>
        <v>-</v>
      </c>
      <c r="AE92" s="30" t="str">
        <f t="shared" si="44"/>
        <v>-</v>
      </c>
      <c r="AF92" s="30" t="str">
        <f t="shared" si="45"/>
        <v>-</v>
      </c>
      <c r="AG92" s="30" t="str">
        <f t="shared" si="46"/>
        <v>-</v>
      </c>
      <c r="AI92" s="25">
        <f t="shared" si="57"/>
        <v>0</v>
      </c>
      <c r="AJ92" s="110" t="str">
        <f>IF(AI92&gt;Constraints!$D$6,Rios!AI92-Constraints!$D$6,"-")</f>
        <v>-</v>
      </c>
      <c r="AL92" s="25" t="str">
        <f>IF(AM92&lt;&gt;"",VLOOKUP(AM92,Constraints!I:J,2,FALSE),"")</f>
        <v/>
      </c>
      <c r="AM92" s="105"/>
      <c r="AN92" s="30" t="str">
        <f>IF($AL92&lt;&gt;"",VLOOKUP($AL92,Constraints!$H:$V,4,FALSE),"-")</f>
        <v>-</v>
      </c>
      <c r="AO92" s="30" t="str">
        <f>IF($AL92&lt;&gt;"",VLOOKUP($AL92,Constraints!$H:$V,7,FALSE),"-")</f>
        <v>-</v>
      </c>
      <c r="AP92" s="30" t="str">
        <f>IF($AL92&lt;&gt;"",VLOOKUP($AL92,Constraints!$H:$V,10,FALSE),"-")</f>
        <v>-</v>
      </c>
      <c r="AQ92" s="30" t="str">
        <f>IF($AL92&lt;&gt;"",VLOOKUP($AL92,Constraints!$H:$V,13,FALSE),"-")</f>
        <v>-</v>
      </c>
      <c r="AS92" s="54" t="str">
        <f>IF($AL92&lt;&gt;"",VLOOKUP($AL92,Constraints!$H:$AG,23,FALSE),"-")</f>
        <v>-</v>
      </c>
      <c r="AT92" s="54" t="str">
        <f>IF($AL92&lt;&gt;"",VLOOKUP($AL92,Constraints!$H:$AG,24,FALSE),"-")</f>
        <v>-</v>
      </c>
      <c r="AU92" s="54" t="str">
        <f>IF($AL92&lt;&gt;"",VLOOKUP($AL92,Constraints!$H:$AG,25,FALSE),"-")</f>
        <v>-</v>
      </c>
      <c r="AV92" s="54" t="str">
        <f>IF($AL92&lt;&gt;"",VLOOKUP($AL92,Constraints!$H:$AG,26,FALSE),"-")</f>
        <v>-</v>
      </c>
      <c r="AX92" s="30" t="str">
        <f t="shared" si="47"/>
        <v>na</v>
      </c>
      <c r="AY92" s="30" t="str">
        <f t="shared" si="48"/>
        <v>na</v>
      </c>
      <c r="AZ92" s="30" t="str">
        <f t="shared" si="49"/>
        <v>na</v>
      </c>
      <c r="BA92" s="30" t="str">
        <f t="shared" si="50"/>
        <v>na</v>
      </c>
      <c r="BC92" s="18" t="str">
        <f t="shared" si="58"/>
        <v>-</v>
      </c>
      <c r="BD92" s="18" t="str">
        <f t="shared" si="51"/>
        <v>-</v>
      </c>
      <c r="BE92" s="18" t="str">
        <f t="shared" si="59"/>
        <v>-</v>
      </c>
      <c r="BG92" s="54" t="str">
        <f t="shared" si="52"/>
        <v>-</v>
      </c>
      <c r="BH92" s="54" t="str">
        <f t="shared" si="53"/>
        <v>-</v>
      </c>
      <c r="BI92" s="54" t="str">
        <f t="shared" si="54"/>
        <v>-</v>
      </c>
      <c r="BJ92" s="54" t="str">
        <f t="shared" si="55"/>
        <v>-</v>
      </c>
      <c r="BK92" s="58"/>
    </row>
    <row r="93" spans="2:63" x14ac:dyDescent="0.25">
      <c r="B93" s="62">
        <f>SUMIFS(Areas!J:J,Areas!$A:$A,Rios!$A93)</f>
        <v>0</v>
      </c>
      <c r="C93" s="62">
        <f>SUMIFS(Areas!K:K,Areas!$A:$A,Rios!$A93)</f>
        <v>0</v>
      </c>
      <c r="D93" s="62">
        <f>SUMIFS(Areas!L:L,Areas!$A:$A,Rios!$A93)</f>
        <v>0</v>
      </c>
      <c r="E93" s="62">
        <f>SUMIFS(Areas!M:M,Areas!$A:$A,Rios!$A93)</f>
        <v>0</v>
      </c>
      <c r="F93" s="40" t="str">
        <f>IF($A93&lt;&gt;"",VLOOKUP(Rios!$A93,Areas!$A:$I,F$2,FALSE),"-")</f>
        <v>-</v>
      </c>
      <c r="G93" t="str">
        <f>IF($A93&lt;&gt;"",VLOOKUP(Rios!$A93,Areas!$A:$I,G$2,FALSE),"-")</f>
        <v>-</v>
      </c>
      <c r="H93" s="40" t="str">
        <f>IF($A93&lt;&gt;"",VLOOKUP(Rios!$A93,Areas!$A:$I,H$2,FALSE),"-")</f>
        <v>-</v>
      </c>
      <c r="J93" s="48">
        <v>0</v>
      </c>
      <c r="L93" s="54" t="str">
        <f t="shared" si="39"/>
        <v>-</v>
      </c>
      <c r="M93" s="54" t="str">
        <f t="shared" si="40"/>
        <v>-</v>
      </c>
      <c r="N93" s="54" t="str">
        <f t="shared" si="41"/>
        <v>-</v>
      </c>
      <c r="O93" s="54" t="str">
        <f t="shared" si="42"/>
        <v>-</v>
      </c>
      <c r="Q93" s="54" t="str">
        <f>IF($J93&gt;0,ROUNDUP((L93*Constraints!$D$3/$J93/100)+L93,0),"-")</f>
        <v>-</v>
      </c>
      <c r="R93" s="54" t="str">
        <f>IF($J93&gt;0,ROUNDUP((M93*Constraints!$D$3/$J93/100)+M93,0),"-")</f>
        <v>-</v>
      </c>
      <c r="S93" s="54" t="str">
        <f>IF($J93&gt;0,ROUNDUP((N93*Constraints!$D$3/$J93/100)+N93,0),"-")</f>
        <v>-</v>
      </c>
      <c r="T93" s="54" t="str">
        <f>IF($J93&gt;0,ROUNDUP((O93*Constraints!$D$3/$J93/100)+O93,0),"-")</f>
        <v>-</v>
      </c>
      <c r="V93" s="54" t="str">
        <f>IF($J93&gt;0,ROUNDUP((Q93*Constraints!$D$4/$J93/100)+Q93,0),"-")</f>
        <v>-</v>
      </c>
      <c r="W93" s="54" t="str">
        <f>IF($J93&gt;0,ROUNDUP((R93*Constraints!$D$4/$J93/100)+R93,0),"-")</f>
        <v>-</v>
      </c>
      <c r="X93" s="54" t="str">
        <f>IF($J93&gt;0,ROUNDUP((S93*Constraints!$D$4/$J93/100)+S93,0),"-")</f>
        <v>-</v>
      </c>
      <c r="Y93" s="54" t="str">
        <f>IF($J93&gt;0,ROUNDUP((T93*Constraints!$D$4/$J93/100)+T93,0),"-")</f>
        <v>-</v>
      </c>
      <c r="AA93" s="25">
        <f t="shared" si="56"/>
        <v>0</v>
      </c>
      <c r="AB93" s="110" t="str">
        <f>IF(AA93&gt;Constraints!$D$5,Rios!AA93-Constraints!$D$5,"-")</f>
        <v>-</v>
      </c>
      <c r="AD93" s="30" t="str">
        <f t="shared" si="43"/>
        <v>-</v>
      </c>
      <c r="AE93" s="30" t="str">
        <f t="shared" si="44"/>
        <v>-</v>
      </c>
      <c r="AF93" s="30" t="str">
        <f t="shared" si="45"/>
        <v>-</v>
      </c>
      <c r="AG93" s="30" t="str">
        <f t="shared" si="46"/>
        <v>-</v>
      </c>
      <c r="AI93" s="25">
        <f t="shared" si="57"/>
        <v>0</v>
      </c>
      <c r="AJ93" s="110" t="str">
        <f>IF(AI93&gt;Constraints!$D$6,Rios!AI93-Constraints!$D$6,"-")</f>
        <v>-</v>
      </c>
      <c r="AL93" s="25" t="str">
        <f>IF(AM93&lt;&gt;"",VLOOKUP(AM93,Constraints!I:J,2,FALSE),"")</f>
        <v/>
      </c>
      <c r="AM93" s="105"/>
      <c r="AN93" s="30" t="str">
        <f>IF($AL93&lt;&gt;"",VLOOKUP($AL93,Constraints!$H:$V,4,FALSE),"-")</f>
        <v>-</v>
      </c>
      <c r="AO93" s="30" t="str">
        <f>IF($AL93&lt;&gt;"",VLOOKUP($AL93,Constraints!$H:$V,7,FALSE),"-")</f>
        <v>-</v>
      </c>
      <c r="AP93" s="30" t="str">
        <f>IF($AL93&lt;&gt;"",VLOOKUP($AL93,Constraints!$H:$V,10,FALSE),"-")</f>
        <v>-</v>
      </c>
      <c r="AQ93" s="30" t="str">
        <f>IF($AL93&lt;&gt;"",VLOOKUP($AL93,Constraints!$H:$V,13,FALSE),"-")</f>
        <v>-</v>
      </c>
      <c r="AS93" s="54" t="str">
        <f>IF($AL93&lt;&gt;"",VLOOKUP($AL93,Constraints!$H:$AG,23,FALSE),"-")</f>
        <v>-</v>
      </c>
      <c r="AT93" s="54" t="str">
        <f>IF($AL93&lt;&gt;"",VLOOKUP($AL93,Constraints!$H:$AG,24,FALSE),"-")</f>
        <v>-</v>
      </c>
      <c r="AU93" s="54" t="str">
        <f>IF($AL93&lt;&gt;"",VLOOKUP($AL93,Constraints!$H:$AG,25,FALSE),"-")</f>
        <v>-</v>
      </c>
      <c r="AV93" s="54" t="str">
        <f>IF($AL93&lt;&gt;"",VLOOKUP($AL93,Constraints!$H:$AG,26,FALSE),"-")</f>
        <v>-</v>
      </c>
      <c r="AX93" s="30" t="str">
        <f t="shared" si="47"/>
        <v>na</v>
      </c>
      <c r="AY93" s="30" t="str">
        <f t="shared" si="48"/>
        <v>na</v>
      </c>
      <c r="AZ93" s="30" t="str">
        <f t="shared" si="49"/>
        <v>na</v>
      </c>
      <c r="BA93" s="30" t="str">
        <f t="shared" si="50"/>
        <v>na</v>
      </c>
      <c r="BC93" s="18" t="str">
        <f t="shared" si="58"/>
        <v>-</v>
      </c>
      <c r="BD93" s="18" t="str">
        <f t="shared" si="51"/>
        <v>-</v>
      </c>
      <c r="BE93" s="18" t="str">
        <f t="shared" si="59"/>
        <v>-</v>
      </c>
      <c r="BG93" s="54" t="str">
        <f t="shared" si="52"/>
        <v>-</v>
      </c>
      <c r="BH93" s="54" t="str">
        <f t="shared" si="53"/>
        <v>-</v>
      </c>
      <c r="BI93" s="54" t="str">
        <f t="shared" si="54"/>
        <v>-</v>
      </c>
      <c r="BJ93" s="54" t="str">
        <f t="shared" si="55"/>
        <v>-</v>
      </c>
      <c r="BK93" s="58"/>
    </row>
    <row r="94" spans="2:63" x14ac:dyDescent="0.25">
      <c r="B94" s="62">
        <f>SUMIFS(Areas!J:J,Areas!$A:$A,Rios!$A94)</f>
        <v>0</v>
      </c>
      <c r="C94" s="62">
        <f>SUMIFS(Areas!K:K,Areas!$A:$A,Rios!$A94)</f>
        <v>0</v>
      </c>
      <c r="D94" s="62">
        <f>SUMIFS(Areas!L:L,Areas!$A:$A,Rios!$A94)</f>
        <v>0</v>
      </c>
      <c r="E94" s="62">
        <f>SUMIFS(Areas!M:M,Areas!$A:$A,Rios!$A94)</f>
        <v>0</v>
      </c>
      <c r="F94" s="40" t="str">
        <f>IF($A94&lt;&gt;"",VLOOKUP(Rios!$A94,Areas!$A:$I,F$2,FALSE),"-")</f>
        <v>-</v>
      </c>
      <c r="G94" t="str">
        <f>IF($A94&lt;&gt;"",VLOOKUP(Rios!$A94,Areas!$A:$I,G$2,FALSE),"-")</f>
        <v>-</v>
      </c>
      <c r="H94" s="40" t="str">
        <f>IF($A94&lt;&gt;"",VLOOKUP(Rios!$A94,Areas!$A:$I,H$2,FALSE),"-")</f>
        <v>-</v>
      </c>
      <c r="J94" s="48">
        <v>0</v>
      </c>
      <c r="L94" s="54" t="str">
        <f t="shared" si="39"/>
        <v>-</v>
      </c>
      <c r="M94" s="54" t="str">
        <f t="shared" si="40"/>
        <v>-</v>
      </c>
      <c r="N94" s="54" t="str">
        <f t="shared" si="41"/>
        <v>-</v>
      </c>
      <c r="O94" s="54" t="str">
        <f t="shared" si="42"/>
        <v>-</v>
      </c>
      <c r="Q94" s="54" t="str">
        <f>IF($J94&gt;0,ROUNDUP((L94*Constraints!$D$3/$J94/100)+L94,0),"-")</f>
        <v>-</v>
      </c>
      <c r="R94" s="54" t="str">
        <f>IF($J94&gt;0,ROUNDUP((M94*Constraints!$D$3/$J94/100)+M94,0),"-")</f>
        <v>-</v>
      </c>
      <c r="S94" s="54" t="str">
        <f>IF($J94&gt;0,ROUNDUP((N94*Constraints!$D$3/$J94/100)+N94,0),"-")</f>
        <v>-</v>
      </c>
      <c r="T94" s="54" t="str">
        <f>IF($J94&gt;0,ROUNDUP((O94*Constraints!$D$3/$J94/100)+O94,0),"-")</f>
        <v>-</v>
      </c>
      <c r="V94" s="54" t="str">
        <f>IF($J94&gt;0,ROUNDUP((Q94*Constraints!$D$4/$J94/100)+Q94,0),"-")</f>
        <v>-</v>
      </c>
      <c r="W94" s="54" t="str">
        <f>IF($J94&gt;0,ROUNDUP((R94*Constraints!$D$4/$J94/100)+R94,0),"-")</f>
        <v>-</v>
      </c>
      <c r="X94" s="54" t="str">
        <f>IF($J94&gt;0,ROUNDUP((S94*Constraints!$D$4/$J94/100)+S94,0),"-")</f>
        <v>-</v>
      </c>
      <c r="Y94" s="54" t="str">
        <f>IF($J94&gt;0,ROUNDUP((T94*Constraints!$D$4/$J94/100)+T94,0),"-")</f>
        <v>-</v>
      </c>
      <c r="AA94" s="25">
        <f t="shared" si="56"/>
        <v>0</v>
      </c>
      <c r="AB94" s="110" t="str">
        <f>IF(AA94&gt;Constraints!$D$5,Rios!AA94-Constraints!$D$5,"-")</f>
        <v>-</v>
      </c>
      <c r="AD94" s="30" t="str">
        <f t="shared" si="43"/>
        <v>-</v>
      </c>
      <c r="AE94" s="30" t="str">
        <f t="shared" si="44"/>
        <v>-</v>
      </c>
      <c r="AF94" s="30" t="str">
        <f t="shared" si="45"/>
        <v>-</v>
      </c>
      <c r="AG94" s="30" t="str">
        <f t="shared" si="46"/>
        <v>-</v>
      </c>
      <c r="AI94" s="25">
        <f t="shared" si="57"/>
        <v>0</v>
      </c>
      <c r="AJ94" s="110" t="str">
        <f>IF(AI94&gt;Constraints!$D$6,Rios!AI94-Constraints!$D$6,"-")</f>
        <v>-</v>
      </c>
      <c r="AL94" s="25" t="str">
        <f>IF(AM94&lt;&gt;"",VLOOKUP(AM94,Constraints!I:J,2,FALSE),"")</f>
        <v/>
      </c>
      <c r="AM94" s="105"/>
      <c r="AN94" s="30" t="str">
        <f>IF($AL94&lt;&gt;"",VLOOKUP($AL94,Constraints!$H:$V,4,FALSE),"-")</f>
        <v>-</v>
      </c>
      <c r="AO94" s="30" t="str">
        <f>IF($AL94&lt;&gt;"",VLOOKUP($AL94,Constraints!$H:$V,7,FALSE),"-")</f>
        <v>-</v>
      </c>
      <c r="AP94" s="30" t="str">
        <f>IF($AL94&lt;&gt;"",VLOOKUP($AL94,Constraints!$H:$V,10,FALSE),"-")</f>
        <v>-</v>
      </c>
      <c r="AQ94" s="30" t="str">
        <f>IF($AL94&lt;&gt;"",VLOOKUP($AL94,Constraints!$H:$V,13,FALSE),"-")</f>
        <v>-</v>
      </c>
      <c r="AS94" s="54" t="str">
        <f>IF($AL94&lt;&gt;"",VLOOKUP($AL94,Constraints!$H:$AG,23,FALSE),"-")</f>
        <v>-</v>
      </c>
      <c r="AT94" s="54" t="str">
        <f>IF($AL94&lt;&gt;"",VLOOKUP($AL94,Constraints!$H:$AG,24,FALSE),"-")</f>
        <v>-</v>
      </c>
      <c r="AU94" s="54" t="str">
        <f>IF($AL94&lt;&gt;"",VLOOKUP($AL94,Constraints!$H:$AG,25,FALSE),"-")</f>
        <v>-</v>
      </c>
      <c r="AV94" s="54" t="str">
        <f>IF($AL94&lt;&gt;"",VLOOKUP($AL94,Constraints!$H:$AG,26,FALSE),"-")</f>
        <v>-</v>
      </c>
      <c r="AX94" s="30" t="str">
        <f t="shared" si="47"/>
        <v>na</v>
      </c>
      <c r="AY94" s="30" t="str">
        <f t="shared" si="48"/>
        <v>na</v>
      </c>
      <c r="AZ94" s="30" t="str">
        <f t="shared" si="49"/>
        <v>na</v>
      </c>
      <c r="BA94" s="30" t="str">
        <f t="shared" si="50"/>
        <v>na</v>
      </c>
      <c r="BC94" s="18" t="str">
        <f t="shared" si="58"/>
        <v>-</v>
      </c>
      <c r="BD94" s="18" t="str">
        <f t="shared" si="51"/>
        <v>-</v>
      </c>
      <c r="BE94" s="18" t="str">
        <f t="shared" si="59"/>
        <v>-</v>
      </c>
      <c r="BG94" s="54" t="str">
        <f t="shared" si="52"/>
        <v>-</v>
      </c>
      <c r="BH94" s="54" t="str">
        <f t="shared" si="53"/>
        <v>-</v>
      </c>
      <c r="BI94" s="54" t="str">
        <f t="shared" si="54"/>
        <v>-</v>
      </c>
      <c r="BJ94" s="54" t="str">
        <f t="shared" si="55"/>
        <v>-</v>
      </c>
      <c r="BK94" s="58"/>
    </row>
    <row r="95" spans="2:63" x14ac:dyDescent="0.25">
      <c r="B95" s="62">
        <f>SUMIFS(Areas!J:J,Areas!$A:$A,Rios!$A95)</f>
        <v>0</v>
      </c>
      <c r="C95" s="62">
        <f>SUMIFS(Areas!K:K,Areas!$A:$A,Rios!$A95)</f>
        <v>0</v>
      </c>
      <c r="D95" s="62">
        <f>SUMIFS(Areas!L:L,Areas!$A:$A,Rios!$A95)</f>
        <v>0</v>
      </c>
      <c r="E95" s="62">
        <f>SUMIFS(Areas!M:M,Areas!$A:$A,Rios!$A95)</f>
        <v>0</v>
      </c>
      <c r="F95" s="40" t="str">
        <f>IF($A95&lt;&gt;"",VLOOKUP(Rios!$A95,Areas!$A:$I,F$2,FALSE),"-")</f>
        <v>-</v>
      </c>
      <c r="G95" t="str">
        <f>IF($A95&lt;&gt;"",VLOOKUP(Rios!$A95,Areas!$A:$I,G$2,FALSE),"-")</f>
        <v>-</v>
      </c>
      <c r="H95" s="40" t="str">
        <f>IF($A95&lt;&gt;"",VLOOKUP(Rios!$A95,Areas!$A:$I,H$2,FALSE),"-")</f>
        <v>-</v>
      </c>
      <c r="J95" s="48">
        <v>0</v>
      </c>
      <c r="L95" s="54" t="str">
        <f t="shared" si="39"/>
        <v>-</v>
      </c>
      <c r="M95" s="54" t="str">
        <f t="shared" si="40"/>
        <v>-</v>
      </c>
      <c r="N95" s="54" t="str">
        <f t="shared" si="41"/>
        <v>-</v>
      </c>
      <c r="O95" s="54" t="str">
        <f t="shared" si="42"/>
        <v>-</v>
      </c>
      <c r="Q95" s="54" t="str">
        <f>IF($J95&gt;0,ROUNDUP((L95*Constraints!$D$3/$J95/100)+L95,0),"-")</f>
        <v>-</v>
      </c>
      <c r="R95" s="54" t="str">
        <f>IF($J95&gt;0,ROUNDUP((M95*Constraints!$D$3/$J95/100)+M95,0),"-")</f>
        <v>-</v>
      </c>
      <c r="S95" s="54" t="str">
        <f>IF($J95&gt;0,ROUNDUP((N95*Constraints!$D$3/$J95/100)+N95,0),"-")</f>
        <v>-</v>
      </c>
      <c r="T95" s="54" t="str">
        <f>IF($J95&gt;0,ROUNDUP((O95*Constraints!$D$3/$J95/100)+O95,0),"-")</f>
        <v>-</v>
      </c>
      <c r="V95" s="54" t="str">
        <f>IF($J95&gt;0,ROUNDUP((Q95*Constraints!$D$4/$J95/100)+Q95,0),"-")</f>
        <v>-</v>
      </c>
      <c r="W95" s="54" t="str">
        <f>IF($J95&gt;0,ROUNDUP((R95*Constraints!$D$4/$J95/100)+R95,0),"-")</f>
        <v>-</v>
      </c>
      <c r="X95" s="54" t="str">
        <f>IF($J95&gt;0,ROUNDUP((S95*Constraints!$D$4/$J95/100)+S95,0),"-")</f>
        <v>-</v>
      </c>
      <c r="Y95" s="54" t="str">
        <f>IF($J95&gt;0,ROUNDUP((T95*Constraints!$D$4/$J95/100)+T95,0),"-")</f>
        <v>-</v>
      </c>
      <c r="AA95" s="25">
        <f t="shared" si="56"/>
        <v>0</v>
      </c>
      <c r="AB95" s="110" t="str">
        <f>IF(AA95&gt;Constraints!$D$5,Rios!AA95-Constraints!$D$5,"-")</f>
        <v>-</v>
      </c>
      <c r="AD95" s="30" t="str">
        <f t="shared" si="43"/>
        <v>-</v>
      </c>
      <c r="AE95" s="30" t="str">
        <f t="shared" si="44"/>
        <v>-</v>
      </c>
      <c r="AF95" s="30" t="str">
        <f t="shared" si="45"/>
        <v>-</v>
      </c>
      <c r="AG95" s="30" t="str">
        <f t="shared" si="46"/>
        <v>-</v>
      </c>
      <c r="AI95" s="25">
        <f t="shared" si="57"/>
        <v>0</v>
      </c>
      <c r="AJ95" s="110" t="str">
        <f>IF(AI95&gt;Constraints!$D$6,Rios!AI95-Constraints!$D$6,"-")</f>
        <v>-</v>
      </c>
      <c r="AL95" s="25" t="str">
        <f>IF(AM95&lt;&gt;"",VLOOKUP(AM95,Constraints!I:J,2,FALSE),"")</f>
        <v/>
      </c>
      <c r="AM95" s="105"/>
      <c r="AN95" s="30" t="str">
        <f>IF($AL95&lt;&gt;"",VLOOKUP($AL95,Constraints!$H:$V,4,FALSE),"-")</f>
        <v>-</v>
      </c>
      <c r="AO95" s="30" t="str">
        <f>IF($AL95&lt;&gt;"",VLOOKUP($AL95,Constraints!$H:$V,7,FALSE),"-")</f>
        <v>-</v>
      </c>
      <c r="AP95" s="30" t="str">
        <f>IF($AL95&lt;&gt;"",VLOOKUP($AL95,Constraints!$H:$V,10,FALSE),"-")</f>
        <v>-</v>
      </c>
      <c r="AQ95" s="30" t="str">
        <f>IF($AL95&lt;&gt;"",VLOOKUP($AL95,Constraints!$H:$V,13,FALSE),"-")</f>
        <v>-</v>
      </c>
      <c r="AS95" s="54" t="str">
        <f>IF($AL95&lt;&gt;"",VLOOKUP($AL95,Constraints!$H:$AG,23,FALSE),"-")</f>
        <v>-</v>
      </c>
      <c r="AT95" s="54" t="str">
        <f>IF($AL95&lt;&gt;"",VLOOKUP($AL95,Constraints!$H:$AG,24,FALSE),"-")</f>
        <v>-</v>
      </c>
      <c r="AU95" s="54" t="str">
        <f>IF($AL95&lt;&gt;"",VLOOKUP($AL95,Constraints!$H:$AG,25,FALSE),"-")</f>
        <v>-</v>
      </c>
      <c r="AV95" s="54" t="str">
        <f>IF($AL95&lt;&gt;"",VLOOKUP($AL95,Constraints!$H:$AG,26,FALSE),"-")</f>
        <v>-</v>
      </c>
      <c r="AX95" s="30" t="str">
        <f t="shared" si="47"/>
        <v>na</v>
      </c>
      <c r="AY95" s="30" t="str">
        <f t="shared" si="48"/>
        <v>na</v>
      </c>
      <c r="AZ95" s="30" t="str">
        <f t="shared" si="49"/>
        <v>na</v>
      </c>
      <c r="BA95" s="30" t="str">
        <f t="shared" si="50"/>
        <v>na</v>
      </c>
      <c r="BC95" s="18" t="str">
        <f t="shared" si="58"/>
        <v>-</v>
      </c>
      <c r="BD95" s="18" t="str">
        <f t="shared" si="51"/>
        <v>-</v>
      </c>
      <c r="BE95" s="18" t="str">
        <f t="shared" si="59"/>
        <v>-</v>
      </c>
      <c r="BG95" s="54" t="str">
        <f t="shared" si="52"/>
        <v>-</v>
      </c>
      <c r="BH95" s="54" t="str">
        <f t="shared" si="53"/>
        <v>-</v>
      </c>
      <c r="BI95" s="54" t="str">
        <f t="shared" si="54"/>
        <v>-</v>
      </c>
      <c r="BJ95" s="54" t="str">
        <f t="shared" si="55"/>
        <v>-</v>
      </c>
      <c r="BK95" s="58"/>
    </row>
    <row r="96" spans="2:63" x14ac:dyDescent="0.25">
      <c r="B96" s="62">
        <f>SUMIFS(Areas!J:J,Areas!$A:$A,Rios!$A96)</f>
        <v>0</v>
      </c>
      <c r="C96" s="62">
        <f>SUMIFS(Areas!K:K,Areas!$A:$A,Rios!$A96)</f>
        <v>0</v>
      </c>
      <c r="D96" s="62">
        <f>SUMIFS(Areas!L:L,Areas!$A:$A,Rios!$A96)</f>
        <v>0</v>
      </c>
      <c r="E96" s="62">
        <f>SUMIFS(Areas!M:M,Areas!$A:$A,Rios!$A96)</f>
        <v>0</v>
      </c>
      <c r="F96" s="40" t="str">
        <f>IF($A96&lt;&gt;"",VLOOKUP(Rios!$A96,Areas!$A:$I,F$2,FALSE),"-")</f>
        <v>-</v>
      </c>
      <c r="G96" t="str">
        <f>IF($A96&lt;&gt;"",VLOOKUP(Rios!$A96,Areas!$A:$I,G$2,FALSE),"-")</f>
        <v>-</v>
      </c>
      <c r="H96" s="40" t="str">
        <f>IF($A96&lt;&gt;"",VLOOKUP(Rios!$A96,Areas!$A:$I,H$2,FALSE),"-")</f>
        <v>-</v>
      </c>
      <c r="J96" s="48">
        <v>0</v>
      </c>
      <c r="L96" s="54" t="str">
        <f t="shared" si="39"/>
        <v>-</v>
      </c>
      <c r="M96" s="54" t="str">
        <f t="shared" si="40"/>
        <v>-</v>
      </c>
      <c r="N96" s="54" t="str">
        <f t="shared" si="41"/>
        <v>-</v>
      </c>
      <c r="O96" s="54" t="str">
        <f t="shared" si="42"/>
        <v>-</v>
      </c>
      <c r="Q96" s="54" t="str">
        <f>IF($J96&gt;0,ROUNDUP((L96*Constraints!$D$3/$J96/100)+L96,0),"-")</f>
        <v>-</v>
      </c>
      <c r="R96" s="54" t="str">
        <f>IF($J96&gt;0,ROUNDUP((M96*Constraints!$D$3/$J96/100)+M96,0),"-")</f>
        <v>-</v>
      </c>
      <c r="S96" s="54" t="str">
        <f>IF($J96&gt;0,ROUNDUP((N96*Constraints!$D$3/$J96/100)+N96,0),"-")</f>
        <v>-</v>
      </c>
      <c r="T96" s="54" t="str">
        <f>IF($J96&gt;0,ROUNDUP((O96*Constraints!$D$3/$J96/100)+O96,0),"-")</f>
        <v>-</v>
      </c>
      <c r="V96" s="54" t="str">
        <f>IF($J96&gt;0,ROUNDUP((Q96*Constraints!$D$4/$J96/100)+Q96,0),"-")</f>
        <v>-</v>
      </c>
      <c r="W96" s="54" t="str">
        <f>IF($J96&gt;0,ROUNDUP((R96*Constraints!$D$4/$J96/100)+R96,0),"-")</f>
        <v>-</v>
      </c>
      <c r="X96" s="54" t="str">
        <f>IF($J96&gt;0,ROUNDUP((S96*Constraints!$D$4/$J96/100)+S96,0),"-")</f>
        <v>-</v>
      </c>
      <c r="Y96" s="54" t="str">
        <f>IF($J96&gt;0,ROUNDUP((T96*Constraints!$D$4/$J96/100)+T96,0),"-")</f>
        <v>-</v>
      </c>
      <c r="AA96" s="25">
        <f t="shared" si="56"/>
        <v>0</v>
      </c>
      <c r="AB96" s="110" t="str">
        <f>IF(AA96&gt;Constraints!$D$5,Rios!AA96-Constraints!$D$5,"-")</f>
        <v>-</v>
      </c>
      <c r="AD96" s="30" t="str">
        <f t="shared" si="43"/>
        <v>-</v>
      </c>
      <c r="AE96" s="30" t="str">
        <f t="shared" si="44"/>
        <v>-</v>
      </c>
      <c r="AF96" s="30" t="str">
        <f t="shared" si="45"/>
        <v>-</v>
      </c>
      <c r="AG96" s="30" t="str">
        <f t="shared" si="46"/>
        <v>-</v>
      </c>
      <c r="AI96" s="25">
        <f t="shared" si="57"/>
        <v>0</v>
      </c>
      <c r="AJ96" s="110" t="str">
        <f>IF(AI96&gt;Constraints!$D$6,Rios!AI96-Constraints!$D$6,"-")</f>
        <v>-</v>
      </c>
      <c r="AL96" s="25" t="str">
        <f>IF(AM96&lt;&gt;"",VLOOKUP(AM96,Constraints!I:J,2,FALSE),"")</f>
        <v/>
      </c>
      <c r="AM96" s="105"/>
      <c r="AN96" s="30" t="str">
        <f>IF($AL96&lt;&gt;"",VLOOKUP($AL96,Constraints!$H:$V,4,FALSE),"-")</f>
        <v>-</v>
      </c>
      <c r="AO96" s="30" t="str">
        <f>IF($AL96&lt;&gt;"",VLOOKUP($AL96,Constraints!$H:$V,7,FALSE),"-")</f>
        <v>-</v>
      </c>
      <c r="AP96" s="30" t="str">
        <f>IF($AL96&lt;&gt;"",VLOOKUP($AL96,Constraints!$H:$V,10,FALSE),"-")</f>
        <v>-</v>
      </c>
      <c r="AQ96" s="30" t="str">
        <f>IF($AL96&lt;&gt;"",VLOOKUP($AL96,Constraints!$H:$V,13,FALSE),"-")</f>
        <v>-</v>
      </c>
      <c r="AS96" s="54" t="str">
        <f>IF($AL96&lt;&gt;"",VLOOKUP($AL96,Constraints!$H:$AG,23,FALSE),"-")</f>
        <v>-</v>
      </c>
      <c r="AT96" s="54" t="str">
        <f>IF($AL96&lt;&gt;"",VLOOKUP($AL96,Constraints!$H:$AG,24,FALSE),"-")</f>
        <v>-</v>
      </c>
      <c r="AU96" s="54" t="str">
        <f>IF($AL96&lt;&gt;"",VLOOKUP($AL96,Constraints!$H:$AG,25,FALSE),"-")</f>
        <v>-</v>
      </c>
      <c r="AV96" s="54" t="str">
        <f>IF($AL96&lt;&gt;"",VLOOKUP($AL96,Constraints!$H:$AG,26,FALSE),"-")</f>
        <v>-</v>
      </c>
      <c r="AX96" s="30" t="str">
        <f t="shared" si="47"/>
        <v>na</v>
      </c>
      <c r="AY96" s="30" t="str">
        <f t="shared" si="48"/>
        <v>na</v>
      </c>
      <c r="AZ96" s="30" t="str">
        <f t="shared" si="49"/>
        <v>na</v>
      </c>
      <c r="BA96" s="30" t="str">
        <f t="shared" si="50"/>
        <v>na</v>
      </c>
      <c r="BC96" s="18" t="str">
        <f t="shared" si="58"/>
        <v>-</v>
      </c>
      <c r="BD96" s="18" t="str">
        <f t="shared" si="51"/>
        <v>-</v>
      </c>
      <c r="BE96" s="18" t="str">
        <f t="shared" si="59"/>
        <v>-</v>
      </c>
      <c r="BG96" s="54" t="str">
        <f t="shared" si="52"/>
        <v>-</v>
      </c>
      <c r="BH96" s="54" t="str">
        <f t="shared" si="53"/>
        <v>-</v>
      </c>
      <c r="BI96" s="54" t="str">
        <f t="shared" si="54"/>
        <v>-</v>
      </c>
      <c r="BJ96" s="54" t="str">
        <f t="shared" si="55"/>
        <v>-</v>
      </c>
      <c r="BK96" s="58"/>
    </row>
    <row r="97" spans="2:63" x14ac:dyDescent="0.25">
      <c r="B97" s="62">
        <f>SUMIFS(Areas!J:J,Areas!$A:$A,Rios!$A97)</f>
        <v>0</v>
      </c>
      <c r="C97" s="62">
        <f>SUMIFS(Areas!K:K,Areas!$A:$A,Rios!$A97)</f>
        <v>0</v>
      </c>
      <c r="D97" s="62">
        <f>SUMIFS(Areas!L:L,Areas!$A:$A,Rios!$A97)</f>
        <v>0</v>
      </c>
      <c r="E97" s="62">
        <f>SUMIFS(Areas!M:M,Areas!$A:$A,Rios!$A97)</f>
        <v>0</v>
      </c>
      <c r="F97" s="40" t="str">
        <f>IF($A97&lt;&gt;"",VLOOKUP(Rios!$A97,Areas!$A:$I,F$2,FALSE),"-")</f>
        <v>-</v>
      </c>
      <c r="G97" t="str">
        <f>IF($A97&lt;&gt;"",VLOOKUP(Rios!$A97,Areas!$A:$I,G$2,FALSE),"-")</f>
        <v>-</v>
      </c>
      <c r="H97" s="40" t="str">
        <f>IF($A97&lt;&gt;"",VLOOKUP(Rios!$A97,Areas!$A:$I,H$2,FALSE),"-")</f>
        <v>-</v>
      </c>
      <c r="J97" s="48">
        <v>0</v>
      </c>
      <c r="L97" s="54" t="str">
        <f t="shared" si="39"/>
        <v>-</v>
      </c>
      <c r="M97" s="54" t="str">
        <f t="shared" si="40"/>
        <v>-</v>
      </c>
      <c r="N97" s="54" t="str">
        <f t="shared" si="41"/>
        <v>-</v>
      </c>
      <c r="O97" s="54" t="str">
        <f t="shared" si="42"/>
        <v>-</v>
      </c>
      <c r="Q97" s="54" t="str">
        <f>IF($J97&gt;0,ROUNDUP((L97*Constraints!$D$3/$J97/100)+L97,0),"-")</f>
        <v>-</v>
      </c>
      <c r="R97" s="54" t="str">
        <f>IF($J97&gt;0,ROUNDUP((M97*Constraints!$D$3/$J97/100)+M97,0),"-")</f>
        <v>-</v>
      </c>
      <c r="S97" s="54" t="str">
        <f>IF($J97&gt;0,ROUNDUP((N97*Constraints!$D$3/$J97/100)+N97,0),"-")</f>
        <v>-</v>
      </c>
      <c r="T97" s="54" t="str">
        <f>IF($J97&gt;0,ROUNDUP((O97*Constraints!$D$3/$J97/100)+O97,0),"-")</f>
        <v>-</v>
      </c>
      <c r="V97" s="54" t="str">
        <f>IF($J97&gt;0,ROUNDUP((Q97*Constraints!$D$4/$J97/100)+Q97,0),"-")</f>
        <v>-</v>
      </c>
      <c r="W97" s="54" t="str">
        <f>IF($J97&gt;0,ROUNDUP((R97*Constraints!$D$4/$J97/100)+R97,0),"-")</f>
        <v>-</v>
      </c>
      <c r="X97" s="54" t="str">
        <f>IF($J97&gt;0,ROUNDUP((S97*Constraints!$D$4/$J97/100)+S97,0),"-")</f>
        <v>-</v>
      </c>
      <c r="Y97" s="54" t="str">
        <f>IF($J97&gt;0,ROUNDUP((T97*Constraints!$D$4/$J97/100)+T97,0),"-")</f>
        <v>-</v>
      </c>
      <c r="AA97" s="25">
        <f t="shared" si="56"/>
        <v>0</v>
      </c>
      <c r="AB97" s="110" t="str">
        <f>IF(AA97&gt;Constraints!$D$5,Rios!AA97-Constraints!$D$5,"-")</f>
        <v>-</v>
      </c>
      <c r="AD97" s="30" t="str">
        <f t="shared" si="43"/>
        <v>-</v>
      </c>
      <c r="AE97" s="30" t="str">
        <f t="shared" si="44"/>
        <v>-</v>
      </c>
      <c r="AF97" s="30" t="str">
        <f t="shared" si="45"/>
        <v>-</v>
      </c>
      <c r="AG97" s="30" t="str">
        <f t="shared" si="46"/>
        <v>-</v>
      </c>
      <c r="AI97" s="25">
        <f t="shared" si="57"/>
        <v>0</v>
      </c>
      <c r="AJ97" s="110" t="str">
        <f>IF(AI97&gt;Constraints!$D$6,Rios!AI97-Constraints!$D$6,"-")</f>
        <v>-</v>
      </c>
      <c r="AL97" s="25" t="str">
        <f>IF(AM97&lt;&gt;"",VLOOKUP(AM97,Constraints!I:J,2,FALSE),"")</f>
        <v/>
      </c>
      <c r="AM97" s="105"/>
      <c r="AN97" s="30" t="str">
        <f>IF($AL97&lt;&gt;"",VLOOKUP($AL97,Constraints!$H:$V,4,FALSE),"-")</f>
        <v>-</v>
      </c>
      <c r="AO97" s="30" t="str">
        <f>IF($AL97&lt;&gt;"",VLOOKUP($AL97,Constraints!$H:$V,7,FALSE),"-")</f>
        <v>-</v>
      </c>
      <c r="AP97" s="30" t="str">
        <f>IF($AL97&lt;&gt;"",VLOOKUP($AL97,Constraints!$H:$V,10,FALSE),"-")</f>
        <v>-</v>
      </c>
      <c r="AQ97" s="30" t="str">
        <f>IF($AL97&lt;&gt;"",VLOOKUP($AL97,Constraints!$H:$V,13,FALSE),"-")</f>
        <v>-</v>
      </c>
      <c r="AS97" s="54" t="str">
        <f>IF($AL97&lt;&gt;"",VLOOKUP($AL97,Constraints!$H:$AG,23,FALSE),"-")</f>
        <v>-</v>
      </c>
      <c r="AT97" s="54" t="str">
        <f>IF($AL97&lt;&gt;"",VLOOKUP($AL97,Constraints!$H:$AG,24,FALSE),"-")</f>
        <v>-</v>
      </c>
      <c r="AU97" s="54" t="str">
        <f>IF($AL97&lt;&gt;"",VLOOKUP($AL97,Constraints!$H:$AG,25,FALSE),"-")</f>
        <v>-</v>
      </c>
      <c r="AV97" s="54" t="str">
        <f>IF($AL97&lt;&gt;"",VLOOKUP($AL97,Constraints!$H:$AG,26,FALSE),"-")</f>
        <v>-</v>
      </c>
      <c r="AX97" s="30" t="str">
        <f t="shared" si="47"/>
        <v>na</v>
      </c>
      <c r="AY97" s="30" t="str">
        <f t="shared" si="48"/>
        <v>na</v>
      </c>
      <c r="AZ97" s="30" t="str">
        <f t="shared" si="49"/>
        <v>na</v>
      </c>
      <c r="BA97" s="30" t="str">
        <f t="shared" si="50"/>
        <v>na</v>
      </c>
      <c r="BC97" s="18" t="str">
        <f t="shared" si="58"/>
        <v>-</v>
      </c>
      <c r="BD97" s="18" t="str">
        <f t="shared" si="51"/>
        <v>-</v>
      </c>
      <c r="BE97" s="18" t="str">
        <f t="shared" si="59"/>
        <v>-</v>
      </c>
      <c r="BG97" s="54" t="str">
        <f t="shared" si="52"/>
        <v>-</v>
      </c>
      <c r="BH97" s="54" t="str">
        <f t="shared" si="53"/>
        <v>-</v>
      </c>
      <c r="BI97" s="54" t="str">
        <f t="shared" si="54"/>
        <v>-</v>
      </c>
      <c r="BJ97" s="54" t="str">
        <f t="shared" si="55"/>
        <v>-</v>
      </c>
      <c r="BK97" s="58"/>
    </row>
    <row r="98" spans="2:63" x14ac:dyDescent="0.25">
      <c r="B98" s="62">
        <f>SUMIFS(Areas!J:J,Areas!$A:$A,Rios!$A98)</f>
        <v>0</v>
      </c>
      <c r="C98" s="62">
        <f>SUMIFS(Areas!K:K,Areas!$A:$A,Rios!$A98)</f>
        <v>0</v>
      </c>
      <c r="D98" s="62">
        <f>SUMIFS(Areas!L:L,Areas!$A:$A,Rios!$A98)</f>
        <v>0</v>
      </c>
      <c r="E98" s="62">
        <f>SUMIFS(Areas!M:M,Areas!$A:$A,Rios!$A98)</f>
        <v>0</v>
      </c>
      <c r="F98" s="40" t="str">
        <f>IF($A98&lt;&gt;"",VLOOKUP(Rios!$A98,Areas!$A:$I,F$2,FALSE),"-")</f>
        <v>-</v>
      </c>
      <c r="G98" t="str">
        <f>IF($A98&lt;&gt;"",VLOOKUP(Rios!$A98,Areas!$A:$I,G$2,FALSE),"-")</f>
        <v>-</v>
      </c>
      <c r="H98" s="40" t="str">
        <f>IF($A98&lt;&gt;"",VLOOKUP(Rios!$A98,Areas!$A:$I,H$2,FALSE),"-")</f>
        <v>-</v>
      </c>
      <c r="J98" s="48">
        <v>0</v>
      </c>
      <c r="L98" s="54" t="str">
        <f t="shared" si="39"/>
        <v>-</v>
      </c>
      <c r="M98" s="54" t="str">
        <f t="shared" si="40"/>
        <v>-</v>
      </c>
      <c r="N98" s="54" t="str">
        <f t="shared" si="41"/>
        <v>-</v>
      </c>
      <c r="O98" s="54" t="str">
        <f t="shared" si="42"/>
        <v>-</v>
      </c>
      <c r="Q98" s="54" t="str">
        <f>IF($J98&gt;0,ROUNDUP((L98*Constraints!$D$3/$J98/100)+L98,0),"-")</f>
        <v>-</v>
      </c>
      <c r="R98" s="54" t="str">
        <f>IF($J98&gt;0,ROUNDUP((M98*Constraints!$D$3/$J98/100)+M98,0),"-")</f>
        <v>-</v>
      </c>
      <c r="S98" s="54" t="str">
        <f>IF($J98&gt;0,ROUNDUP((N98*Constraints!$D$3/$J98/100)+N98,0),"-")</f>
        <v>-</v>
      </c>
      <c r="T98" s="54" t="str">
        <f>IF($J98&gt;0,ROUNDUP((O98*Constraints!$D$3/$J98/100)+O98,0),"-")</f>
        <v>-</v>
      </c>
      <c r="V98" s="54" t="str">
        <f>IF($J98&gt;0,ROUNDUP((Q98*Constraints!$D$4/$J98/100)+Q98,0),"-")</f>
        <v>-</v>
      </c>
      <c r="W98" s="54" t="str">
        <f>IF($J98&gt;0,ROUNDUP((R98*Constraints!$D$4/$J98/100)+R98,0),"-")</f>
        <v>-</v>
      </c>
      <c r="X98" s="54" t="str">
        <f>IF($J98&gt;0,ROUNDUP((S98*Constraints!$D$4/$J98/100)+S98,0),"-")</f>
        <v>-</v>
      </c>
      <c r="Y98" s="54" t="str">
        <f>IF($J98&gt;0,ROUNDUP((T98*Constraints!$D$4/$J98/100)+T98,0),"-")</f>
        <v>-</v>
      </c>
      <c r="AA98" s="25">
        <f t="shared" si="56"/>
        <v>0</v>
      </c>
      <c r="AB98" s="110" t="str">
        <f>IF(AA98&gt;Constraints!$D$5,Rios!AA98-Constraints!$D$5,"-")</f>
        <v>-</v>
      </c>
      <c r="AD98" s="30" t="str">
        <f t="shared" si="43"/>
        <v>-</v>
      </c>
      <c r="AE98" s="30" t="str">
        <f t="shared" si="44"/>
        <v>-</v>
      </c>
      <c r="AF98" s="30" t="str">
        <f t="shared" si="45"/>
        <v>-</v>
      </c>
      <c r="AG98" s="30" t="str">
        <f t="shared" si="46"/>
        <v>-</v>
      </c>
      <c r="AI98" s="25">
        <f t="shared" si="57"/>
        <v>0</v>
      </c>
      <c r="AJ98" s="110" t="str">
        <f>IF(AI98&gt;Constraints!$D$6,Rios!AI98-Constraints!$D$6,"-")</f>
        <v>-</v>
      </c>
      <c r="AL98" s="25" t="str">
        <f>IF(AM98&lt;&gt;"",VLOOKUP(AM98,Constraints!I:J,2,FALSE),"")</f>
        <v/>
      </c>
      <c r="AM98" s="105"/>
      <c r="AN98" s="30" t="str">
        <f>IF($AL98&lt;&gt;"",VLOOKUP($AL98,Constraints!$H:$V,4,FALSE),"-")</f>
        <v>-</v>
      </c>
      <c r="AO98" s="30" t="str">
        <f>IF($AL98&lt;&gt;"",VLOOKUP($AL98,Constraints!$H:$V,7,FALSE),"-")</f>
        <v>-</v>
      </c>
      <c r="AP98" s="30" t="str">
        <f>IF($AL98&lt;&gt;"",VLOOKUP($AL98,Constraints!$H:$V,10,FALSE),"-")</f>
        <v>-</v>
      </c>
      <c r="AQ98" s="30" t="str">
        <f>IF($AL98&lt;&gt;"",VLOOKUP($AL98,Constraints!$H:$V,13,FALSE),"-")</f>
        <v>-</v>
      </c>
      <c r="AS98" s="54" t="str">
        <f>IF($AL98&lt;&gt;"",VLOOKUP($AL98,Constraints!$H:$AG,23,FALSE),"-")</f>
        <v>-</v>
      </c>
      <c r="AT98" s="54" t="str">
        <f>IF($AL98&lt;&gt;"",VLOOKUP($AL98,Constraints!$H:$AG,24,FALSE),"-")</f>
        <v>-</v>
      </c>
      <c r="AU98" s="54" t="str">
        <f>IF($AL98&lt;&gt;"",VLOOKUP($AL98,Constraints!$H:$AG,25,FALSE),"-")</f>
        <v>-</v>
      </c>
      <c r="AV98" s="54" t="str">
        <f>IF($AL98&lt;&gt;"",VLOOKUP($AL98,Constraints!$H:$AG,26,FALSE),"-")</f>
        <v>-</v>
      </c>
      <c r="AX98" s="30" t="str">
        <f t="shared" si="47"/>
        <v>na</v>
      </c>
      <c r="AY98" s="30" t="str">
        <f t="shared" si="48"/>
        <v>na</v>
      </c>
      <c r="AZ98" s="30" t="str">
        <f t="shared" si="49"/>
        <v>na</v>
      </c>
      <c r="BA98" s="30" t="str">
        <f t="shared" si="50"/>
        <v>na</v>
      </c>
      <c r="BC98" s="18" t="str">
        <f t="shared" si="58"/>
        <v>-</v>
      </c>
      <c r="BD98" s="18" t="str">
        <f t="shared" si="51"/>
        <v>-</v>
      </c>
      <c r="BE98" s="18" t="str">
        <f t="shared" si="59"/>
        <v>-</v>
      </c>
      <c r="BG98" s="54" t="str">
        <f t="shared" si="52"/>
        <v>-</v>
      </c>
      <c r="BH98" s="54" t="str">
        <f t="shared" si="53"/>
        <v>-</v>
      </c>
      <c r="BI98" s="54" t="str">
        <f t="shared" si="54"/>
        <v>-</v>
      </c>
      <c r="BJ98" s="54" t="str">
        <f t="shared" si="55"/>
        <v>-</v>
      </c>
      <c r="BK98" s="58"/>
    </row>
    <row r="99" spans="2:63" x14ac:dyDescent="0.25">
      <c r="B99" s="62">
        <f>SUMIFS(Areas!J:J,Areas!$A:$A,Rios!$A99)</f>
        <v>0</v>
      </c>
      <c r="C99" s="62">
        <f>SUMIFS(Areas!K:K,Areas!$A:$A,Rios!$A99)</f>
        <v>0</v>
      </c>
      <c r="D99" s="62">
        <f>SUMIFS(Areas!L:L,Areas!$A:$A,Rios!$A99)</f>
        <v>0</v>
      </c>
      <c r="E99" s="62">
        <f>SUMIFS(Areas!M:M,Areas!$A:$A,Rios!$A99)</f>
        <v>0</v>
      </c>
      <c r="F99" s="40" t="str">
        <f>IF($A99&lt;&gt;"",VLOOKUP(Rios!$A99,Areas!$A:$I,F$2,FALSE),"-")</f>
        <v>-</v>
      </c>
      <c r="G99" t="str">
        <f>IF($A99&lt;&gt;"",VLOOKUP(Rios!$A99,Areas!$A:$I,G$2,FALSE),"-")</f>
        <v>-</v>
      </c>
      <c r="H99" s="40" t="str">
        <f>IF($A99&lt;&gt;"",VLOOKUP(Rios!$A99,Areas!$A:$I,H$2,FALSE),"-")</f>
        <v>-</v>
      </c>
      <c r="J99" s="48">
        <v>0</v>
      </c>
      <c r="L99" s="54" t="str">
        <f t="shared" si="39"/>
        <v>-</v>
      </c>
      <c r="M99" s="54" t="str">
        <f t="shared" si="40"/>
        <v>-</v>
      </c>
      <c r="N99" s="54" t="str">
        <f t="shared" si="41"/>
        <v>-</v>
      </c>
      <c r="O99" s="54" t="str">
        <f t="shared" si="42"/>
        <v>-</v>
      </c>
      <c r="Q99" s="54" t="str">
        <f>IF($J99&gt;0,ROUNDUP((L99*Constraints!$D$3/$J99/100)+L99,0),"-")</f>
        <v>-</v>
      </c>
      <c r="R99" s="54" t="str">
        <f>IF($J99&gt;0,ROUNDUP((M99*Constraints!$D$3/$J99/100)+M99,0),"-")</f>
        <v>-</v>
      </c>
      <c r="S99" s="54" t="str">
        <f>IF($J99&gt;0,ROUNDUP((N99*Constraints!$D$3/$J99/100)+N99,0),"-")</f>
        <v>-</v>
      </c>
      <c r="T99" s="54" t="str">
        <f>IF($J99&gt;0,ROUNDUP((O99*Constraints!$D$3/$J99/100)+O99,0),"-")</f>
        <v>-</v>
      </c>
      <c r="V99" s="54" t="str">
        <f>IF($J99&gt;0,ROUNDUP((Q99*Constraints!$D$4/$J99/100)+Q99,0),"-")</f>
        <v>-</v>
      </c>
      <c r="W99" s="54" t="str">
        <f>IF($J99&gt;0,ROUNDUP((R99*Constraints!$D$4/$J99/100)+R99,0),"-")</f>
        <v>-</v>
      </c>
      <c r="X99" s="54" t="str">
        <f>IF($J99&gt;0,ROUNDUP((S99*Constraints!$D$4/$J99/100)+S99,0),"-")</f>
        <v>-</v>
      </c>
      <c r="Y99" s="54" t="str">
        <f>IF($J99&gt;0,ROUNDUP((T99*Constraints!$D$4/$J99/100)+T99,0),"-")</f>
        <v>-</v>
      </c>
      <c r="AA99" s="25">
        <f t="shared" si="56"/>
        <v>0</v>
      </c>
      <c r="AB99" s="110" t="str">
        <f>IF(AA99&gt;Constraints!$D$5,Rios!AA99-Constraints!$D$5,"-")</f>
        <v>-</v>
      </c>
      <c r="AD99" s="30" t="str">
        <f t="shared" si="43"/>
        <v>-</v>
      </c>
      <c r="AE99" s="30" t="str">
        <f t="shared" si="44"/>
        <v>-</v>
      </c>
      <c r="AF99" s="30" t="str">
        <f t="shared" si="45"/>
        <v>-</v>
      </c>
      <c r="AG99" s="30" t="str">
        <f t="shared" si="46"/>
        <v>-</v>
      </c>
      <c r="AI99" s="25">
        <f t="shared" si="57"/>
        <v>0</v>
      </c>
      <c r="AJ99" s="110" t="str">
        <f>IF(AI99&gt;Constraints!$D$6,Rios!AI99-Constraints!$D$6,"-")</f>
        <v>-</v>
      </c>
      <c r="AL99" s="25" t="str">
        <f>IF(AM99&lt;&gt;"",VLOOKUP(AM99,Constraints!I:J,2,FALSE),"")</f>
        <v/>
      </c>
      <c r="AM99" s="105"/>
      <c r="AN99" s="30" t="str">
        <f>IF($AL99&lt;&gt;"",VLOOKUP($AL99,Constraints!$H:$V,4,FALSE),"-")</f>
        <v>-</v>
      </c>
      <c r="AO99" s="30" t="str">
        <f>IF($AL99&lt;&gt;"",VLOOKUP($AL99,Constraints!$H:$V,7,FALSE),"-")</f>
        <v>-</v>
      </c>
      <c r="AP99" s="30" t="str">
        <f>IF($AL99&lt;&gt;"",VLOOKUP($AL99,Constraints!$H:$V,10,FALSE),"-")</f>
        <v>-</v>
      </c>
      <c r="AQ99" s="30" t="str">
        <f>IF($AL99&lt;&gt;"",VLOOKUP($AL99,Constraints!$H:$V,13,FALSE),"-")</f>
        <v>-</v>
      </c>
      <c r="AS99" s="54" t="str">
        <f>IF($AL99&lt;&gt;"",VLOOKUP($AL99,Constraints!$H:$AG,23,FALSE),"-")</f>
        <v>-</v>
      </c>
      <c r="AT99" s="54" t="str">
        <f>IF($AL99&lt;&gt;"",VLOOKUP($AL99,Constraints!$H:$AG,24,FALSE),"-")</f>
        <v>-</v>
      </c>
      <c r="AU99" s="54" t="str">
        <f>IF($AL99&lt;&gt;"",VLOOKUP($AL99,Constraints!$H:$AG,25,FALSE),"-")</f>
        <v>-</v>
      </c>
      <c r="AV99" s="54" t="str">
        <f>IF($AL99&lt;&gt;"",VLOOKUP($AL99,Constraints!$H:$AG,26,FALSE),"-")</f>
        <v>-</v>
      </c>
      <c r="AX99" s="30" t="str">
        <f t="shared" si="47"/>
        <v>na</v>
      </c>
      <c r="AY99" s="30" t="str">
        <f t="shared" si="48"/>
        <v>na</v>
      </c>
      <c r="AZ99" s="30" t="str">
        <f t="shared" si="49"/>
        <v>na</v>
      </c>
      <c r="BA99" s="30" t="str">
        <f t="shared" si="50"/>
        <v>na</v>
      </c>
      <c r="BC99" s="18" t="str">
        <f t="shared" si="58"/>
        <v>-</v>
      </c>
      <c r="BD99" s="18" t="str">
        <f t="shared" si="51"/>
        <v>-</v>
      </c>
      <c r="BE99" s="18" t="str">
        <f t="shared" si="59"/>
        <v>-</v>
      </c>
      <c r="BG99" s="54" t="str">
        <f t="shared" si="52"/>
        <v>-</v>
      </c>
      <c r="BH99" s="54" t="str">
        <f t="shared" si="53"/>
        <v>-</v>
      </c>
      <c r="BI99" s="54" t="str">
        <f t="shared" si="54"/>
        <v>-</v>
      </c>
      <c r="BJ99" s="54" t="str">
        <f t="shared" si="55"/>
        <v>-</v>
      </c>
      <c r="BK99" s="58"/>
    </row>
    <row r="100" spans="2:63" x14ac:dyDescent="0.25">
      <c r="B100" s="62">
        <f>SUMIFS(Areas!J:J,Areas!$A:$A,Rios!$A100)</f>
        <v>0</v>
      </c>
      <c r="C100" s="62">
        <f>SUMIFS(Areas!K:K,Areas!$A:$A,Rios!$A100)</f>
        <v>0</v>
      </c>
      <c r="D100" s="62">
        <f>SUMIFS(Areas!L:L,Areas!$A:$A,Rios!$A100)</f>
        <v>0</v>
      </c>
      <c r="E100" s="62">
        <f>SUMIFS(Areas!M:M,Areas!$A:$A,Rios!$A100)</f>
        <v>0</v>
      </c>
      <c r="F100" s="40" t="str">
        <f>IF($A100&lt;&gt;"",VLOOKUP(Rios!$A100,Areas!$A:$I,F$2,FALSE),"-")</f>
        <v>-</v>
      </c>
      <c r="G100" t="str">
        <f>IF($A100&lt;&gt;"",VLOOKUP(Rios!$A100,Areas!$A:$I,G$2,FALSE),"-")</f>
        <v>-</v>
      </c>
      <c r="H100" s="40" t="str">
        <f>IF($A100&lt;&gt;"",VLOOKUP(Rios!$A100,Areas!$A:$I,H$2,FALSE),"-")</f>
        <v>-</v>
      </c>
      <c r="J100" s="48">
        <v>0</v>
      </c>
      <c r="L100" s="54" t="str">
        <f t="shared" si="39"/>
        <v>-</v>
      </c>
      <c r="M100" s="54" t="str">
        <f t="shared" si="40"/>
        <v>-</v>
      </c>
      <c r="N100" s="54" t="str">
        <f t="shared" si="41"/>
        <v>-</v>
      </c>
      <c r="O100" s="54" t="str">
        <f t="shared" si="42"/>
        <v>-</v>
      </c>
      <c r="Q100" s="54" t="str">
        <f>IF($J100&gt;0,ROUNDUP((L100*Constraints!$D$3/$J100/100)+L100,0),"-")</f>
        <v>-</v>
      </c>
      <c r="R100" s="54" t="str">
        <f>IF($J100&gt;0,ROUNDUP((M100*Constraints!$D$3/$J100/100)+M100,0),"-")</f>
        <v>-</v>
      </c>
      <c r="S100" s="54" t="str">
        <f>IF($J100&gt;0,ROUNDUP((N100*Constraints!$D$3/$J100/100)+N100,0),"-")</f>
        <v>-</v>
      </c>
      <c r="T100" s="54" t="str">
        <f>IF($J100&gt;0,ROUNDUP((O100*Constraints!$D$3/$J100/100)+O100,0),"-")</f>
        <v>-</v>
      </c>
      <c r="V100" s="54" t="str">
        <f>IF($J100&gt;0,ROUNDUP((Q100*Constraints!$D$4/$J100/100)+Q100,0),"-")</f>
        <v>-</v>
      </c>
      <c r="W100" s="54" t="str">
        <f>IF($J100&gt;0,ROUNDUP((R100*Constraints!$D$4/$J100/100)+R100,0),"-")</f>
        <v>-</v>
      </c>
      <c r="X100" s="54" t="str">
        <f>IF($J100&gt;0,ROUNDUP((S100*Constraints!$D$4/$J100/100)+S100,0),"-")</f>
        <v>-</v>
      </c>
      <c r="Y100" s="54" t="str">
        <f>IF($J100&gt;0,ROUNDUP((T100*Constraints!$D$4/$J100/100)+T100,0),"-")</f>
        <v>-</v>
      </c>
      <c r="AA100" s="25">
        <f t="shared" si="56"/>
        <v>0</v>
      </c>
      <c r="AB100" s="110" t="str">
        <f>IF(AA100&gt;Constraints!$D$5,Rios!AA100-Constraints!$D$5,"-")</f>
        <v>-</v>
      </c>
      <c r="AD100" s="30" t="str">
        <f t="shared" si="43"/>
        <v>-</v>
      </c>
      <c r="AE100" s="30" t="str">
        <f t="shared" si="44"/>
        <v>-</v>
      </c>
      <c r="AF100" s="30" t="str">
        <f t="shared" si="45"/>
        <v>-</v>
      </c>
      <c r="AG100" s="30" t="str">
        <f t="shared" si="46"/>
        <v>-</v>
      </c>
      <c r="AI100" s="25">
        <f t="shared" si="57"/>
        <v>0</v>
      </c>
      <c r="AJ100" s="110" t="str">
        <f>IF(AI100&gt;Constraints!$D$6,Rios!AI100-Constraints!$D$6,"-")</f>
        <v>-</v>
      </c>
      <c r="AL100" s="25" t="str">
        <f>IF(AM100&lt;&gt;"",VLOOKUP(AM100,Constraints!I:J,2,FALSE),"")</f>
        <v/>
      </c>
      <c r="AM100" s="105"/>
      <c r="AN100" s="30" t="str">
        <f>IF($AL100&lt;&gt;"",VLOOKUP($AL100,Constraints!$H:$V,4,FALSE),"-")</f>
        <v>-</v>
      </c>
      <c r="AO100" s="30" t="str">
        <f>IF($AL100&lt;&gt;"",VLOOKUP($AL100,Constraints!$H:$V,7,FALSE),"-")</f>
        <v>-</v>
      </c>
      <c r="AP100" s="30" t="str">
        <f>IF($AL100&lt;&gt;"",VLOOKUP($AL100,Constraints!$H:$V,10,FALSE),"-")</f>
        <v>-</v>
      </c>
      <c r="AQ100" s="30" t="str">
        <f>IF($AL100&lt;&gt;"",VLOOKUP($AL100,Constraints!$H:$V,13,FALSE),"-")</f>
        <v>-</v>
      </c>
      <c r="AS100" s="54" t="str">
        <f>IF($AL100&lt;&gt;"",VLOOKUP($AL100,Constraints!$H:$AG,23,FALSE),"-")</f>
        <v>-</v>
      </c>
      <c r="AT100" s="54" t="str">
        <f>IF($AL100&lt;&gt;"",VLOOKUP($AL100,Constraints!$H:$AG,24,FALSE),"-")</f>
        <v>-</v>
      </c>
      <c r="AU100" s="54" t="str">
        <f>IF($AL100&lt;&gt;"",VLOOKUP($AL100,Constraints!$H:$AG,25,FALSE),"-")</f>
        <v>-</v>
      </c>
      <c r="AV100" s="54" t="str">
        <f>IF($AL100&lt;&gt;"",VLOOKUP($AL100,Constraints!$H:$AG,26,FALSE),"-")</f>
        <v>-</v>
      </c>
      <c r="AX100" s="30" t="str">
        <f t="shared" si="47"/>
        <v>na</v>
      </c>
      <c r="AY100" s="30" t="str">
        <f t="shared" si="48"/>
        <v>na</v>
      </c>
      <c r="AZ100" s="30" t="str">
        <f t="shared" si="49"/>
        <v>na</v>
      </c>
      <c r="BA100" s="30" t="str">
        <f t="shared" si="50"/>
        <v>na</v>
      </c>
      <c r="BC100" s="18" t="str">
        <f t="shared" si="58"/>
        <v>-</v>
      </c>
      <c r="BD100" s="18" t="str">
        <f t="shared" si="51"/>
        <v>-</v>
      </c>
      <c r="BE100" s="18" t="str">
        <f t="shared" si="59"/>
        <v>-</v>
      </c>
      <c r="BG100" s="54" t="str">
        <f t="shared" si="52"/>
        <v>-</v>
      </c>
      <c r="BH100" s="54" t="str">
        <f t="shared" si="53"/>
        <v>-</v>
      </c>
      <c r="BI100" s="54" t="str">
        <f t="shared" si="54"/>
        <v>-</v>
      </c>
      <c r="BJ100" s="54" t="str">
        <f t="shared" si="55"/>
        <v>-</v>
      </c>
      <c r="BK100" s="58"/>
    </row>
    <row r="101" spans="2:63" x14ac:dyDescent="0.25">
      <c r="B101" s="25">
        <f>SUM(B3:B100)</f>
        <v>681</v>
      </c>
      <c r="C101" s="25">
        <f>SUM(C3:C100)</f>
        <v>218</v>
      </c>
      <c r="D101" s="25">
        <f>SUM(D3:D100)</f>
        <v>1156</v>
      </c>
      <c r="E101" s="25">
        <f>SUM(E3:E100)</f>
        <v>608</v>
      </c>
      <c r="F101" s="25"/>
      <c r="J101" s="18"/>
      <c r="L101" s="25">
        <f>SUM(L3:L100)</f>
        <v>458</v>
      </c>
      <c r="M101" s="25">
        <f>SUM(M3:M100)</f>
        <v>139</v>
      </c>
      <c r="N101" s="25">
        <f>SUM(N3:N100)</f>
        <v>885</v>
      </c>
      <c r="O101" s="25">
        <f>SUM(O3:O100)</f>
        <v>511</v>
      </c>
      <c r="Q101" s="25">
        <f>SUM(Q3:Q100)</f>
        <v>535</v>
      </c>
      <c r="R101" s="25">
        <f>SUM(R3:R100)</f>
        <v>169</v>
      </c>
      <c r="S101" s="25">
        <f>SUM(S3:S100)</f>
        <v>1022</v>
      </c>
      <c r="T101" s="25">
        <f>SUM(T3:T100)</f>
        <v>598</v>
      </c>
      <c r="V101" s="25">
        <f>SUM(V3:V100)</f>
        <v>635</v>
      </c>
      <c r="W101" s="25">
        <f>SUM(W3:W100)</f>
        <v>205</v>
      </c>
      <c r="X101" s="25">
        <f>SUM(X3:X100)</f>
        <v>1217</v>
      </c>
      <c r="Y101" s="25">
        <f>SUM(Y3:Y100)</f>
        <v>721</v>
      </c>
      <c r="AN101" s="25">
        <f>SUM(AN3:AN100)</f>
        <v>120</v>
      </c>
      <c r="AO101" s="25">
        <f>SUM(AO3:AO100)</f>
        <v>67</v>
      </c>
      <c r="AP101" s="25">
        <f>SUM(AP3:AP100)</f>
        <v>137</v>
      </c>
      <c r="AQ101" s="25">
        <f>SUM(AQ3:AQ100)</f>
        <v>90</v>
      </c>
      <c r="AS101" s="25">
        <f>SUM(AS3:AS100)</f>
        <v>960</v>
      </c>
      <c r="AT101" s="25">
        <f>SUM(AT3:AT100)</f>
        <v>268</v>
      </c>
      <c r="AU101" s="25">
        <f>SUM(AU3:AU100)</f>
        <v>2192</v>
      </c>
      <c r="AV101" s="25">
        <f>SUM(AV3:AV100)</f>
        <v>1440</v>
      </c>
    </row>
    <row r="102" spans="2:63" x14ac:dyDescent="0.25">
      <c r="B102" s="141">
        <f>SUM(B101:E101)</f>
        <v>2663</v>
      </c>
      <c r="C102" s="141"/>
      <c r="D102" s="141"/>
      <c r="E102" s="141"/>
      <c r="J102" s="25">
        <f>SUM(J3:J100)</f>
        <v>67</v>
      </c>
      <c r="L102" s="142">
        <f>SUM(L101:O101)</f>
        <v>1993</v>
      </c>
      <c r="M102" s="142"/>
      <c r="N102" s="142"/>
      <c r="O102" s="142"/>
      <c r="P102" s="109"/>
      <c r="Q102" s="142">
        <f>SUM(Q101:T101)</f>
        <v>2324</v>
      </c>
      <c r="R102" s="142"/>
      <c r="S102" s="142"/>
      <c r="T102" s="142"/>
      <c r="U102" s="109"/>
      <c r="V102" s="142">
        <f>SUM(V101:Y101)</f>
        <v>2778</v>
      </c>
      <c r="W102" s="142"/>
      <c r="X102" s="142"/>
      <c r="Y102" s="142"/>
      <c r="AA102" s="25">
        <f>SUM(AA3:AA100)</f>
        <v>2778</v>
      </c>
      <c r="AI102" s="25">
        <f>SUM(AI3:AI100)</f>
        <v>321</v>
      </c>
      <c r="AN102" s="142">
        <f>SUM(AN101:AQ101)</f>
        <v>414</v>
      </c>
      <c r="AO102" s="142"/>
      <c r="AP102" s="142"/>
      <c r="AQ102" s="142"/>
      <c r="AS102" s="142">
        <f>SUM(AS101:AV101)</f>
        <v>4860</v>
      </c>
      <c r="AT102" s="142"/>
      <c r="AU102" s="142"/>
      <c r="AV102" s="142"/>
    </row>
  </sheetData>
  <mergeCells count="15">
    <mergeCell ref="B102:E102"/>
    <mergeCell ref="Q102:T102"/>
    <mergeCell ref="V102:Y102"/>
    <mergeCell ref="L102:O102"/>
    <mergeCell ref="BG1:BJ1"/>
    <mergeCell ref="AN1:AQ1"/>
    <mergeCell ref="AX1:BA1"/>
    <mergeCell ref="L1:O1"/>
    <mergeCell ref="AN102:AQ102"/>
    <mergeCell ref="AS102:AV102"/>
    <mergeCell ref="B1:E1"/>
    <mergeCell ref="AS1:AV1"/>
    <mergeCell ref="AD1:AG1"/>
    <mergeCell ref="R1:T1"/>
    <mergeCell ref="W1:Y1"/>
  </mergeCells>
  <conditionalFormatting sqref="J3:J1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:BA1048576">
    <cfRule type="cellIs" dxfId="4" priority="10" operator="lessThan">
      <formula>0</formula>
    </cfRule>
    <cfRule type="cellIs" dxfId="3" priority="11" operator="equal">
      <formula>"na"</formula>
    </cfRule>
  </conditionalFormatting>
  <conditionalFormatting sqref="BC1:BE1048576">
    <cfRule type="cellIs" dxfId="2" priority="3" operator="equal">
      <formula>"X"</formula>
    </cfRule>
  </conditionalFormatting>
  <conditionalFormatting sqref="BG2:BK2">
    <cfRule type="cellIs" dxfId="1" priority="4" operator="lessThan">
      <formula>0</formula>
    </cfRule>
    <cfRule type="cellIs" dxfId="0" priority="5" operator="equal">
      <formula>"na"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00E9E0-E69A-4BEE-874C-C77B782B17E5}">
          <x14:formula1>
            <xm:f>Constraints!$I$3:$I$10</xm:f>
          </x14:formula1>
          <xm:sqref>AM3:AM100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2BB77-EE2F-482D-A652-5887FBBA0D9B}">
  <sheetPr>
    <tabColor theme="9" tint="0.39997558519241921"/>
  </sheetPr>
  <dimension ref="A1:X103"/>
  <sheetViews>
    <sheetView workbookViewId="0">
      <selection activeCell="B6" sqref="B6"/>
    </sheetView>
  </sheetViews>
  <sheetFormatPr defaultRowHeight="15" x14ac:dyDescent="0.25"/>
  <cols>
    <col min="1" max="1" width="10.5703125" bestFit="1" customWidth="1"/>
    <col min="2" max="2" width="11.28515625" style="32" bestFit="1" customWidth="1"/>
    <col min="3" max="3" width="10.28515625" style="32" bestFit="1" customWidth="1"/>
    <col min="4" max="4" width="4.140625" style="25" bestFit="1" customWidth="1"/>
    <col min="5" max="5" width="0.85546875" style="88" customWidth="1"/>
    <col min="6" max="6" width="15.28515625" style="50" bestFit="1" customWidth="1"/>
    <col min="7" max="7" width="15.42578125" style="50" bestFit="1" customWidth="1"/>
    <col min="8" max="9" width="15.5703125" style="50" bestFit="1" customWidth="1"/>
    <col min="10" max="10" width="0.85546875" style="49" customWidth="1"/>
    <col min="11" max="11" width="15.28515625" style="50" bestFit="1" customWidth="1"/>
    <col min="12" max="12" width="15.42578125" style="50" bestFit="1" customWidth="1"/>
    <col min="13" max="13" width="15.42578125" style="50" customWidth="1"/>
    <col min="14" max="14" width="11.5703125" style="50" bestFit="1" customWidth="1"/>
    <col min="15" max="15" width="15.85546875" style="50" bestFit="1" customWidth="1"/>
    <col min="16" max="16" width="0.85546875" style="49" customWidth="1"/>
    <col min="17" max="17" width="15.85546875" style="18" bestFit="1" customWidth="1"/>
    <col min="18" max="18" width="16" style="18" bestFit="1" customWidth="1"/>
    <col min="19" max="19" width="0.85546875" style="21" customWidth="1"/>
    <col min="20" max="20" width="14" bestFit="1" customWidth="1"/>
    <col min="21" max="21" width="0.85546875" style="88" customWidth="1"/>
    <col min="22" max="23" width="15.42578125" style="18" bestFit="1" customWidth="1"/>
    <col min="24" max="24" width="15.140625" style="18" bestFit="1" customWidth="1"/>
  </cols>
  <sheetData>
    <row r="1" spans="1:24" ht="30" x14ac:dyDescent="0.25">
      <c r="B1" s="103"/>
      <c r="C1" s="103"/>
      <c r="D1" s="50" t="s">
        <v>299</v>
      </c>
      <c r="F1" s="81" t="s">
        <v>344</v>
      </c>
      <c r="G1" s="81" t="s">
        <v>345</v>
      </c>
      <c r="H1" s="81" t="s">
        <v>346</v>
      </c>
      <c r="I1" s="81" t="s">
        <v>347</v>
      </c>
      <c r="K1" s="67" t="s">
        <v>368</v>
      </c>
      <c r="L1" s="67" t="s">
        <v>362</v>
      </c>
      <c r="M1" s="67" t="s">
        <v>395</v>
      </c>
      <c r="N1" s="67" t="s">
        <v>412</v>
      </c>
      <c r="O1" s="67" t="s">
        <v>369</v>
      </c>
      <c r="Q1" s="91" t="s">
        <v>406</v>
      </c>
      <c r="R1" s="91" t="s">
        <v>398</v>
      </c>
      <c r="V1" s="92" t="s">
        <v>371</v>
      </c>
      <c r="W1" s="92" t="s">
        <v>370</v>
      </c>
      <c r="X1" s="92" t="s">
        <v>372</v>
      </c>
    </row>
    <row r="2" spans="1:24" x14ac:dyDescent="0.25">
      <c r="A2" s="3" t="s">
        <v>69</v>
      </c>
      <c r="B2" s="32" t="s">
        <v>300</v>
      </c>
      <c r="E2" s="89"/>
      <c r="F2" s="82" t="str">
        <f>IF(ISNA(VLOOKUP(F1,'Part Numbers'!$I:$M,2,FALSE)),VLOOKUP(F1,'Part Numbers'!$B:$E,2,FALSE),VLOOKUP(F1,'Part Numbers'!$I:$M,2,FALSE))</f>
        <v>AI</v>
      </c>
      <c r="G2" s="82" t="str">
        <f>IF(ISNA(VLOOKUP(G1,'Part Numbers'!$I:$M,2,FALSE)),VLOOKUP(G1,'Part Numbers'!$B:$E,2,FALSE),VLOOKUP(G1,'Part Numbers'!$I:$M,2,FALSE))</f>
        <v>AO</v>
      </c>
      <c r="H2" s="82" t="str">
        <f>IF(ISNA(VLOOKUP(H1,'Part Numbers'!$I:$M,2,FALSE)),VLOOKUP(H1,'Part Numbers'!$B:$E,2,FALSE),VLOOKUP(H1,'Part Numbers'!$I:$M,2,FALSE))</f>
        <v>DI</v>
      </c>
      <c r="I2" s="82" t="str">
        <f>IF(ISNA(VLOOKUP(I1,'Part Numbers'!$I:$M,2,FALSE)),VLOOKUP(I1,'Part Numbers'!$B:$E,2,FALSE),VLOOKUP(I1,'Part Numbers'!$I:$M,2,FALSE))</f>
        <v>DO</v>
      </c>
      <c r="J2" s="52"/>
      <c r="K2" s="86" t="str">
        <f>IF(ISNA(VLOOKUP(K1,'Part Numbers'!$I:$M,2,FALSE)),VLOOKUP(K1,'Part Numbers'!$B:$E,2,FALSE),VLOOKUP(K1,'Part Numbers'!$I:$M,2,FALSE))</f>
        <v>Rail</v>
      </c>
      <c r="L2" s="86" t="str">
        <f>IF(ISNA(VLOOKUP(L1,'Part Numbers'!$I:$M,2,FALSE)),VLOOKUP(L1,'Part Numbers'!$B:$E,2,FALSE),VLOOKUP(L1,'Part Numbers'!$I:$M,2,FALSE))</f>
        <v>ET200</v>
      </c>
      <c r="M2" s="86" t="str">
        <f>IF(ISNA(VLOOKUP(M1,'Part Numbers'!$I:$M,2,FALSE)),VLOOKUP(M1,'Part Numbers'!$B:$E,2,FALSE),VLOOKUP(M1,'Part Numbers'!$I:$M,2,FALSE))</f>
        <v>PS</v>
      </c>
      <c r="N2" s="86" t="str">
        <f>IF(ISNA(VLOOKUP(N1,'Part Numbers'!$I:$M,2,FALSE)),VLOOKUP(N1,'Part Numbers'!$B:$E,2,FALSE),VLOOKUP(N1,'Part Numbers'!$I:$M,2,FALSE))</f>
        <v>PM</v>
      </c>
      <c r="O2" s="86" t="str">
        <f>IF(ISNA(VLOOKUP(O1,'Part Numbers'!$I:$M,2,FALSE)),VLOOKUP(O1,'Part Numbers'!$B:$E,2,FALSE),VLOOKUP(O1,'Part Numbers'!$I:$M,2,FALSE))</f>
        <v>Front Connector</v>
      </c>
      <c r="P2" s="52"/>
      <c r="Q2" s="87" t="str">
        <f>IF(ISNA(VLOOKUP(Q1,'Part Numbers'!$I:$M,2,FALSE)),VLOOKUP(Q1,'Part Numbers'!$B:$E,2,FALSE),VLOOKUP(Q1,'Part Numbers'!$I:$M,2,FALSE))</f>
        <v>Scalance</v>
      </c>
      <c r="R2" s="87" t="str">
        <f>IF(ISNA(VLOOKUP(R1,'Part Numbers'!$I:$M,2,FALSE)),VLOOKUP(R1,'Part Numbers'!$B:$E,2,FALSE),VLOOKUP(R1,'Part Numbers'!$I:$M,2,FALSE))</f>
        <v>SFP</v>
      </c>
      <c r="S2" s="66"/>
      <c r="U2" s="89"/>
      <c r="V2" s="93" t="str">
        <f>IF(ISNA(VLOOKUP(V1,'Part Numbers'!$I:$M,2,FALSE)),VLOOKUP(V1,'Part Numbers'!$B:$E,2,FALSE),VLOOKUP(V1,'Part Numbers'!$I:$M,2,FALSE))</f>
        <v>PLC</v>
      </c>
      <c r="W2" s="93" t="str">
        <f>IF(ISNA(VLOOKUP(W1,'Part Numbers'!$I:$M,2,FALSE)),VLOOKUP(W1,'Part Numbers'!$B:$E,2,FALSE),VLOOKUP(W1,'Part Numbers'!$I:$M,2,FALSE))</f>
        <v>Rail</v>
      </c>
      <c r="X2" s="93" t="str">
        <f>IF(ISNA(VLOOKUP(X1,'Part Numbers'!$I:$M,2,FALSE)),VLOOKUP(X1,'Part Numbers'!$B:$E,2,FALSE),VLOOKUP(X1,'Part Numbers'!$I:$M,2,FALSE))</f>
        <v>Mem Card</v>
      </c>
    </row>
    <row r="3" spans="1:24" x14ac:dyDescent="0.25">
      <c r="A3" s="102"/>
      <c r="C3" s="32">
        <v>6</v>
      </c>
      <c r="E3" s="89"/>
      <c r="F3" s="82"/>
      <c r="G3" s="82"/>
      <c r="H3" s="82"/>
      <c r="I3" s="82"/>
      <c r="J3" s="52"/>
      <c r="K3" s="86" t="str">
        <f>IF(ISNA(VLOOKUP(K1,'Part Numbers'!$I:$M,2,FALSE)),VLOOKUP(K1,'Part Numbers'!$B:$E,3,FALSE),VLOOKUP(K1,'Part Numbers'!$I:$M,3,FALSE))</f>
        <v>19"</v>
      </c>
      <c r="L3" s="86" t="str">
        <f>IF(ISNA(VLOOKUP(L1,'Part Numbers'!$I:$M,2,FALSE)),VLOOKUP(L1,'Part Numbers'!$B:$E,3,FALSE),VLOOKUP(L1,'Part Numbers'!$I:$M,3,FALSE))</f>
        <v>ET200-HF</v>
      </c>
      <c r="M3" s="86" t="str">
        <f>IF(ISNA(VLOOKUP(M1,'Part Numbers'!$I:$M,2,FALSE)),VLOOKUP(M1,'Part Numbers'!$B:$E,3,FALSE),VLOOKUP(M1,'Part Numbers'!$I:$M,3,FALSE))</f>
        <v>PS-25W</v>
      </c>
      <c r="N3" s="86" t="str">
        <f>IF(ISNA(VLOOKUP(N1,'Part Numbers'!$I:$M,2,FALSE)),VLOOKUP(N1,'Part Numbers'!$B:$E,3,FALSE),VLOOKUP(N1,'Part Numbers'!$I:$M,3,FALSE))</f>
        <v>8A</v>
      </c>
      <c r="O3" s="86" t="str">
        <f>IF(ISNA(VLOOKUP(O1,'Part Numbers'!$I:$M,2,FALSE)),VLOOKUP(O1,'Part Numbers'!$B:$E,3,FALSE),VLOOKUP(O1,'Part Numbers'!$I:$M,3,FALSE))</f>
        <v>Screw</v>
      </c>
      <c r="P3" s="52"/>
      <c r="Q3" s="87" t="str">
        <f>IF(ISNA(VLOOKUP(Q1,'Part Numbers'!$I:$M,2,FALSE)),VLOOKUP(Q1,'Part Numbers'!$B:$E,3,FALSE),VLOOKUP(Q1,'Part Numbers'!$I:$M,3,FALSE))</f>
        <v>XC206-2SFP</v>
      </c>
      <c r="R3" s="87" t="str">
        <f>IF(ISNA(VLOOKUP(R1,'Part Numbers'!$I:$M,2,FALSE)),VLOOKUP(R1,'Part Numbers'!$B:$E,3,FALSE),VLOOKUP(R1,'Part Numbers'!$I:$M,3,FALSE))</f>
        <v>Multimode</v>
      </c>
      <c r="S3" s="51"/>
      <c r="U3" s="89"/>
      <c r="V3" s="93" t="str">
        <f>IF(ISNA(VLOOKUP(V1,'Part Numbers'!$I:$M,2,FALSE)),VLOOKUP(V1,'Part Numbers'!$B:$E,3,FALSE),VLOOKUP(V1,'Part Numbers'!$I:$M,3,FALSE))</f>
        <v>1518</v>
      </c>
      <c r="W3" s="93" t="str">
        <f>IF(ISNA(VLOOKUP(W1,'Part Numbers'!$I:$M,2,FALSE)),VLOOKUP(W1,'Part Numbers'!$B:$E,3,FALSE),VLOOKUP(W1,'Part Numbers'!$I:$M,3,FALSE))</f>
        <v>9.6"</v>
      </c>
      <c r="X3" s="93" t="str">
        <f>IF(ISNA(VLOOKUP(X1,'Part Numbers'!$I:$M,2,FALSE)),VLOOKUP(X1,'Part Numbers'!$B:$E,3,FALSE),VLOOKUP(X1,'Part Numbers'!$I:$M,3,FALSE))</f>
        <v>32GB</v>
      </c>
    </row>
    <row r="4" spans="1:24" ht="15.75" x14ac:dyDescent="0.25">
      <c r="A4" s="154" t="s">
        <v>393</v>
      </c>
      <c r="B4" s="154"/>
      <c r="C4" s="154"/>
      <c r="D4" s="94">
        <f>SUM(D6:D103)</f>
        <v>67</v>
      </c>
      <c r="F4" s="94">
        <f>SUM(F6:F103)</f>
        <v>176</v>
      </c>
      <c r="G4" s="94">
        <f>SUM(G6:G103)</f>
        <v>96</v>
      </c>
      <c r="H4" s="94">
        <f>SUM(H6:H103)</f>
        <v>188</v>
      </c>
      <c r="I4" s="94">
        <f>SUM(I6:I103)</f>
        <v>116</v>
      </c>
      <c r="J4" s="95"/>
      <c r="K4" s="94">
        <f>SUM(K6:K103)</f>
        <v>67</v>
      </c>
      <c r="L4" s="94">
        <f>SUM(L6:L103)</f>
        <v>67</v>
      </c>
      <c r="M4" s="94">
        <f>SUM(M6:M103)</f>
        <v>67</v>
      </c>
      <c r="N4" s="94">
        <f>SUM(N6:N103)</f>
        <v>67</v>
      </c>
      <c r="O4" s="94">
        <f>SUM(O6:O103)</f>
        <v>576</v>
      </c>
      <c r="P4" s="95"/>
      <c r="Q4" s="94">
        <f>SUM(Q6:Q103)</f>
        <v>67</v>
      </c>
      <c r="R4" s="94">
        <f>SUM(R6:R103)</f>
        <v>134</v>
      </c>
      <c r="S4" s="96"/>
      <c r="T4" s="97"/>
      <c r="U4" s="98"/>
      <c r="V4" s="94">
        <f>SUM(V6:V103)</f>
        <v>7</v>
      </c>
      <c r="W4" s="94">
        <f>SUM(W6:W103)</f>
        <v>7</v>
      </c>
      <c r="X4" s="94">
        <f>SUM(X6:X103)</f>
        <v>7</v>
      </c>
    </row>
    <row r="5" spans="1:24" ht="15.75" x14ac:dyDescent="0.25">
      <c r="A5" s="104"/>
      <c r="B5" s="104"/>
      <c r="C5" s="104"/>
      <c r="D5" s="104"/>
      <c r="F5" s="108">
        <v>3</v>
      </c>
      <c r="G5" s="108">
        <v>6</v>
      </c>
      <c r="H5" s="108">
        <v>9</v>
      </c>
      <c r="I5" s="108">
        <v>12</v>
      </c>
      <c r="J5" s="95"/>
      <c r="K5" s="94"/>
      <c r="L5" s="94"/>
      <c r="M5" s="94"/>
      <c r="N5" s="94"/>
      <c r="O5" s="94"/>
      <c r="P5" s="95"/>
      <c r="Q5" s="94"/>
      <c r="R5" s="94"/>
      <c r="S5" s="96"/>
      <c r="T5" s="97"/>
      <c r="U5" s="98"/>
      <c r="V5" s="94"/>
      <c r="W5" s="94"/>
      <c r="X5" s="94"/>
    </row>
    <row r="6" spans="1:24" ht="15.75" x14ac:dyDescent="0.25">
      <c r="A6" t="str">
        <f>IF(Rios!A3&lt;&gt;"",Rios!A3,"-")</f>
        <v>RIO-3111-1</v>
      </c>
      <c r="B6" s="32" t="str">
        <f>Rios!AM3</f>
        <v>Standard-Small</v>
      </c>
      <c r="C6" s="32" t="str">
        <f>Rios!F3</f>
        <v>3184-PLC-001</v>
      </c>
      <c r="D6" s="48">
        <f>Rios!J3</f>
        <v>1</v>
      </c>
      <c r="F6" s="50">
        <f>IF($D6&gt;0,    VLOOKUP($B6,Constraints!$I:$AA,F$5,FALSE)*$D6,"-")</f>
        <v>2</v>
      </c>
      <c r="G6" s="50">
        <f>IF($D6&gt;0,    VLOOKUP($B6,Constraints!$I:$AA,G$5,FALSE)*$D6,"-")</f>
        <v>1</v>
      </c>
      <c r="H6" s="50">
        <f>IF($D6&gt;0,    VLOOKUP($B6,Constraints!$I:$AA,H$5,FALSE)*$D6,"-")</f>
        <v>2</v>
      </c>
      <c r="I6" s="50">
        <f>IF($D6&gt;0,    VLOOKUP($B6,Constraints!$I:$AA,I$5,FALSE)*$D6,"-")</f>
        <v>1</v>
      </c>
      <c r="K6" s="50">
        <f>$D6</f>
        <v>1</v>
      </c>
      <c r="L6" s="50">
        <f>$D6</f>
        <v>1</v>
      </c>
      <c r="M6" s="50">
        <f>$D6</f>
        <v>1</v>
      </c>
      <c r="N6" s="50">
        <f>$D6</f>
        <v>1</v>
      </c>
      <c r="O6" s="50">
        <f>SUM(F6:I6)</f>
        <v>6</v>
      </c>
      <c r="Q6" s="18">
        <f t="shared" ref="Q6:Q37" si="0">IF(ISNUMBER(D6),D6,0)</f>
        <v>1</v>
      </c>
      <c r="R6" s="18">
        <f t="shared" ref="R6:R37" si="1">D6*2</f>
        <v>2</v>
      </c>
      <c r="T6" s="9" t="s">
        <v>192</v>
      </c>
      <c r="V6" s="18">
        <v>1</v>
      </c>
      <c r="W6" s="18">
        <v>1</v>
      </c>
      <c r="X6" s="18">
        <v>1</v>
      </c>
    </row>
    <row r="7" spans="1:24" ht="15.75" x14ac:dyDescent="0.25">
      <c r="A7" t="str">
        <f>IF(Rios!A4&lt;&gt;"",Rios!A4,"-")</f>
        <v>RIO-3112-1</v>
      </c>
      <c r="B7" s="32" t="str">
        <f>Rios!AM4</f>
        <v>Standard-Small</v>
      </c>
      <c r="C7" s="32" t="str">
        <f>Rios!F4</f>
        <v>3184-PLC-001</v>
      </c>
      <c r="D7" s="48">
        <f>Rios!J4</f>
        <v>2</v>
      </c>
      <c r="F7" s="50">
        <f>IF($D7&gt;0,    VLOOKUP($B7,Constraints!$I:$AA,F$5,FALSE)*$D7,"-")</f>
        <v>4</v>
      </c>
      <c r="G7" s="50">
        <f>IF($D7&gt;0,    VLOOKUP($B7,Constraints!$I:$AA,G$5,FALSE)*$D7,"-")</f>
        <v>2</v>
      </c>
      <c r="H7" s="50">
        <f>IF($D7&gt;0,    VLOOKUP($B7,Constraints!$I:$AA,H$5,FALSE)*$D7,"-")</f>
        <v>4</v>
      </c>
      <c r="I7" s="50">
        <f>IF($D7&gt;0,    VLOOKUP($B7,Constraints!$I:$AA,I$5,FALSE)*$D7,"-")</f>
        <v>2</v>
      </c>
      <c r="K7" s="50">
        <f t="shared" ref="K7:N38" si="2">$D7</f>
        <v>2</v>
      </c>
      <c r="L7" s="50">
        <f t="shared" si="2"/>
        <v>2</v>
      </c>
      <c r="M7" s="50">
        <f t="shared" si="2"/>
        <v>2</v>
      </c>
      <c r="N7" s="50">
        <f t="shared" si="2"/>
        <v>2</v>
      </c>
      <c r="O7" s="50">
        <f t="shared" ref="O7:O37" si="3">SUM(F7:I7)</f>
        <v>12</v>
      </c>
      <c r="Q7" s="18">
        <f t="shared" si="0"/>
        <v>2</v>
      </c>
      <c r="R7" s="18">
        <f t="shared" si="1"/>
        <v>4</v>
      </c>
      <c r="T7" s="9" t="s">
        <v>193</v>
      </c>
      <c r="V7" s="18">
        <v>1</v>
      </c>
      <c r="W7" s="18">
        <v>1</v>
      </c>
      <c r="X7" s="18">
        <v>1</v>
      </c>
    </row>
    <row r="8" spans="1:24" ht="15.75" x14ac:dyDescent="0.25">
      <c r="A8" t="str">
        <f>IF(Rios!A5&lt;&gt;"",Rios!A5,"-")</f>
        <v>RIO-3113-1</v>
      </c>
      <c r="B8" s="32" t="str">
        <f>Rios!AM5</f>
        <v>Standard-Small</v>
      </c>
      <c r="C8" s="32" t="str">
        <f>Rios!F5</f>
        <v>3184-PLC-001</v>
      </c>
      <c r="D8" s="48">
        <f>Rios!J5</f>
        <v>1</v>
      </c>
      <c r="F8" s="50">
        <f>IF($D8&gt;0,    VLOOKUP($B8,Constraints!$I:$AA,F$5,FALSE)*$D8,"-")</f>
        <v>2</v>
      </c>
      <c r="G8" s="50">
        <f>IF($D8&gt;0,    VLOOKUP($B8,Constraints!$I:$AA,G$5,FALSE)*$D8,"-")</f>
        <v>1</v>
      </c>
      <c r="H8" s="50">
        <f>IF($D8&gt;0,    VLOOKUP($B8,Constraints!$I:$AA,H$5,FALSE)*$D8,"-")</f>
        <v>2</v>
      </c>
      <c r="I8" s="50">
        <f>IF($D8&gt;0,    VLOOKUP($B8,Constraints!$I:$AA,I$5,FALSE)*$D8,"-")</f>
        <v>1</v>
      </c>
      <c r="K8" s="50">
        <f t="shared" si="2"/>
        <v>1</v>
      </c>
      <c r="L8" s="50">
        <f t="shared" si="2"/>
        <v>1</v>
      </c>
      <c r="M8" s="50">
        <f t="shared" si="2"/>
        <v>1</v>
      </c>
      <c r="N8" s="50">
        <f t="shared" si="2"/>
        <v>1</v>
      </c>
      <c r="O8" s="50">
        <f t="shared" si="3"/>
        <v>6</v>
      </c>
      <c r="Q8" s="18">
        <f t="shared" si="0"/>
        <v>1</v>
      </c>
      <c r="R8" s="18">
        <f t="shared" si="1"/>
        <v>2</v>
      </c>
      <c r="T8" s="9" t="s">
        <v>194</v>
      </c>
      <c r="V8" s="18">
        <v>1</v>
      </c>
      <c r="W8" s="18">
        <v>1</v>
      </c>
      <c r="X8" s="18">
        <v>1</v>
      </c>
    </row>
    <row r="9" spans="1:24" ht="15.75" x14ac:dyDescent="0.25">
      <c r="A9" t="str">
        <f>IF(Rios!A6&lt;&gt;"",Rios!A6,"-")</f>
        <v>RIO-3114-1</v>
      </c>
      <c r="B9" s="32" t="str">
        <f>Rios!AM6</f>
        <v>Standard-Small</v>
      </c>
      <c r="C9" s="32" t="str">
        <f>Rios!F6</f>
        <v>3184-PLC-001</v>
      </c>
      <c r="D9" s="48">
        <f>Rios!J6</f>
        <v>2</v>
      </c>
      <c r="F9" s="50">
        <f>IF($D9&gt;0,    VLOOKUP($B9,Constraints!$I:$AA,F$5,FALSE)*$D9,"-")</f>
        <v>4</v>
      </c>
      <c r="G9" s="50">
        <f>IF($D9&gt;0,    VLOOKUP($B9,Constraints!$I:$AA,G$5,FALSE)*$D9,"-")</f>
        <v>2</v>
      </c>
      <c r="H9" s="50">
        <f>IF($D9&gt;0,    VLOOKUP($B9,Constraints!$I:$AA,H$5,FALSE)*$D9,"-")</f>
        <v>4</v>
      </c>
      <c r="I9" s="50">
        <f>IF($D9&gt;0,    VLOOKUP($B9,Constraints!$I:$AA,I$5,FALSE)*$D9,"-")</f>
        <v>2</v>
      </c>
      <c r="K9" s="50">
        <f t="shared" si="2"/>
        <v>2</v>
      </c>
      <c r="L9" s="50">
        <f t="shared" si="2"/>
        <v>2</v>
      </c>
      <c r="M9" s="50">
        <f t="shared" si="2"/>
        <v>2</v>
      </c>
      <c r="N9" s="50">
        <f t="shared" si="2"/>
        <v>2</v>
      </c>
      <c r="O9" s="50">
        <f t="shared" si="3"/>
        <v>12</v>
      </c>
      <c r="Q9" s="18">
        <f t="shared" si="0"/>
        <v>2</v>
      </c>
      <c r="R9" s="18">
        <f t="shared" si="1"/>
        <v>4</v>
      </c>
      <c r="T9" s="9" t="s">
        <v>195</v>
      </c>
      <c r="V9" s="18">
        <v>1</v>
      </c>
      <c r="W9" s="18">
        <v>1</v>
      </c>
      <c r="X9" s="18">
        <v>1</v>
      </c>
    </row>
    <row r="10" spans="1:24" ht="15.75" x14ac:dyDescent="0.25">
      <c r="A10" t="str">
        <f>IF(Rios!A7&lt;&gt;"",Rios!A7,"-")</f>
        <v>RIO-3115-1</v>
      </c>
      <c r="B10" s="32" t="str">
        <f>Rios!AM7</f>
        <v>Standard-Small</v>
      </c>
      <c r="C10" s="32" t="str">
        <f>Rios!F7</f>
        <v>3184-PLC-002</v>
      </c>
      <c r="D10" s="48">
        <f>Rios!J7</f>
        <v>2</v>
      </c>
      <c r="F10" s="50">
        <f>IF($D10&gt;0,    VLOOKUP($B10,Constraints!$I:$AA,F$5,FALSE)*$D10,"-")</f>
        <v>4</v>
      </c>
      <c r="G10" s="50">
        <f>IF($D10&gt;0,    VLOOKUP($B10,Constraints!$I:$AA,G$5,FALSE)*$D10,"-")</f>
        <v>2</v>
      </c>
      <c r="H10" s="50">
        <f>IF($D10&gt;0,    VLOOKUP($B10,Constraints!$I:$AA,H$5,FALSE)*$D10,"-")</f>
        <v>4</v>
      </c>
      <c r="I10" s="50">
        <f>IF($D10&gt;0,    VLOOKUP($B10,Constraints!$I:$AA,I$5,FALSE)*$D10,"-")</f>
        <v>2</v>
      </c>
      <c r="K10" s="50">
        <f t="shared" si="2"/>
        <v>2</v>
      </c>
      <c r="L10" s="50">
        <f t="shared" si="2"/>
        <v>2</v>
      </c>
      <c r="M10" s="50">
        <f t="shared" si="2"/>
        <v>2</v>
      </c>
      <c r="N10" s="50">
        <f t="shared" si="2"/>
        <v>2</v>
      </c>
      <c r="O10" s="50">
        <f t="shared" si="3"/>
        <v>12</v>
      </c>
      <c r="Q10" s="18">
        <f t="shared" si="0"/>
        <v>2</v>
      </c>
      <c r="R10" s="18">
        <f t="shared" si="1"/>
        <v>4</v>
      </c>
      <c r="T10" s="9" t="s">
        <v>196</v>
      </c>
      <c r="V10" s="18">
        <v>1</v>
      </c>
      <c r="W10" s="18">
        <v>1</v>
      </c>
      <c r="X10" s="18">
        <v>1</v>
      </c>
    </row>
    <row r="11" spans="1:24" ht="15.75" x14ac:dyDescent="0.25">
      <c r="A11" t="str">
        <f>IF(Rios!A8&lt;&gt;"",Rios!A8,"-")</f>
        <v>RIO-3121-1</v>
      </c>
      <c r="B11" s="32" t="str">
        <f>Rios!AM8</f>
        <v>Standard</v>
      </c>
      <c r="C11" s="32" t="str">
        <f>Rios!F8</f>
        <v>3184-PLC-002</v>
      </c>
      <c r="D11" s="48">
        <f>Rios!J8</f>
        <v>2</v>
      </c>
      <c r="F11" s="50">
        <f>IF($D11&gt;0,    VLOOKUP($B11,Constraints!$I:$AA,F$5,FALSE)*$D11,"-")</f>
        <v>8</v>
      </c>
      <c r="G11" s="50">
        <f>IF($D11&gt;0,    VLOOKUP($B11,Constraints!$I:$AA,G$5,FALSE)*$D11,"-")</f>
        <v>4</v>
      </c>
      <c r="H11" s="50">
        <f>IF($D11&gt;0,    VLOOKUP($B11,Constraints!$I:$AA,H$5,FALSE)*$D11,"-")</f>
        <v>8</v>
      </c>
      <c r="I11" s="50">
        <f>IF($D11&gt;0,    VLOOKUP($B11,Constraints!$I:$AA,I$5,FALSE)*$D11,"-")</f>
        <v>4</v>
      </c>
      <c r="K11" s="50">
        <f t="shared" si="2"/>
        <v>2</v>
      </c>
      <c r="L11" s="50">
        <f t="shared" si="2"/>
        <v>2</v>
      </c>
      <c r="M11" s="50">
        <f t="shared" si="2"/>
        <v>2</v>
      </c>
      <c r="N11" s="50">
        <f t="shared" si="2"/>
        <v>2</v>
      </c>
      <c r="O11" s="50">
        <f t="shared" si="3"/>
        <v>24</v>
      </c>
      <c r="Q11" s="18">
        <f t="shared" si="0"/>
        <v>2</v>
      </c>
      <c r="R11" s="18">
        <f t="shared" si="1"/>
        <v>4</v>
      </c>
      <c r="T11" s="9" t="s">
        <v>213</v>
      </c>
      <c r="V11" s="18">
        <v>1</v>
      </c>
      <c r="W11" s="18">
        <v>1</v>
      </c>
      <c r="X11" s="18">
        <v>1</v>
      </c>
    </row>
    <row r="12" spans="1:24" ht="15.75" x14ac:dyDescent="0.25">
      <c r="A12" t="str">
        <f>IF(Rios!A9&lt;&gt;"",Rios!A9,"-")</f>
        <v>RIO-3121-2</v>
      </c>
      <c r="B12" s="32" t="str">
        <f>Rios!AM9</f>
        <v>Standard</v>
      </c>
      <c r="C12" s="32" t="str">
        <f>Rios!F9</f>
        <v>3184-PLC-002</v>
      </c>
      <c r="D12" s="48">
        <f>Rios!J9</f>
        <v>2</v>
      </c>
      <c r="F12" s="50">
        <f>IF($D12&gt;0,    VLOOKUP($B12,Constraints!$I:$AA,F$5,FALSE)*$D12,"-")</f>
        <v>8</v>
      </c>
      <c r="G12" s="50">
        <f>IF($D12&gt;0,    VLOOKUP($B12,Constraints!$I:$AA,G$5,FALSE)*$D12,"-")</f>
        <v>4</v>
      </c>
      <c r="H12" s="50">
        <f>IF($D12&gt;0,    VLOOKUP($B12,Constraints!$I:$AA,H$5,FALSE)*$D12,"-")</f>
        <v>8</v>
      </c>
      <c r="I12" s="50">
        <f>IF($D12&gt;0,    VLOOKUP($B12,Constraints!$I:$AA,I$5,FALSE)*$D12,"-")</f>
        <v>4</v>
      </c>
      <c r="K12" s="50">
        <f t="shared" si="2"/>
        <v>2</v>
      </c>
      <c r="L12" s="50">
        <f t="shared" si="2"/>
        <v>2</v>
      </c>
      <c r="M12" s="50">
        <f t="shared" si="2"/>
        <v>2</v>
      </c>
      <c r="N12" s="50">
        <f t="shared" si="2"/>
        <v>2</v>
      </c>
      <c r="O12" s="50">
        <f t="shared" si="3"/>
        <v>24</v>
      </c>
      <c r="Q12" s="18">
        <f t="shared" si="0"/>
        <v>2</v>
      </c>
      <c r="R12" s="18">
        <f t="shared" si="1"/>
        <v>4</v>
      </c>
      <c r="T12" s="9" t="s">
        <v>267</v>
      </c>
      <c r="V12" s="18">
        <v>1</v>
      </c>
      <c r="W12" s="18">
        <v>1</v>
      </c>
      <c r="X12" s="18">
        <v>1</v>
      </c>
    </row>
    <row r="13" spans="1:24" x14ac:dyDescent="0.25">
      <c r="A13" t="str">
        <f>IF(Rios!A10&lt;&gt;"",Rios!A10,"-")</f>
        <v>RIO-3121-3</v>
      </c>
      <c r="B13" s="32" t="str">
        <f>Rios!AM10</f>
        <v>Standard</v>
      </c>
      <c r="C13" s="32" t="str">
        <f>Rios!F10</f>
        <v>3184-PLC-002</v>
      </c>
      <c r="D13" s="48">
        <f>Rios!J10</f>
        <v>2</v>
      </c>
      <c r="F13" s="50">
        <f>IF($D13&gt;0,    VLOOKUP($B13,Constraints!$I:$AA,F$5,FALSE)*$D13,"-")</f>
        <v>8</v>
      </c>
      <c r="G13" s="50">
        <f>IF($D13&gt;0,    VLOOKUP($B13,Constraints!$I:$AA,G$5,FALSE)*$D13,"-")</f>
        <v>4</v>
      </c>
      <c r="H13" s="50">
        <f>IF($D13&gt;0,    VLOOKUP($B13,Constraints!$I:$AA,H$5,FALSE)*$D13,"-")</f>
        <v>8</v>
      </c>
      <c r="I13" s="50">
        <f>IF($D13&gt;0,    VLOOKUP($B13,Constraints!$I:$AA,I$5,FALSE)*$D13,"-")</f>
        <v>4</v>
      </c>
      <c r="K13" s="50">
        <f t="shared" si="2"/>
        <v>2</v>
      </c>
      <c r="L13" s="50">
        <f t="shared" si="2"/>
        <v>2</v>
      </c>
      <c r="M13" s="50">
        <f t="shared" si="2"/>
        <v>2</v>
      </c>
      <c r="N13" s="50">
        <f t="shared" si="2"/>
        <v>2</v>
      </c>
      <c r="O13" s="50">
        <f t="shared" si="3"/>
        <v>24</v>
      </c>
      <c r="Q13" s="18">
        <f t="shared" si="0"/>
        <v>2</v>
      </c>
      <c r="R13" s="18">
        <f t="shared" si="1"/>
        <v>4</v>
      </c>
    </row>
    <row r="14" spans="1:24" x14ac:dyDescent="0.25">
      <c r="A14" t="str">
        <f>IF(Rios!A11&lt;&gt;"",Rios!A11,"-")</f>
        <v>RIO-3122-1</v>
      </c>
      <c r="B14" s="32" t="str">
        <f>Rios!AM11</f>
        <v>Digital Bias</v>
      </c>
      <c r="C14" s="32" t="str">
        <f>Rios!F11</f>
        <v>3184-PLC-003</v>
      </c>
      <c r="D14" s="48">
        <f>Rios!J11</f>
        <v>1</v>
      </c>
      <c r="F14" s="50">
        <f>IF($D14&gt;0,    VLOOKUP($B14,Constraints!$I:$AA,F$5,FALSE)*$D14,"-")</f>
        <v>1</v>
      </c>
      <c r="G14" s="50">
        <f>IF($D14&gt;0,    VLOOKUP($B14,Constraints!$I:$AA,G$5,FALSE)*$D14,"-")</f>
        <v>1</v>
      </c>
      <c r="H14" s="50">
        <f>IF($D14&gt;0,    VLOOKUP($B14,Constraints!$I:$AA,H$5,FALSE)*$D14,"-")</f>
        <v>5</v>
      </c>
      <c r="I14" s="50">
        <f>IF($D14&gt;0,    VLOOKUP($B14,Constraints!$I:$AA,I$5,FALSE)*$D14,"-")</f>
        <v>5</v>
      </c>
      <c r="K14" s="50">
        <f t="shared" si="2"/>
        <v>1</v>
      </c>
      <c r="L14" s="50">
        <f t="shared" si="2"/>
        <v>1</v>
      </c>
      <c r="M14" s="50">
        <f t="shared" si="2"/>
        <v>1</v>
      </c>
      <c r="N14" s="50">
        <f t="shared" si="2"/>
        <v>1</v>
      </c>
      <c r="O14" s="50">
        <f t="shared" si="3"/>
        <v>12</v>
      </c>
      <c r="Q14" s="18">
        <f t="shared" si="0"/>
        <v>1</v>
      </c>
      <c r="R14" s="18">
        <f t="shared" si="1"/>
        <v>2</v>
      </c>
    </row>
    <row r="15" spans="1:24" x14ac:dyDescent="0.25">
      <c r="A15" t="str">
        <f>IF(Rios!A12&lt;&gt;"",Rios!A12,"-")</f>
        <v>RIO-3122-2</v>
      </c>
      <c r="B15" s="32" t="str">
        <f>Rios!AM12</f>
        <v>Digital Bias</v>
      </c>
      <c r="C15" s="32" t="str">
        <f>Rios!F12</f>
        <v>3184-PLC-003</v>
      </c>
      <c r="D15" s="48">
        <f>Rios!J12</f>
        <v>1</v>
      </c>
      <c r="F15" s="50">
        <f>IF($D15&gt;0,    VLOOKUP($B15,Constraints!$I:$AA,F$5,FALSE)*$D15,"-")</f>
        <v>1</v>
      </c>
      <c r="G15" s="50">
        <f>IF($D15&gt;0,    VLOOKUP($B15,Constraints!$I:$AA,G$5,FALSE)*$D15,"-")</f>
        <v>1</v>
      </c>
      <c r="H15" s="50">
        <f>IF($D15&gt;0,    VLOOKUP($B15,Constraints!$I:$AA,H$5,FALSE)*$D15,"-")</f>
        <v>5</v>
      </c>
      <c r="I15" s="50">
        <f>IF($D15&gt;0,    VLOOKUP($B15,Constraints!$I:$AA,I$5,FALSE)*$D15,"-")</f>
        <v>5</v>
      </c>
      <c r="K15" s="50">
        <f t="shared" si="2"/>
        <v>1</v>
      </c>
      <c r="L15" s="50">
        <f t="shared" si="2"/>
        <v>1</v>
      </c>
      <c r="M15" s="50">
        <f t="shared" si="2"/>
        <v>1</v>
      </c>
      <c r="N15" s="50">
        <f t="shared" si="2"/>
        <v>1</v>
      </c>
      <c r="O15" s="50">
        <f t="shared" si="3"/>
        <v>12</v>
      </c>
      <c r="Q15" s="18">
        <f t="shared" si="0"/>
        <v>1</v>
      </c>
      <c r="R15" s="18">
        <f t="shared" si="1"/>
        <v>2</v>
      </c>
    </row>
    <row r="16" spans="1:24" x14ac:dyDescent="0.25">
      <c r="A16" t="str">
        <f>IF(Rios!A13&lt;&gt;"",Rios!A13,"-")</f>
        <v>RIO-3122-3</v>
      </c>
      <c r="B16" s="32" t="str">
        <f>Rios!AM13</f>
        <v>Standard-Small</v>
      </c>
      <c r="C16" s="32" t="str">
        <f>Rios!F13</f>
        <v>3184-PLC-003</v>
      </c>
      <c r="D16" s="48">
        <f>Rios!J13</f>
        <v>2</v>
      </c>
      <c r="F16" s="50">
        <f>IF($D16&gt;0,    VLOOKUP($B16,Constraints!$I:$AA,F$5,FALSE)*$D16,"-")</f>
        <v>4</v>
      </c>
      <c r="G16" s="50">
        <f>IF($D16&gt;0,    VLOOKUP($B16,Constraints!$I:$AA,G$5,FALSE)*$D16,"-")</f>
        <v>2</v>
      </c>
      <c r="H16" s="50">
        <f>IF($D16&gt;0,    VLOOKUP($B16,Constraints!$I:$AA,H$5,FALSE)*$D16,"-")</f>
        <v>4</v>
      </c>
      <c r="I16" s="50">
        <f>IF($D16&gt;0,    VLOOKUP($B16,Constraints!$I:$AA,I$5,FALSE)*$D16,"-")</f>
        <v>2</v>
      </c>
      <c r="K16" s="50">
        <f t="shared" si="2"/>
        <v>2</v>
      </c>
      <c r="L16" s="50">
        <f t="shared" si="2"/>
        <v>2</v>
      </c>
      <c r="M16" s="50">
        <f t="shared" si="2"/>
        <v>2</v>
      </c>
      <c r="N16" s="50">
        <f t="shared" si="2"/>
        <v>2</v>
      </c>
      <c r="O16" s="50">
        <f t="shared" si="3"/>
        <v>12</v>
      </c>
      <c r="Q16" s="18">
        <f t="shared" si="0"/>
        <v>2</v>
      </c>
      <c r="R16" s="18">
        <f t="shared" si="1"/>
        <v>4</v>
      </c>
    </row>
    <row r="17" spans="1:18" x14ac:dyDescent="0.25">
      <c r="A17" t="str">
        <f>IF(Rios!A14&lt;&gt;"",Rios!A14,"-")</f>
        <v>RIO-3122-4</v>
      </c>
      <c r="B17" s="32" t="str">
        <f>Rios!AM14</f>
        <v>Standard-Small</v>
      </c>
      <c r="C17" s="32" t="str">
        <f>Rios!F14</f>
        <v>3184-PLC-003</v>
      </c>
      <c r="D17" s="48">
        <f>Rios!J14</f>
        <v>2</v>
      </c>
      <c r="F17" s="50">
        <f>IF($D17&gt;0,    VLOOKUP($B17,Constraints!$I:$AA,F$5,FALSE)*$D17,"-")</f>
        <v>4</v>
      </c>
      <c r="G17" s="50">
        <f>IF($D17&gt;0,    VLOOKUP($B17,Constraints!$I:$AA,G$5,FALSE)*$D17,"-")</f>
        <v>2</v>
      </c>
      <c r="H17" s="50">
        <f>IF($D17&gt;0,    VLOOKUP($B17,Constraints!$I:$AA,H$5,FALSE)*$D17,"-")</f>
        <v>4</v>
      </c>
      <c r="I17" s="50">
        <f>IF($D17&gt;0,    VLOOKUP($B17,Constraints!$I:$AA,I$5,FALSE)*$D17,"-")</f>
        <v>2</v>
      </c>
      <c r="K17" s="50">
        <f t="shared" si="2"/>
        <v>2</v>
      </c>
      <c r="L17" s="50">
        <f t="shared" si="2"/>
        <v>2</v>
      </c>
      <c r="M17" s="50">
        <f t="shared" si="2"/>
        <v>2</v>
      </c>
      <c r="N17" s="50">
        <f t="shared" si="2"/>
        <v>2</v>
      </c>
      <c r="O17" s="50">
        <f t="shared" si="3"/>
        <v>12</v>
      </c>
      <c r="Q17" s="18">
        <f t="shared" si="0"/>
        <v>2</v>
      </c>
      <c r="R17" s="18">
        <f t="shared" si="1"/>
        <v>4</v>
      </c>
    </row>
    <row r="18" spans="1:18" x14ac:dyDescent="0.25">
      <c r="A18" t="str">
        <f>IF(Rios!A15&lt;&gt;"",Rios!A15,"-")</f>
        <v>RIO-3131-1</v>
      </c>
      <c r="B18" s="32" t="str">
        <f>Rios!AM15</f>
        <v>Standard</v>
      </c>
      <c r="C18" s="32" t="str">
        <f>Rios!F15</f>
        <v>3184-PLC-003</v>
      </c>
      <c r="D18" s="48">
        <f>Rios!J15</f>
        <v>2</v>
      </c>
      <c r="F18" s="50">
        <f>IF($D18&gt;0,    VLOOKUP($B18,Constraints!$I:$AA,F$5,FALSE)*$D18,"-")</f>
        <v>8</v>
      </c>
      <c r="G18" s="50">
        <f>IF($D18&gt;0,    VLOOKUP($B18,Constraints!$I:$AA,G$5,FALSE)*$D18,"-")</f>
        <v>4</v>
      </c>
      <c r="H18" s="50">
        <f>IF($D18&gt;0,    VLOOKUP($B18,Constraints!$I:$AA,H$5,FALSE)*$D18,"-")</f>
        <v>8</v>
      </c>
      <c r="I18" s="50">
        <f>IF($D18&gt;0,    VLOOKUP($B18,Constraints!$I:$AA,I$5,FALSE)*$D18,"-")</f>
        <v>4</v>
      </c>
      <c r="K18" s="50">
        <f t="shared" si="2"/>
        <v>2</v>
      </c>
      <c r="L18" s="50">
        <f t="shared" si="2"/>
        <v>2</v>
      </c>
      <c r="M18" s="50">
        <f t="shared" si="2"/>
        <v>2</v>
      </c>
      <c r="N18" s="50">
        <f t="shared" si="2"/>
        <v>2</v>
      </c>
      <c r="O18" s="50">
        <f t="shared" si="3"/>
        <v>24</v>
      </c>
      <c r="Q18" s="18">
        <f t="shared" si="0"/>
        <v>2</v>
      </c>
      <c r="R18" s="18">
        <f t="shared" si="1"/>
        <v>4</v>
      </c>
    </row>
    <row r="19" spans="1:18" x14ac:dyDescent="0.25">
      <c r="A19" t="str">
        <f>IF(Rios!A16&lt;&gt;"",Rios!A16,"-")</f>
        <v>RIO-3131-2</v>
      </c>
      <c r="B19" s="32" t="str">
        <f>Rios!AM16</f>
        <v>Standard-Small</v>
      </c>
      <c r="C19" s="32" t="str">
        <f>Rios!F16</f>
        <v>3184-PLC-003</v>
      </c>
      <c r="D19" s="48">
        <f>Rios!J16</f>
        <v>1</v>
      </c>
      <c r="F19" s="50">
        <f>IF($D19&gt;0,    VLOOKUP($B19,Constraints!$I:$AA,F$5,FALSE)*$D19,"-")</f>
        <v>2</v>
      </c>
      <c r="G19" s="50">
        <f>IF($D19&gt;0,    VLOOKUP($B19,Constraints!$I:$AA,G$5,FALSE)*$D19,"-")</f>
        <v>1</v>
      </c>
      <c r="H19" s="50">
        <f>IF($D19&gt;0,    VLOOKUP($B19,Constraints!$I:$AA,H$5,FALSE)*$D19,"-")</f>
        <v>2</v>
      </c>
      <c r="I19" s="50">
        <f>IF($D19&gt;0,    VLOOKUP($B19,Constraints!$I:$AA,I$5,FALSE)*$D19,"-")</f>
        <v>1</v>
      </c>
      <c r="K19" s="50">
        <f t="shared" si="2"/>
        <v>1</v>
      </c>
      <c r="L19" s="50">
        <f t="shared" si="2"/>
        <v>1</v>
      </c>
      <c r="M19" s="50">
        <f t="shared" si="2"/>
        <v>1</v>
      </c>
      <c r="N19" s="50">
        <f t="shared" si="2"/>
        <v>1</v>
      </c>
      <c r="O19" s="50">
        <f t="shared" si="3"/>
        <v>6</v>
      </c>
      <c r="Q19" s="18">
        <f t="shared" si="0"/>
        <v>1</v>
      </c>
      <c r="R19" s="18">
        <f t="shared" si="1"/>
        <v>2</v>
      </c>
    </row>
    <row r="20" spans="1:18" x14ac:dyDescent="0.25">
      <c r="A20" t="str">
        <f>IF(Rios!A17&lt;&gt;"",Rios!A17,"-")</f>
        <v>RIO-3131-3</v>
      </c>
      <c r="B20" s="32" t="str">
        <f>Rios!AM17</f>
        <v>Standard</v>
      </c>
      <c r="C20" s="32" t="str">
        <f>Rios!F17</f>
        <v>3184-PLC-003</v>
      </c>
      <c r="D20" s="48">
        <f>Rios!J17</f>
        <v>2</v>
      </c>
      <c r="F20" s="50">
        <f>IF($D20&gt;0,    VLOOKUP($B20,Constraints!$I:$AA,F$5,FALSE)*$D20,"-")</f>
        <v>8</v>
      </c>
      <c r="G20" s="50">
        <f>IF($D20&gt;0,    VLOOKUP($B20,Constraints!$I:$AA,G$5,FALSE)*$D20,"-")</f>
        <v>4</v>
      </c>
      <c r="H20" s="50">
        <f>IF($D20&gt;0,    VLOOKUP($B20,Constraints!$I:$AA,H$5,FALSE)*$D20,"-")</f>
        <v>8</v>
      </c>
      <c r="I20" s="50">
        <f>IF($D20&gt;0,    VLOOKUP($B20,Constraints!$I:$AA,I$5,FALSE)*$D20,"-")</f>
        <v>4</v>
      </c>
      <c r="K20" s="50">
        <f t="shared" si="2"/>
        <v>2</v>
      </c>
      <c r="L20" s="50">
        <f t="shared" si="2"/>
        <v>2</v>
      </c>
      <c r="M20" s="50">
        <f t="shared" si="2"/>
        <v>2</v>
      </c>
      <c r="N20" s="50">
        <f t="shared" si="2"/>
        <v>2</v>
      </c>
      <c r="O20" s="50">
        <f t="shared" si="3"/>
        <v>24</v>
      </c>
      <c r="Q20" s="18">
        <f t="shared" si="0"/>
        <v>2</v>
      </c>
      <c r="R20" s="18">
        <f t="shared" si="1"/>
        <v>4</v>
      </c>
    </row>
    <row r="21" spans="1:18" x14ac:dyDescent="0.25">
      <c r="A21" t="str">
        <f>IF(Rios!A18&lt;&gt;"",Rios!A18,"-")</f>
        <v>RIO-3131-4</v>
      </c>
      <c r="B21" s="32" t="str">
        <f>Rios!AM18</f>
        <v>Standard-Small</v>
      </c>
      <c r="C21" s="32" t="str">
        <f>Rios!F18</f>
        <v>3184-PLC-003</v>
      </c>
      <c r="D21" s="48">
        <f>Rios!J18</f>
        <v>1</v>
      </c>
      <c r="F21" s="50">
        <f>IF($D21&gt;0,    VLOOKUP($B21,Constraints!$I:$AA,F$5,FALSE)*$D21,"-")</f>
        <v>2</v>
      </c>
      <c r="G21" s="50">
        <f>IF($D21&gt;0,    VLOOKUP($B21,Constraints!$I:$AA,G$5,FALSE)*$D21,"-")</f>
        <v>1</v>
      </c>
      <c r="H21" s="50">
        <f>IF($D21&gt;0,    VLOOKUP($B21,Constraints!$I:$AA,H$5,FALSE)*$D21,"-")</f>
        <v>2</v>
      </c>
      <c r="I21" s="50">
        <f>IF($D21&gt;0,    VLOOKUP($B21,Constraints!$I:$AA,I$5,FALSE)*$D21,"-")</f>
        <v>1</v>
      </c>
      <c r="K21" s="50">
        <f t="shared" si="2"/>
        <v>1</v>
      </c>
      <c r="L21" s="50">
        <f t="shared" si="2"/>
        <v>1</v>
      </c>
      <c r="M21" s="50">
        <f t="shared" si="2"/>
        <v>1</v>
      </c>
      <c r="N21" s="50">
        <f t="shared" si="2"/>
        <v>1</v>
      </c>
      <c r="O21" s="50">
        <f t="shared" si="3"/>
        <v>6</v>
      </c>
      <c r="Q21" s="18">
        <f t="shared" si="0"/>
        <v>1</v>
      </c>
      <c r="R21" s="18">
        <f t="shared" si="1"/>
        <v>2</v>
      </c>
    </row>
    <row r="22" spans="1:18" x14ac:dyDescent="0.25">
      <c r="A22" t="str">
        <f>IF(Rios!A19&lt;&gt;"",Rios!A19,"-")</f>
        <v>RIO-3131-5</v>
      </c>
      <c r="B22" s="32" t="str">
        <f>Rios!AM19</f>
        <v>Standard-Small</v>
      </c>
      <c r="C22" s="32" t="str">
        <f>Rios!F19</f>
        <v>3184-PLC-003</v>
      </c>
      <c r="D22" s="48">
        <f>Rios!J19</f>
        <v>1</v>
      </c>
      <c r="F22" s="50">
        <f>IF($D22&gt;0,    VLOOKUP($B22,Constraints!$I:$AA,F$5,FALSE)*$D22,"-")</f>
        <v>2</v>
      </c>
      <c r="G22" s="50">
        <f>IF($D22&gt;0,    VLOOKUP($B22,Constraints!$I:$AA,G$5,FALSE)*$D22,"-")</f>
        <v>1</v>
      </c>
      <c r="H22" s="50">
        <f>IF($D22&gt;0,    VLOOKUP($B22,Constraints!$I:$AA,H$5,FALSE)*$D22,"-")</f>
        <v>2</v>
      </c>
      <c r="I22" s="50">
        <f>IF($D22&gt;0,    VLOOKUP($B22,Constraints!$I:$AA,I$5,FALSE)*$D22,"-")</f>
        <v>1</v>
      </c>
      <c r="K22" s="50">
        <f t="shared" si="2"/>
        <v>1</v>
      </c>
      <c r="L22" s="50">
        <f t="shared" si="2"/>
        <v>1</v>
      </c>
      <c r="M22" s="50">
        <f t="shared" si="2"/>
        <v>1</v>
      </c>
      <c r="N22" s="50">
        <f t="shared" si="2"/>
        <v>1</v>
      </c>
      <c r="O22" s="50">
        <f t="shared" si="3"/>
        <v>6</v>
      </c>
      <c r="Q22" s="18">
        <f t="shared" si="0"/>
        <v>1</v>
      </c>
      <c r="R22" s="18">
        <f t="shared" si="1"/>
        <v>2</v>
      </c>
    </row>
    <row r="23" spans="1:18" x14ac:dyDescent="0.25">
      <c r="A23" t="str">
        <f>IF(Rios!A20&lt;&gt;"",Rios!A20,"-")</f>
        <v>RIO-3131-6</v>
      </c>
      <c r="B23" s="32" t="str">
        <f>Rios!AM20</f>
        <v>Digital Bias</v>
      </c>
      <c r="C23" s="32" t="str">
        <f>Rios!F20</f>
        <v>3184-PLC-003</v>
      </c>
      <c r="D23" s="48">
        <f>Rios!J20</f>
        <v>1</v>
      </c>
      <c r="F23" s="50">
        <f>IF($D23&gt;0,    VLOOKUP($B23,Constraints!$I:$AA,F$5,FALSE)*$D23,"-")</f>
        <v>1</v>
      </c>
      <c r="G23" s="50">
        <f>IF($D23&gt;0,    VLOOKUP($B23,Constraints!$I:$AA,G$5,FALSE)*$D23,"-")</f>
        <v>1</v>
      </c>
      <c r="H23" s="50">
        <f>IF($D23&gt;0,    VLOOKUP($B23,Constraints!$I:$AA,H$5,FALSE)*$D23,"-")</f>
        <v>5</v>
      </c>
      <c r="I23" s="50">
        <f>IF($D23&gt;0,    VLOOKUP($B23,Constraints!$I:$AA,I$5,FALSE)*$D23,"-")</f>
        <v>5</v>
      </c>
      <c r="K23" s="50">
        <f t="shared" si="2"/>
        <v>1</v>
      </c>
      <c r="L23" s="50">
        <f t="shared" si="2"/>
        <v>1</v>
      </c>
      <c r="M23" s="50">
        <f t="shared" si="2"/>
        <v>1</v>
      </c>
      <c r="N23" s="50">
        <f t="shared" si="2"/>
        <v>1</v>
      </c>
      <c r="O23" s="50">
        <f t="shared" si="3"/>
        <v>12</v>
      </c>
      <c r="Q23" s="18">
        <f t="shared" si="0"/>
        <v>1</v>
      </c>
      <c r="R23" s="18">
        <f t="shared" si="1"/>
        <v>2</v>
      </c>
    </row>
    <row r="24" spans="1:18" x14ac:dyDescent="0.25">
      <c r="A24" t="str">
        <f>IF(Rios!A21&lt;&gt;"",Rios!A21,"-")</f>
        <v>RIO-3132-1</v>
      </c>
      <c r="B24" s="32" t="str">
        <f>Rios!AM21</f>
        <v>Standard-Small</v>
      </c>
      <c r="C24" s="32" t="str">
        <f>Rios!F21</f>
        <v>3184-PLC-003</v>
      </c>
      <c r="D24" s="48">
        <f>Rios!J21</f>
        <v>1</v>
      </c>
      <c r="F24" s="50">
        <f>IF($D24&gt;0,    VLOOKUP($B24,Constraints!$I:$AA,F$5,FALSE)*$D24,"-")</f>
        <v>2</v>
      </c>
      <c r="G24" s="50">
        <f>IF($D24&gt;0,    VLOOKUP($B24,Constraints!$I:$AA,G$5,FALSE)*$D24,"-")</f>
        <v>1</v>
      </c>
      <c r="H24" s="50">
        <f>IF($D24&gt;0,    VLOOKUP($B24,Constraints!$I:$AA,H$5,FALSE)*$D24,"-")</f>
        <v>2</v>
      </c>
      <c r="I24" s="50">
        <f>IF($D24&gt;0,    VLOOKUP($B24,Constraints!$I:$AA,I$5,FALSE)*$D24,"-")</f>
        <v>1</v>
      </c>
      <c r="K24" s="50">
        <f t="shared" si="2"/>
        <v>1</v>
      </c>
      <c r="L24" s="50">
        <f t="shared" si="2"/>
        <v>1</v>
      </c>
      <c r="M24" s="50">
        <f t="shared" si="2"/>
        <v>1</v>
      </c>
      <c r="N24" s="50">
        <f t="shared" si="2"/>
        <v>1</v>
      </c>
      <c r="O24" s="50">
        <f t="shared" si="3"/>
        <v>6</v>
      </c>
      <c r="Q24" s="18">
        <f t="shared" si="0"/>
        <v>1</v>
      </c>
      <c r="R24" s="18">
        <f t="shared" si="1"/>
        <v>2</v>
      </c>
    </row>
    <row r="25" spans="1:18" x14ac:dyDescent="0.25">
      <c r="A25" t="str">
        <f>IF(Rios!A22&lt;&gt;"",Rios!A22,"-")</f>
        <v>RIO-3132-2</v>
      </c>
      <c r="B25" s="32" t="str">
        <f>Rios!AM22</f>
        <v>Digital Bias</v>
      </c>
      <c r="C25" s="32" t="str">
        <f>Rios!F22</f>
        <v>3184-PLC-003</v>
      </c>
      <c r="D25" s="48">
        <f>Rios!J22</f>
        <v>1</v>
      </c>
      <c r="F25" s="50">
        <f>IF($D25&gt;0,    VLOOKUP($B25,Constraints!$I:$AA,F$5,FALSE)*$D25,"-")</f>
        <v>1</v>
      </c>
      <c r="G25" s="50">
        <f>IF($D25&gt;0,    VLOOKUP($B25,Constraints!$I:$AA,G$5,FALSE)*$D25,"-")</f>
        <v>1</v>
      </c>
      <c r="H25" s="50">
        <f>IF($D25&gt;0,    VLOOKUP($B25,Constraints!$I:$AA,H$5,FALSE)*$D25,"-")</f>
        <v>5</v>
      </c>
      <c r="I25" s="50">
        <f>IF($D25&gt;0,    VLOOKUP($B25,Constraints!$I:$AA,I$5,FALSE)*$D25,"-")</f>
        <v>5</v>
      </c>
      <c r="K25" s="50">
        <f t="shared" si="2"/>
        <v>1</v>
      </c>
      <c r="L25" s="50">
        <f t="shared" si="2"/>
        <v>1</v>
      </c>
      <c r="M25" s="50">
        <f t="shared" si="2"/>
        <v>1</v>
      </c>
      <c r="N25" s="50">
        <f t="shared" si="2"/>
        <v>1</v>
      </c>
      <c r="O25" s="50">
        <f t="shared" si="3"/>
        <v>12</v>
      </c>
      <c r="Q25" s="18">
        <f t="shared" si="0"/>
        <v>1</v>
      </c>
      <c r="R25" s="18">
        <f t="shared" si="1"/>
        <v>2</v>
      </c>
    </row>
    <row r="26" spans="1:18" x14ac:dyDescent="0.25">
      <c r="A26" t="str">
        <f>IF(Rios!A23&lt;&gt;"",Rios!A23,"-")</f>
        <v>RIO-3132-3</v>
      </c>
      <c r="B26" s="32" t="str">
        <f>Rios!AM23</f>
        <v>Standard</v>
      </c>
      <c r="C26" s="32" t="str">
        <f>Rios!F23</f>
        <v>3184-PLC-003</v>
      </c>
      <c r="D26" s="48">
        <f>Rios!J23</f>
        <v>2</v>
      </c>
      <c r="F26" s="50">
        <f>IF($D26&gt;0,    VLOOKUP($B26,Constraints!$I:$AA,F$5,FALSE)*$D26,"-")</f>
        <v>8</v>
      </c>
      <c r="G26" s="50">
        <f>IF($D26&gt;0,    VLOOKUP($B26,Constraints!$I:$AA,G$5,FALSE)*$D26,"-")</f>
        <v>4</v>
      </c>
      <c r="H26" s="50">
        <f>IF($D26&gt;0,    VLOOKUP($B26,Constraints!$I:$AA,H$5,FALSE)*$D26,"-")</f>
        <v>8</v>
      </c>
      <c r="I26" s="50">
        <f>IF($D26&gt;0,    VLOOKUP($B26,Constraints!$I:$AA,I$5,FALSE)*$D26,"-")</f>
        <v>4</v>
      </c>
      <c r="K26" s="50">
        <f t="shared" si="2"/>
        <v>2</v>
      </c>
      <c r="L26" s="50">
        <f t="shared" si="2"/>
        <v>2</v>
      </c>
      <c r="M26" s="50">
        <f t="shared" si="2"/>
        <v>2</v>
      </c>
      <c r="N26" s="50">
        <f t="shared" si="2"/>
        <v>2</v>
      </c>
      <c r="O26" s="50">
        <f t="shared" si="3"/>
        <v>24</v>
      </c>
      <c r="Q26" s="18">
        <f t="shared" si="0"/>
        <v>2</v>
      </c>
      <c r="R26" s="18">
        <f t="shared" si="1"/>
        <v>4</v>
      </c>
    </row>
    <row r="27" spans="1:18" x14ac:dyDescent="0.25">
      <c r="A27" t="str">
        <f>IF(Rios!A24&lt;&gt;"",Rios!A24,"-")</f>
        <v>RIO-3132-4</v>
      </c>
      <c r="B27" s="32" t="str">
        <f>Rios!AM24</f>
        <v>Standard-Small</v>
      </c>
      <c r="C27" s="32" t="str">
        <f>Rios!F24</f>
        <v>3184-PLC-003</v>
      </c>
      <c r="D27" s="48">
        <f>Rios!J24</f>
        <v>1</v>
      </c>
      <c r="F27" s="50">
        <f>IF($D27&gt;0,    VLOOKUP($B27,Constraints!$I:$AA,F$5,FALSE)*$D27,"-")</f>
        <v>2</v>
      </c>
      <c r="G27" s="50">
        <f>IF($D27&gt;0,    VLOOKUP($B27,Constraints!$I:$AA,G$5,FALSE)*$D27,"-")</f>
        <v>1</v>
      </c>
      <c r="H27" s="50">
        <f>IF($D27&gt;0,    VLOOKUP($B27,Constraints!$I:$AA,H$5,FALSE)*$D27,"-")</f>
        <v>2</v>
      </c>
      <c r="I27" s="50">
        <f>IF($D27&gt;0,    VLOOKUP($B27,Constraints!$I:$AA,I$5,FALSE)*$D27,"-")</f>
        <v>1</v>
      </c>
      <c r="K27" s="50">
        <f t="shared" si="2"/>
        <v>1</v>
      </c>
      <c r="L27" s="50">
        <f t="shared" si="2"/>
        <v>1</v>
      </c>
      <c r="M27" s="50">
        <f t="shared" si="2"/>
        <v>1</v>
      </c>
      <c r="N27" s="50">
        <f t="shared" si="2"/>
        <v>1</v>
      </c>
      <c r="O27" s="50">
        <f t="shared" si="3"/>
        <v>6</v>
      </c>
      <c r="Q27" s="18">
        <f t="shared" si="0"/>
        <v>1</v>
      </c>
      <c r="R27" s="18">
        <f t="shared" si="1"/>
        <v>2</v>
      </c>
    </row>
    <row r="28" spans="1:18" x14ac:dyDescent="0.25">
      <c r="A28" t="str">
        <f>IF(Rios!A25&lt;&gt;"",Rios!A25,"-")</f>
        <v>RIO-3132-5</v>
      </c>
      <c r="B28" s="32" t="str">
        <f>Rios!AM25</f>
        <v>Standard</v>
      </c>
      <c r="C28" s="32" t="str">
        <f>Rios!F25</f>
        <v>3184-PLC-003</v>
      </c>
      <c r="D28" s="48">
        <f>Rios!J25</f>
        <v>2</v>
      </c>
      <c r="F28" s="50">
        <f>IF($D28&gt;0,    VLOOKUP($B28,Constraints!$I:$AA,F$5,FALSE)*$D28,"-")</f>
        <v>8</v>
      </c>
      <c r="G28" s="50">
        <f>IF($D28&gt;0,    VLOOKUP($B28,Constraints!$I:$AA,G$5,FALSE)*$D28,"-")</f>
        <v>4</v>
      </c>
      <c r="H28" s="50">
        <f>IF($D28&gt;0,    VLOOKUP($B28,Constraints!$I:$AA,H$5,FALSE)*$D28,"-")</f>
        <v>8</v>
      </c>
      <c r="I28" s="50">
        <f>IF($D28&gt;0,    VLOOKUP($B28,Constraints!$I:$AA,I$5,FALSE)*$D28,"-")</f>
        <v>4</v>
      </c>
      <c r="K28" s="50">
        <f t="shared" si="2"/>
        <v>2</v>
      </c>
      <c r="L28" s="50">
        <f t="shared" si="2"/>
        <v>2</v>
      </c>
      <c r="M28" s="50">
        <f t="shared" si="2"/>
        <v>2</v>
      </c>
      <c r="N28" s="50">
        <f t="shared" si="2"/>
        <v>2</v>
      </c>
      <c r="O28" s="50">
        <f t="shared" si="3"/>
        <v>24</v>
      </c>
      <c r="Q28" s="18">
        <f t="shared" si="0"/>
        <v>2</v>
      </c>
      <c r="R28" s="18">
        <f t="shared" si="1"/>
        <v>4</v>
      </c>
    </row>
    <row r="29" spans="1:18" x14ac:dyDescent="0.25">
      <c r="A29" t="str">
        <f>IF(Rios!A26&lt;&gt;"",Rios!A26,"-")</f>
        <v>RIO-3132-6</v>
      </c>
      <c r="B29" s="32" t="str">
        <f>Rios!AM26</f>
        <v>Standard-Small</v>
      </c>
      <c r="C29" s="32" t="str">
        <f>Rios!F26</f>
        <v>3184-PLC-003</v>
      </c>
      <c r="D29" s="48">
        <f>Rios!J26</f>
        <v>1</v>
      </c>
      <c r="F29" s="50">
        <f>IF($D29&gt;0,    VLOOKUP($B29,Constraints!$I:$AA,F$5,FALSE)*$D29,"-")</f>
        <v>2</v>
      </c>
      <c r="G29" s="50">
        <f>IF($D29&gt;0,    VLOOKUP($B29,Constraints!$I:$AA,G$5,FALSE)*$D29,"-")</f>
        <v>1</v>
      </c>
      <c r="H29" s="50">
        <f>IF($D29&gt;0,    VLOOKUP($B29,Constraints!$I:$AA,H$5,FALSE)*$D29,"-")</f>
        <v>2</v>
      </c>
      <c r="I29" s="50">
        <f>IF($D29&gt;0,    VLOOKUP($B29,Constraints!$I:$AA,I$5,FALSE)*$D29,"-")</f>
        <v>1</v>
      </c>
      <c r="K29" s="50">
        <f t="shared" si="2"/>
        <v>1</v>
      </c>
      <c r="L29" s="50">
        <f t="shared" si="2"/>
        <v>1</v>
      </c>
      <c r="M29" s="50">
        <f t="shared" si="2"/>
        <v>1</v>
      </c>
      <c r="N29" s="50">
        <f t="shared" si="2"/>
        <v>1</v>
      </c>
      <c r="O29" s="50">
        <f t="shared" si="3"/>
        <v>6</v>
      </c>
      <c r="Q29" s="18">
        <f t="shared" si="0"/>
        <v>1</v>
      </c>
      <c r="R29" s="18">
        <f t="shared" si="1"/>
        <v>2</v>
      </c>
    </row>
    <row r="30" spans="1:18" x14ac:dyDescent="0.25">
      <c r="A30" t="str">
        <f>IF(Rios!A27&lt;&gt;"",Rios!A27,"-")</f>
        <v>RIO-3133-1</v>
      </c>
      <c r="B30" s="32" t="str">
        <f>Rios!AM27</f>
        <v>Standard</v>
      </c>
      <c r="C30" s="32" t="str">
        <f>Rios!F27</f>
        <v>3184-PLC-004</v>
      </c>
      <c r="D30" s="48">
        <f>Rios!J27</f>
        <v>2</v>
      </c>
      <c r="F30" s="50">
        <f>IF($D30&gt;0,    VLOOKUP($B30,Constraints!$I:$AA,F$5,FALSE)*$D30,"-")</f>
        <v>8</v>
      </c>
      <c r="G30" s="50">
        <f>IF($D30&gt;0,    VLOOKUP($B30,Constraints!$I:$AA,G$5,FALSE)*$D30,"-")</f>
        <v>4</v>
      </c>
      <c r="H30" s="50">
        <f>IF($D30&gt;0,    VLOOKUP($B30,Constraints!$I:$AA,H$5,FALSE)*$D30,"-")</f>
        <v>8</v>
      </c>
      <c r="I30" s="50">
        <f>IF($D30&gt;0,    VLOOKUP($B30,Constraints!$I:$AA,I$5,FALSE)*$D30,"-")</f>
        <v>4</v>
      </c>
      <c r="K30" s="50">
        <f t="shared" si="2"/>
        <v>2</v>
      </c>
      <c r="L30" s="50">
        <f t="shared" si="2"/>
        <v>2</v>
      </c>
      <c r="M30" s="50">
        <f t="shared" si="2"/>
        <v>2</v>
      </c>
      <c r="N30" s="50">
        <f t="shared" si="2"/>
        <v>2</v>
      </c>
      <c r="O30" s="50">
        <f t="shared" si="3"/>
        <v>24</v>
      </c>
      <c r="Q30" s="18">
        <f t="shared" si="0"/>
        <v>2</v>
      </c>
      <c r="R30" s="18">
        <f t="shared" si="1"/>
        <v>4</v>
      </c>
    </row>
    <row r="31" spans="1:18" x14ac:dyDescent="0.25">
      <c r="A31" t="str">
        <f>IF(Rios!A28&lt;&gt;"",Rios!A28,"-")</f>
        <v>RIO-3141-1</v>
      </c>
      <c r="B31" s="32" t="str">
        <f>Rios!AM28</f>
        <v>Standard-Small</v>
      </c>
      <c r="C31" s="32" t="str">
        <f>Rios!F28</f>
        <v>3184-PLC-004</v>
      </c>
      <c r="D31" s="48">
        <f>Rios!J28</f>
        <v>1</v>
      </c>
      <c r="F31" s="50">
        <f>IF($D31&gt;0,    VLOOKUP($B31,Constraints!$I:$AA,F$5,FALSE)*$D31,"-")</f>
        <v>2</v>
      </c>
      <c r="G31" s="50">
        <f>IF($D31&gt;0,    VLOOKUP($B31,Constraints!$I:$AA,G$5,FALSE)*$D31,"-")</f>
        <v>1</v>
      </c>
      <c r="H31" s="50">
        <f>IF($D31&gt;0,    VLOOKUP($B31,Constraints!$I:$AA,H$5,FALSE)*$D31,"-")</f>
        <v>2</v>
      </c>
      <c r="I31" s="50">
        <f>IF($D31&gt;0,    VLOOKUP($B31,Constraints!$I:$AA,I$5,FALSE)*$D31,"-")</f>
        <v>1</v>
      </c>
      <c r="K31" s="50">
        <f t="shared" si="2"/>
        <v>1</v>
      </c>
      <c r="L31" s="50">
        <f t="shared" si="2"/>
        <v>1</v>
      </c>
      <c r="M31" s="50">
        <f t="shared" si="2"/>
        <v>1</v>
      </c>
      <c r="N31" s="50">
        <f t="shared" si="2"/>
        <v>1</v>
      </c>
      <c r="O31" s="50">
        <f t="shared" si="3"/>
        <v>6</v>
      </c>
      <c r="Q31" s="18">
        <f t="shared" si="0"/>
        <v>1</v>
      </c>
      <c r="R31" s="18">
        <f t="shared" si="1"/>
        <v>2</v>
      </c>
    </row>
    <row r="32" spans="1:18" x14ac:dyDescent="0.25">
      <c r="A32" t="str">
        <f>IF(Rios!A29&lt;&gt;"",Rios!A29,"-")</f>
        <v>RIO-3141-2</v>
      </c>
      <c r="B32" s="32" t="str">
        <f>Rios!AM29</f>
        <v>Digital Bias</v>
      </c>
      <c r="C32" s="32" t="str">
        <f>Rios!F29</f>
        <v>3184-PLC-004</v>
      </c>
      <c r="D32" s="48">
        <f>Rios!J29</f>
        <v>1</v>
      </c>
      <c r="F32" s="50">
        <f>IF($D32&gt;0,    VLOOKUP($B32,Constraints!$I:$AA,F$5,FALSE)*$D32,"-")</f>
        <v>1</v>
      </c>
      <c r="G32" s="50">
        <f>IF($D32&gt;0,    VLOOKUP($B32,Constraints!$I:$AA,G$5,FALSE)*$D32,"-")</f>
        <v>1</v>
      </c>
      <c r="H32" s="50">
        <f>IF($D32&gt;0,    VLOOKUP($B32,Constraints!$I:$AA,H$5,FALSE)*$D32,"-")</f>
        <v>5</v>
      </c>
      <c r="I32" s="50">
        <f>IF($D32&gt;0,    VLOOKUP($B32,Constraints!$I:$AA,I$5,FALSE)*$D32,"-")</f>
        <v>5</v>
      </c>
      <c r="K32" s="50">
        <f t="shared" si="2"/>
        <v>1</v>
      </c>
      <c r="L32" s="50">
        <f t="shared" si="2"/>
        <v>1</v>
      </c>
      <c r="M32" s="50">
        <f t="shared" si="2"/>
        <v>1</v>
      </c>
      <c r="N32" s="50">
        <f t="shared" si="2"/>
        <v>1</v>
      </c>
      <c r="O32" s="50">
        <f t="shared" si="3"/>
        <v>12</v>
      </c>
      <c r="Q32" s="18">
        <f t="shared" si="0"/>
        <v>1</v>
      </c>
      <c r="R32" s="18">
        <f t="shared" si="1"/>
        <v>2</v>
      </c>
    </row>
    <row r="33" spans="1:18" x14ac:dyDescent="0.25">
      <c r="A33" t="str">
        <f>IF(Rios!A30&lt;&gt;"",Rios!A30,"-")</f>
        <v>RIO-3142-1</v>
      </c>
      <c r="B33" s="32" t="str">
        <f>Rios!AM30</f>
        <v>Standard-Small</v>
      </c>
      <c r="C33" s="32" t="str">
        <f>Rios!F30</f>
        <v>3184-PLC-004</v>
      </c>
      <c r="D33" s="48">
        <f>Rios!J30</f>
        <v>1</v>
      </c>
      <c r="F33" s="50">
        <f>IF($D33&gt;0,    VLOOKUP($B33,Constraints!$I:$AA,F$5,FALSE)*$D33,"-")</f>
        <v>2</v>
      </c>
      <c r="G33" s="50">
        <f>IF($D33&gt;0,    VLOOKUP($B33,Constraints!$I:$AA,G$5,FALSE)*$D33,"-")</f>
        <v>1</v>
      </c>
      <c r="H33" s="50">
        <f>IF($D33&gt;0,    VLOOKUP($B33,Constraints!$I:$AA,H$5,FALSE)*$D33,"-")</f>
        <v>2</v>
      </c>
      <c r="I33" s="50">
        <f>IF($D33&gt;0,    VLOOKUP($B33,Constraints!$I:$AA,I$5,FALSE)*$D33,"-")</f>
        <v>1</v>
      </c>
      <c r="K33" s="50">
        <f t="shared" si="2"/>
        <v>1</v>
      </c>
      <c r="L33" s="50">
        <f t="shared" si="2"/>
        <v>1</v>
      </c>
      <c r="M33" s="50">
        <f t="shared" si="2"/>
        <v>1</v>
      </c>
      <c r="N33" s="50">
        <f t="shared" si="2"/>
        <v>1</v>
      </c>
      <c r="O33" s="50">
        <f t="shared" si="3"/>
        <v>6</v>
      </c>
      <c r="Q33" s="18">
        <f t="shared" si="0"/>
        <v>1</v>
      </c>
      <c r="R33" s="18">
        <f t="shared" si="1"/>
        <v>2</v>
      </c>
    </row>
    <row r="34" spans="1:18" x14ac:dyDescent="0.25">
      <c r="A34" t="str">
        <f>IF(Rios!A31&lt;&gt;"",Rios!A31,"-")</f>
        <v>RIO-3142-2</v>
      </c>
      <c r="B34" s="32" t="str">
        <f>Rios!AM31</f>
        <v>Digital Bias</v>
      </c>
      <c r="C34" s="32" t="str">
        <f>Rios!F31</f>
        <v>3184-PLC-004</v>
      </c>
      <c r="D34" s="48">
        <f>Rios!J31</f>
        <v>1</v>
      </c>
      <c r="F34" s="50">
        <f>IF($D34&gt;0,    VLOOKUP($B34,Constraints!$I:$AA,F$5,FALSE)*$D34,"-")</f>
        <v>1</v>
      </c>
      <c r="G34" s="50">
        <f>IF($D34&gt;0,    VLOOKUP($B34,Constraints!$I:$AA,G$5,FALSE)*$D34,"-")</f>
        <v>1</v>
      </c>
      <c r="H34" s="50">
        <f>IF($D34&gt;0,    VLOOKUP($B34,Constraints!$I:$AA,H$5,FALSE)*$D34,"-")</f>
        <v>5</v>
      </c>
      <c r="I34" s="50">
        <f>IF($D34&gt;0,    VLOOKUP($B34,Constraints!$I:$AA,I$5,FALSE)*$D34,"-")</f>
        <v>5</v>
      </c>
      <c r="K34" s="50">
        <f t="shared" si="2"/>
        <v>1</v>
      </c>
      <c r="L34" s="50">
        <f t="shared" si="2"/>
        <v>1</v>
      </c>
      <c r="M34" s="50">
        <f t="shared" si="2"/>
        <v>1</v>
      </c>
      <c r="N34" s="50">
        <f t="shared" si="2"/>
        <v>1</v>
      </c>
      <c r="O34" s="50">
        <f t="shared" si="3"/>
        <v>12</v>
      </c>
      <c r="Q34" s="18">
        <f t="shared" si="0"/>
        <v>1</v>
      </c>
      <c r="R34" s="18">
        <f t="shared" si="1"/>
        <v>2</v>
      </c>
    </row>
    <row r="35" spans="1:18" x14ac:dyDescent="0.25">
      <c r="A35" t="str">
        <f>IF(Rios!A32&lt;&gt;"",Rios!A32,"-")</f>
        <v>RIO-3142-3</v>
      </c>
      <c r="B35" s="32" t="str">
        <f>Rios!AM32</f>
        <v>Standard-Small</v>
      </c>
      <c r="C35" s="32" t="str">
        <f>Rios!F32</f>
        <v>3184-PLC-004</v>
      </c>
      <c r="D35" s="48">
        <f>Rios!J32</f>
        <v>1</v>
      </c>
      <c r="F35" s="50">
        <f>IF($D35&gt;0,    VLOOKUP($B35,Constraints!$I:$AA,F$5,FALSE)*$D35,"-")</f>
        <v>2</v>
      </c>
      <c r="G35" s="50">
        <f>IF($D35&gt;0,    VLOOKUP($B35,Constraints!$I:$AA,G$5,FALSE)*$D35,"-")</f>
        <v>1</v>
      </c>
      <c r="H35" s="50">
        <f>IF($D35&gt;0,    VLOOKUP($B35,Constraints!$I:$AA,H$5,FALSE)*$D35,"-")</f>
        <v>2</v>
      </c>
      <c r="I35" s="50">
        <f>IF($D35&gt;0,    VLOOKUP($B35,Constraints!$I:$AA,I$5,FALSE)*$D35,"-")</f>
        <v>1</v>
      </c>
      <c r="K35" s="50">
        <f t="shared" si="2"/>
        <v>1</v>
      </c>
      <c r="L35" s="50">
        <f t="shared" si="2"/>
        <v>1</v>
      </c>
      <c r="M35" s="50">
        <f t="shared" si="2"/>
        <v>1</v>
      </c>
      <c r="N35" s="50">
        <f t="shared" si="2"/>
        <v>1</v>
      </c>
      <c r="O35" s="50">
        <f t="shared" si="3"/>
        <v>6</v>
      </c>
      <c r="Q35" s="18">
        <f t="shared" si="0"/>
        <v>1</v>
      </c>
      <c r="R35" s="18">
        <f t="shared" si="1"/>
        <v>2</v>
      </c>
    </row>
    <row r="36" spans="1:18" x14ac:dyDescent="0.25">
      <c r="A36" t="str">
        <f>IF(Rios!A33&lt;&gt;"",Rios!A33,"-")</f>
        <v>RIO-3142-4</v>
      </c>
      <c r="B36" s="32" t="str">
        <f>Rios!AM33</f>
        <v>Digital Bias</v>
      </c>
      <c r="C36" s="32" t="str">
        <f>Rios!F33</f>
        <v>3184-PLC-004</v>
      </c>
      <c r="D36" s="48">
        <f>Rios!J33</f>
        <v>1</v>
      </c>
      <c r="F36" s="50">
        <f>IF($D36&gt;0,    VLOOKUP($B36,Constraints!$I:$AA,F$5,FALSE)*$D36,"-")</f>
        <v>1</v>
      </c>
      <c r="G36" s="50">
        <f>IF($D36&gt;0,    VLOOKUP($B36,Constraints!$I:$AA,G$5,FALSE)*$D36,"-")</f>
        <v>1</v>
      </c>
      <c r="H36" s="50">
        <f>IF($D36&gt;0,    VLOOKUP($B36,Constraints!$I:$AA,H$5,FALSE)*$D36,"-")</f>
        <v>5</v>
      </c>
      <c r="I36" s="50">
        <f>IF($D36&gt;0,    VLOOKUP($B36,Constraints!$I:$AA,I$5,FALSE)*$D36,"-")</f>
        <v>5</v>
      </c>
      <c r="K36" s="50">
        <f t="shared" si="2"/>
        <v>1</v>
      </c>
      <c r="L36" s="50">
        <f t="shared" si="2"/>
        <v>1</v>
      </c>
      <c r="M36" s="50">
        <f t="shared" si="2"/>
        <v>1</v>
      </c>
      <c r="N36" s="50">
        <f t="shared" si="2"/>
        <v>1</v>
      </c>
      <c r="O36" s="50">
        <f t="shared" si="3"/>
        <v>12</v>
      </c>
      <c r="Q36" s="18">
        <f t="shared" si="0"/>
        <v>1</v>
      </c>
      <c r="R36" s="18">
        <f t="shared" si="1"/>
        <v>2</v>
      </c>
    </row>
    <row r="37" spans="1:18" x14ac:dyDescent="0.25">
      <c r="A37" t="str">
        <f>IF(Rios!A34&lt;&gt;"",Rios!A34,"-")</f>
        <v>RIO-3151-1</v>
      </c>
      <c r="B37" s="32" t="str">
        <f>Rios!AM34</f>
        <v>Standard-Small</v>
      </c>
      <c r="C37" s="32" t="str">
        <f>Rios!F34</f>
        <v>3184-PLC-005</v>
      </c>
      <c r="D37" s="48">
        <f>Rios!J34</f>
        <v>1</v>
      </c>
      <c r="F37" s="50">
        <f>IF($D37&gt;0,    VLOOKUP($B37,Constraints!$I:$AA,F$5,FALSE)*$D37,"-")</f>
        <v>2</v>
      </c>
      <c r="G37" s="50">
        <f>IF($D37&gt;0,    VLOOKUP($B37,Constraints!$I:$AA,G$5,FALSE)*$D37,"-")</f>
        <v>1</v>
      </c>
      <c r="H37" s="50">
        <f>IF($D37&gt;0,    VLOOKUP($B37,Constraints!$I:$AA,H$5,FALSE)*$D37,"-")</f>
        <v>2</v>
      </c>
      <c r="I37" s="50">
        <f>IF($D37&gt;0,    VLOOKUP($B37,Constraints!$I:$AA,I$5,FALSE)*$D37,"-")</f>
        <v>1</v>
      </c>
      <c r="K37" s="50">
        <f t="shared" si="2"/>
        <v>1</v>
      </c>
      <c r="L37" s="50">
        <f t="shared" si="2"/>
        <v>1</v>
      </c>
      <c r="M37" s="50">
        <f t="shared" si="2"/>
        <v>1</v>
      </c>
      <c r="N37" s="50">
        <f t="shared" si="2"/>
        <v>1</v>
      </c>
      <c r="O37" s="50">
        <f t="shared" si="3"/>
        <v>6</v>
      </c>
      <c r="Q37" s="18">
        <f t="shared" si="0"/>
        <v>1</v>
      </c>
      <c r="R37" s="18">
        <f t="shared" si="1"/>
        <v>2</v>
      </c>
    </row>
    <row r="38" spans="1:18" x14ac:dyDescent="0.25">
      <c r="A38" t="str">
        <f>IF(Rios!A35&lt;&gt;"",Rios!A35,"-")</f>
        <v>RIO-3151-2</v>
      </c>
      <c r="B38" s="32" t="str">
        <f>Rios!AM35</f>
        <v>Digital Bias</v>
      </c>
      <c r="C38" s="32" t="str">
        <f>Rios!F35</f>
        <v>3184-PLC-005</v>
      </c>
      <c r="D38" s="48">
        <f>Rios!J35</f>
        <v>1</v>
      </c>
      <c r="F38" s="50">
        <f>IF($D38&gt;0,    VLOOKUP($B38,Constraints!$I:$AA,F$5,FALSE)*$D38,"-")</f>
        <v>1</v>
      </c>
      <c r="G38" s="50">
        <f>IF($D38&gt;0,    VLOOKUP($B38,Constraints!$I:$AA,G$5,FALSE)*$D38,"-")</f>
        <v>1</v>
      </c>
      <c r="H38" s="50">
        <f>IF($D38&gt;0,    VLOOKUP($B38,Constraints!$I:$AA,H$5,FALSE)*$D38,"-")</f>
        <v>5</v>
      </c>
      <c r="I38" s="50">
        <f>IF($D38&gt;0,    VLOOKUP($B38,Constraints!$I:$AA,I$5,FALSE)*$D38,"-")</f>
        <v>5</v>
      </c>
      <c r="K38" s="50">
        <f t="shared" si="2"/>
        <v>1</v>
      </c>
      <c r="L38" s="50">
        <f t="shared" si="2"/>
        <v>1</v>
      </c>
      <c r="M38" s="50">
        <f t="shared" si="2"/>
        <v>1</v>
      </c>
      <c r="N38" s="50">
        <f t="shared" si="2"/>
        <v>1</v>
      </c>
      <c r="O38" s="50">
        <f t="shared" ref="O38:O69" si="4">SUM(F38:I38)</f>
        <v>12</v>
      </c>
      <c r="Q38" s="18">
        <f t="shared" ref="Q38:Q69" si="5">IF(ISNUMBER(D38),D38,0)</f>
        <v>1</v>
      </c>
      <c r="R38" s="18">
        <f t="shared" ref="R38:R69" si="6">D38*2</f>
        <v>2</v>
      </c>
    </row>
    <row r="39" spans="1:18" x14ac:dyDescent="0.25">
      <c r="A39" t="str">
        <f>IF(Rios!A36&lt;&gt;"",Rios!A36,"-")</f>
        <v>RIO-3152-1</v>
      </c>
      <c r="B39" s="32" t="str">
        <f>Rios!AM36</f>
        <v>Standard-Small</v>
      </c>
      <c r="C39" s="32" t="str">
        <f>Rios!F36</f>
        <v>3184-PLC-005</v>
      </c>
      <c r="D39" s="48">
        <f>Rios!J36</f>
        <v>2</v>
      </c>
      <c r="F39" s="50">
        <f>IF($D39&gt;0,    VLOOKUP($B39,Constraints!$I:$AA,F$5,FALSE)*$D39,"-")</f>
        <v>4</v>
      </c>
      <c r="G39" s="50">
        <f>IF($D39&gt;0,    VLOOKUP($B39,Constraints!$I:$AA,G$5,FALSE)*$D39,"-")</f>
        <v>2</v>
      </c>
      <c r="H39" s="50">
        <f>IF($D39&gt;0,    VLOOKUP($B39,Constraints!$I:$AA,H$5,FALSE)*$D39,"-")</f>
        <v>4</v>
      </c>
      <c r="I39" s="50">
        <f>IF($D39&gt;0,    VLOOKUP($B39,Constraints!$I:$AA,I$5,FALSE)*$D39,"-")</f>
        <v>2</v>
      </c>
      <c r="K39" s="50">
        <f t="shared" ref="K39:N70" si="7">$D39</f>
        <v>2</v>
      </c>
      <c r="L39" s="50">
        <f t="shared" si="7"/>
        <v>2</v>
      </c>
      <c r="M39" s="50">
        <f t="shared" si="7"/>
        <v>2</v>
      </c>
      <c r="N39" s="50">
        <f t="shared" si="7"/>
        <v>2</v>
      </c>
      <c r="O39" s="50">
        <f t="shared" si="4"/>
        <v>12</v>
      </c>
      <c r="Q39" s="18">
        <f t="shared" si="5"/>
        <v>2</v>
      </c>
      <c r="R39" s="18">
        <f t="shared" si="6"/>
        <v>4</v>
      </c>
    </row>
    <row r="40" spans="1:18" x14ac:dyDescent="0.25">
      <c r="A40" t="str">
        <f>IF(Rios!A37&lt;&gt;"",Rios!A37,"-")</f>
        <v>RIO-3161-1</v>
      </c>
      <c r="B40" s="32" t="str">
        <f>Rios!AM37</f>
        <v>Standard-Small</v>
      </c>
      <c r="C40" s="32" t="str">
        <f>Rios!F37</f>
        <v>3184-PLC-006</v>
      </c>
      <c r="D40" s="48">
        <f>Rios!J37</f>
        <v>2</v>
      </c>
      <c r="F40" s="50">
        <f>IF($D40&gt;0,    VLOOKUP($B40,Constraints!$I:$AA,F$5,FALSE)*$D40,"-")</f>
        <v>4</v>
      </c>
      <c r="G40" s="50">
        <f>IF($D40&gt;0,    VLOOKUP($B40,Constraints!$I:$AA,G$5,FALSE)*$D40,"-")</f>
        <v>2</v>
      </c>
      <c r="H40" s="50">
        <f>IF($D40&gt;0,    VLOOKUP($B40,Constraints!$I:$AA,H$5,FALSE)*$D40,"-")</f>
        <v>4</v>
      </c>
      <c r="I40" s="50">
        <f>IF($D40&gt;0,    VLOOKUP($B40,Constraints!$I:$AA,I$5,FALSE)*$D40,"-")</f>
        <v>2</v>
      </c>
      <c r="K40" s="50">
        <f t="shared" si="7"/>
        <v>2</v>
      </c>
      <c r="L40" s="50">
        <f t="shared" si="7"/>
        <v>2</v>
      </c>
      <c r="M40" s="50">
        <f t="shared" si="7"/>
        <v>2</v>
      </c>
      <c r="N40" s="50">
        <f t="shared" si="7"/>
        <v>2</v>
      </c>
      <c r="O40" s="50">
        <f t="shared" si="4"/>
        <v>12</v>
      </c>
      <c r="Q40" s="18">
        <f t="shared" si="5"/>
        <v>2</v>
      </c>
      <c r="R40" s="18">
        <f t="shared" si="6"/>
        <v>4</v>
      </c>
    </row>
    <row r="41" spans="1:18" x14ac:dyDescent="0.25">
      <c r="A41" t="str">
        <f>IF(Rios!A38&lt;&gt;"",Rios!A38,"-")</f>
        <v>RIO-3162-1</v>
      </c>
      <c r="B41" s="32" t="str">
        <f>Rios!AM38</f>
        <v>Standard-Small</v>
      </c>
      <c r="C41" s="32" t="str">
        <f>Rios!F38</f>
        <v>3184-PLC-006</v>
      </c>
      <c r="D41" s="48">
        <f>Rios!J38</f>
        <v>1</v>
      </c>
      <c r="F41" s="50">
        <f>IF($D41&gt;0,    VLOOKUP($B41,Constraints!$I:$AA,F$5,FALSE)*$D41,"-")</f>
        <v>2</v>
      </c>
      <c r="G41" s="50">
        <f>IF($D41&gt;0,    VLOOKUP($B41,Constraints!$I:$AA,G$5,FALSE)*$D41,"-")</f>
        <v>1</v>
      </c>
      <c r="H41" s="50">
        <f>IF($D41&gt;0,    VLOOKUP($B41,Constraints!$I:$AA,H$5,FALSE)*$D41,"-")</f>
        <v>2</v>
      </c>
      <c r="I41" s="50">
        <f>IF($D41&gt;0,    VLOOKUP($B41,Constraints!$I:$AA,I$5,FALSE)*$D41,"-")</f>
        <v>1</v>
      </c>
      <c r="K41" s="50">
        <f t="shared" si="7"/>
        <v>1</v>
      </c>
      <c r="L41" s="50">
        <f t="shared" si="7"/>
        <v>1</v>
      </c>
      <c r="M41" s="50">
        <f t="shared" si="7"/>
        <v>1</v>
      </c>
      <c r="N41" s="50">
        <f t="shared" si="7"/>
        <v>1</v>
      </c>
      <c r="O41" s="50">
        <f t="shared" si="4"/>
        <v>6</v>
      </c>
      <c r="Q41" s="18">
        <f t="shared" si="5"/>
        <v>1</v>
      </c>
      <c r="R41" s="18">
        <f t="shared" si="6"/>
        <v>2</v>
      </c>
    </row>
    <row r="42" spans="1:18" x14ac:dyDescent="0.25">
      <c r="A42" t="str">
        <f>IF(Rios!A39&lt;&gt;"",Rios!A39,"-")</f>
        <v>RIO-3163-1</v>
      </c>
      <c r="B42" s="32" t="str">
        <f>Rios!AM39</f>
        <v>Standard-Small</v>
      </c>
      <c r="C42" s="32" t="str">
        <f>Rios!F39</f>
        <v>3184-PLC-006</v>
      </c>
      <c r="D42" s="48">
        <f>Rios!J39</f>
        <v>2</v>
      </c>
      <c r="F42" s="50">
        <f>IF($D42&gt;0,    VLOOKUP($B42,Constraints!$I:$AA,F$5,FALSE)*$D42,"-")</f>
        <v>4</v>
      </c>
      <c r="G42" s="50">
        <f>IF($D42&gt;0,    VLOOKUP($B42,Constraints!$I:$AA,G$5,FALSE)*$D42,"-")</f>
        <v>2</v>
      </c>
      <c r="H42" s="50">
        <f>IF($D42&gt;0,    VLOOKUP($B42,Constraints!$I:$AA,H$5,FALSE)*$D42,"-")</f>
        <v>4</v>
      </c>
      <c r="I42" s="50">
        <f>IF($D42&gt;0,    VLOOKUP($B42,Constraints!$I:$AA,I$5,FALSE)*$D42,"-")</f>
        <v>2</v>
      </c>
      <c r="K42" s="50">
        <f t="shared" si="7"/>
        <v>2</v>
      </c>
      <c r="L42" s="50">
        <f t="shared" si="7"/>
        <v>2</v>
      </c>
      <c r="M42" s="50">
        <f t="shared" si="7"/>
        <v>2</v>
      </c>
      <c r="N42" s="50">
        <f t="shared" si="7"/>
        <v>2</v>
      </c>
      <c r="O42" s="50">
        <f t="shared" si="4"/>
        <v>12</v>
      </c>
      <c r="Q42" s="18">
        <f t="shared" si="5"/>
        <v>2</v>
      </c>
      <c r="R42" s="18">
        <f t="shared" si="6"/>
        <v>4</v>
      </c>
    </row>
    <row r="43" spans="1:18" x14ac:dyDescent="0.25">
      <c r="A43" t="str">
        <f>IF(Rios!A40&lt;&gt;"",Rios!A40,"-")</f>
        <v>RIO-3163-2</v>
      </c>
      <c r="B43" s="32" t="str">
        <f>Rios!AM40</f>
        <v>Standard-Small</v>
      </c>
      <c r="C43" s="32" t="str">
        <f>Rios!F40</f>
        <v>3184-PLC-006</v>
      </c>
      <c r="D43" s="48">
        <f>Rios!J40</f>
        <v>1</v>
      </c>
      <c r="F43" s="50">
        <f>IF($D43&gt;0,    VLOOKUP($B43,Constraints!$I:$AA,F$5,FALSE)*$D43,"-")</f>
        <v>2</v>
      </c>
      <c r="G43" s="50">
        <f>IF($D43&gt;0,    VLOOKUP($B43,Constraints!$I:$AA,G$5,FALSE)*$D43,"-")</f>
        <v>1</v>
      </c>
      <c r="H43" s="50">
        <f>IF($D43&gt;0,    VLOOKUP($B43,Constraints!$I:$AA,H$5,FALSE)*$D43,"-")</f>
        <v>2</v>
      </c>
      <c r="I43" s="50">
        <f>IF($D43&gt;0,    VLOOKUP($B43,Constraints!$I:$AA,I$5,FALSE)*$D43,"-")</f>
        <v>1</v>
      </c>
      <c r="K43" s="50">
        <f t="shared" si="7"/>
        <v>1</v>
      </c>
      <c r="L43" s="50">
        <f t="shared" si="7"/>
        <v>1</v>
      </c>
      <c r="M43" s="50">
        <f t="shared" si="7"/>
        <v>1</v>
      </c>
      <c r="N43" s="50">
        <f t="shared" si="7"/>
        <v>1</v>
      </c>
      <c r="O43" s="50">
        <f t="shared" si="4"/>
        <v>6</v>
      </c>
      <c r="Q43" s="18">
        <f t="shared" si="5"/>
        <v>1</v>
      </c>
      <c r="R43" s="18">
        <f t="shared" si="6"/>
        <v>2</v>
      </c>
    </row>
    <row r="44" spans="1:18" x14ac:dyDescent="0.25">
      <c r="A44" t="str">
        <f>IF(Rios!A41&lt;&gt;"",Rios!A41,"-")</f>
        <v>RIO-3165-1</v>
      </c>
      <c r="B44" s="32" t="str">
        <f>Rios!AM41</f>
        <v>Standard-Small</v>
      </c>
      <c r="C44" s="32" t="str">
        <f>Rios!F41</f>
        <v>3184-PLC-007</v>
      </c>
      <c r="D44" s="48">
        <f>Rios!J41</f>
        <v>1</v>
      </c>
      <c r="F44" s="50">
        <f>IF($D44&gt;0,    VLOOKUP($B44,Constraints!$I:$AA,F$5,FALSE)*$D44,"-")</f>
        <v>2</v>
      </c>
      <c r="G44" s="50">
        <f>IF($D44&gt;0,    VLOOKUP($B44,Constraints!$I:$AA,G$5,FALSE)*$D44,"-")</f>
        <v>1</v>
      </c>
      <c r="H44" s="50">
        <f>IF($D44&gt;0,    VLOOKUP($B44,Constraints!$I:$AA,H$5,FALSE)*$D44,"-")</f>
        <v>2</v>
      </c>
      <c r="I44" s="50">
        <f>IF($D44&gt;0,    VLOOKUP($B44,Constraints!$I:$AA,I$5,FALSE)*$D44,"-")</f>
        <v>1</v>
      </c>
      <c r="K44" s="50">
        <f t="shared" si="7"/>
        <v>1</v>
      </c>
      <c r="L44" s="50">
        <f t="shared" si="7"/>
        <v>1</v>
      </c>
      <c r="M44" s="50">
        <f t="shared" si="7"/>
        <v>1</v>
      </c>
      <c r="N44" s="50">
        <f t="shared" si="7"/>
        <v>1</v>
      </c>
      <c r="O44" s="50">
        <f t="shared" si="4"/>
        <v>6</v>
      </c>
      <c r="Q44" s="18">
        <f t="shared" si="5"/>
        <v>1</v>
      </c>
      <c r="R44" s="18">
        <f t="shared" si="6"/>
        <v>2</v>
      </c>
    </row>
    <row r="45" spans="1:18" x14ac:dyDescent="0.25">
      <c r="A45" t="str">
        <f>IF(Rios!A42&lt;&gt;"",Rios!A42,"-")</f>
        <v>RIO-3167-1</v>
      </c>
      <c r="B45" s="32" t="str">
        <f>Rios!AM42</f>
        <v>Standard</v>
      </c>
      <c r="C45" s="32" t="str">
        <f>Rios!F42</f>
        <v>3184-PLC-003</v>
      </c>
      <c r="D45" s="48">
        <f>Rios!J42</f>
        <v>1</v>
      </c>
      <c r="F45" s="50">
        <f>IF($D45&gt;0,    VLOOKUP($B45,Constraints!$I:$AA,F$5,FALSE)*$D45,"-")</f>
        <v>4</v>
      </c>
      <c r="G45" s="50">
        <f>IF($D45&gt;0,    VLOOKUP($B45,Constraints!$I:$AA,G$5,FALSE)*$D45,"-")</f>
        <v>2</v>
      </c>
      <c r="H45" s="50">
        <f>IF($D45&gt;0,    VLOOKUP($B45,Constraints!$I:$AA,H$5,FALSE)*$D45,"-")</f>
        <v>4</v>
      </c>
      <c r="I45" s="50">
        <f>IF($D45&gt;0,    VLOOKUP($B45,Constraints!$I:$AA,I$5,FALSE)*$D45,"-")</f>
        <v>2</v>
      </c>
      <c r="K45" s="50">
        <f t="shared" si="7"/>
        <v>1</v>
      </c>
      <c r="L45" s="50">
        <f t="shared" si="7"/>
        <v>1</v>
      </c>
      <c r="M45" s="50">
        <f t="shared" si="7"/>
        <v>1</v>
      </c>
      <c r="N45" s="50">
        <f t="shared" si="7"/>
        <v>1</v>
      </c>
      <c r="O45" s="50">
        <f t="shared" si="4"/>
        <v>12</v>
      </c>
      <c r="Q45" s="18">
        <f t="shared" si="5"/>
        <v>1</v>
      </c>
      <c r="R45" s="18">
        <f t="shared" si="6"/>
        <v>2</v>
      </c>
    </row>
    <row r="46" spans="1:18" x14ac:dyDescent="0.25">
      <c r="A46" t="str">
        <f>IF(Rios!A43&lt;&gt;"",Rios!A43,"-")</f>
        <v>RIO-3171-1</v>
      </c>
      <c r="B46" s="32" t="str">
        <f>Rios!AM43</f>
        <v>Standard-Small</v>
      </c>
      <c r="C46" s="32" t="str">
        <f>Rios!F43</f>
        <v>3184-PLC-003</v>
      </c>
      <c r="D46" s="48">
        <f>Rios!J43</f>
        <v>1</v>
      </c>
      <c r="F46" s="50">
        <f>IF($D46&gt;0,    VLOOKUP($B46,Constraints!$I:$AA,F$5,FALSE)*$D46,"-")</f>
        <v>2</v>
      </c>
      <c r="G46" s="50">
        <f>IF($D46&gt;0,    VLOOKUP($B46,Constraints!$I:$AA,G$5,FALSE)*$D46,"-")</f>
        <v>1</v>
      </c>
      <c r="H46" s="50">
        <f>IF($D46&gt;0,    VLOOKUP($B46,Constraints!$I:$AA,H$5,FALSE)*$D46,"-")</f>
        <v>2</v>
      </c>
      <c r="I46" s="50">
        <f>IF($D46&gt;0,    VLOOKUP($B46,Constraints!$I:$AA,I$5,FALSE)*$D46,"-")</f>
        <v>1</v>
      </c>
      <c r="K46" s="50">
        <f t="shared" si="7"/>
        <v>1</v>
      </c>
      <c r="L46" s="50">
        <f t="shared" si="7"/>
        <v>1</v>
      </c>
      <c r="M46" s="50">
        <f t="shared" si="7"/>
        <v>1</v>
      </c>
      <c r="N46" s="50">
        <f t="shared" si="7"/>
        <v>1</v>
      </c>
      <c r="O46" s="50">
        <f t="shared" si="4"/>
        <v>6</v>
      </c>
      <c r="Q46" s="18">
        <f t="shared" si="5"/>
        <v>1</v>
      </c>
      <c r="R46" s="18">
        <f t="shared" si="6"/>
        <v>2</v>
      </c>
    </row>
    <row r="47" spans="1:18" x14ac:dyDescent="0.25">
      <c r="A47" t="str">
        <f>IF(Rios!A44&lt;&gt;"",Rios!A44,"-")</f>
        <v>RIO-3172-1</v>
      </c>
      <c r="B47" s="32" t="str">
        <f>Rios!AM44</f>
        <v>Analog Bias</v>
      </c>
      <c r="C47" s="32" t="str">
        <f>Rios!F44</f>
        <v>3184-PLC-003</v>
      </c>
      <c r="D47" s="48">
        <f>Rios!J44</f>
        <v>1</v>
      </c>
      <c r="F47" s="50">
        <f>IF($D47&gt;0,    VLOOKUP($B47,Constraints!$I:$AA,F$5,FALSE)*$D47,"-")</f>
        <v>6</v>
      </c>
      <c r="G47" s="50">
        <f>IF($D47&gt;0,    VLOOKUP($B47,Constraints!$I:$AA,G$5,FALSE)*$D47,"-")</f>
        <v>4</v>
      </c>
      <c r="H47" s="50">
        <f>IF($D47&gt;0,    VLOOKUP($B47,Constraints!$I:$AA,H$5,FALSE)*$D47,"-")</f>
        <v>1</v>
      </c>
      <c r="I47" s="50">
        <f>IF($D47&gt;0,    VLOOKUP($B47,Constraints!$I:$AA,I$5,FALSE)*$D47,"-")</f>
        <v>1</v>
      </c>
      <c r="K47" s="50">
        <f t="shared" si="7"/>
        <v>1</v>
      </c>
      <c r="L47" s="50">
        <f t="shared" si="7"/>
        <v>1</v>
      </c>
      <c r="M47" s="50">
        <f t="shared" si="7"/>
        <v>1</v>
      </c>
      <c r="N47" s="50">
        <f t="shared" si="7"/>
        <v>1</v>
      </c>
      <c r="O47" s="50">
        <f t="shared" si="4"/>
        <v>12</v>
      </c>
      <c r="Q47" s="18">
        <f t="shared" si="5"/>
        <v>1</v>
      </c>
      <c r="R47" s="18">
        <f t="shared" si="6"/>
        <v>2</v>
      </c>
    </row>
    <row r="48" spans="1:18" x14ac:dyDescent="0.25">
      <c r="A48" t="str">
        <f>IF(Rios!A45&lt;&gt;"",Rios!A45,"-")</f>
        <v>RIO-3173-1</v>
      </c>
      <c r="B48" s="32" t="str">
        <f>Rios!AM45</f>
        <v>Standard-Small</v>
      </c>
      <c r="C48" s="32" t="str">
        <f>Rios!F45</f>
        <v>3184-PLC-003</v>
      </c>
      <c r="D48" s="48">
        <f>Rios!J45</f>
        <v>1</v>
      </c>
      <c r="F48" s="50">
        <f>IF($D48&gt;0,    VLOOKUP($B48,Constraints!$I:$AA,F$5,FALSE)*$D48,"-")</f>
        <v>2</v>
      </c>
      <c r="G48" s="50">
        <f>IF($D48&gt;0,    VLOOKUP($B48,Constraints!$I:$AA,G$5,FALSE)*$D48,"-")</f>
        <v>1</v>
      </c>
      <c r="H48" s="50">
        <f>IF($D48&gt;0,    VLOOKUP($B48,Constraints!$I:$AA,H$5,FALSE)*$D48,"-")</f>
        <v>2</v>
      </c>
      <c r="I48" s="50">
        <f>IF($D48&gt;0,    VLOOKUP($B48,Constraints!$I:$AA,I$5,FALSE)*$D48,"-")</f>
        <v>1</v>
      </c>
      <c r="K48" s="50">
        <f t="shared" si="7"/>
        <v>1</v>
      </c>
      <c r="L48" s="50">
        <f t="shared" si="7"/>
        <v>1</v>
      </c>
      <c r="M48" s="50">
        <f t="shared" si="7"/>
        <v>1</v>
      </c>
      <c r="N48" s="50">
        <f t="shared" si="7"/>
        <v>1</v>
      </c>
      <c r="O48" s="50">
        <f t="shared" si="4"/>
        <v>6</v>
      </c>
      <c r="Q48" s="18">
        <f t="shared" si="5"/>
        <v>1</v>
      </c>
      <c r="R48" s="18">
        <f t="shared" si="6"/>
        <v>2</v>
      </c>
    </row>
    <row r="49" spans="1:18" x14ac:dyDescent="0.25">
      <c r="A49" t="str">
        <f>IF(Rios!A46&lt;&gt;"",Rios!A46,"-")</f>
        <v>RIO-3174-1</v>
      </c>
      <c r="B49" s="32" t="str">
        <f>Rios!AM46</f>
        <v>Analog Bias</v>
      </c>
      <c r="C49" s="32" t="str">
        <f>Rios!F46</f>
        <v>3184-PLC-004</v>
      </c>
      <c r="D49" s="48">
        <f>Rios!J46</f>
        <v>1</v>
      </c>
      <c r="F49" s="50">
        <f>IF($D49&gt;0,    VLOOKUP($B49,Constraints!$I:$AA,F$5,FALSE)*$D49,"-")</f>
        <v>6</v>
      </c>
      <c r="G49" s="50">
        <f>IF($D49&gt;0,    VLOOKUP($B49,Constraints!$I:$AA,G$5,FALSE)*$D49,"-")</f>
        <v>4</v>
      </c>
      <c r="H49" s="50">
        <f>IF($D49&gt;0,    VLOOKUP($B49,Constraints!$I:$AA,H$5,FALSE)*$D49,"-")</f>
        <v>1</v>
      </c>
      <c r="I49" s="50">
        <f>IF($D49&gt;0,    VLOOKUP($B49,Constraints!$I:$AA,I$5,FALSE)*$D49,"-")</f>
        <v>1</v>
      </c>
      <c r="K49" s="50">
        <f t="shared" si="7"/>
        <v>1</v>
      </c>
      <c r="L49" s="50">
        <f t="shared" si="7"/>
        <v>1</v>
      </c>
      <c r="M49" s="50">
        <f t="shared" si="7"/>
        <v>1</v>
      </c>
      <c r="N49" s="50">
        <f t="shared" si="7"/>
        <v>1</v>
      </c>
      <c r="O49" s="50">
        <f t="shared" si="4"/>
        <v>12</v>
      </c>
      <c r="Q49" s="18">
        <f t="shared" si="5"/>
        <v>1</v>
      </c>
      <c r="R49" s="18">
        <f t="shared" si="6"/>
        <v>2</v>
      </c>
    </row>
    <row r="50" spans="1:18" x14ac:dyDescent="0.25">
      <c r="A50" t="str">
        <f>IF(Rios!A47&lt;&gt;"",Rios!A47,"-")</f>
        <v>RIO-3175-1</v>
      </c>
      <c r="B50" s="32" t="str">
        <f>Rios!AM47</f>
        <v>Standard-Small</v>
      </c>
      <c r="C50" s="32" t="str">
        <f>Rios!F47</f>
        <v>3184-PLC-004</v>
      </c>
      <c r="D50" s="48">
        <f>Rios!J47</f>
        <v>1</v>
      </c>
      <c r="F50" s="50">
        <f>IF($D50&gt;0,    VLOOKUP($B50,Constraints!$I:$AA,F$5,FALSE)*$D50,"-")</f>
        <v>2</v>
      </c>
      <c r="G50" s="50">
        <f>IF($D50&gt;0,    VLOOKUP($B50,Constraints!$I:$AA,G$5,FALSE)*$D50,"-")</f>
        <v>1</v>
      </c>
      <c r="H50" s="50">
        <f>IF($D50&gt;0,    VLOOKUP($B50,Constraints!$I:$AA,H$5,FALSE)*$D50,"-")</f>
        <v>2</v>
      </c>
      <c r="I50" s="50">
        <f>IF($D50&gt;0,    VLOOKUP($B50,Constraints!$I:$AA,I$5,FALSE)*$D50,"-")</f>
        <v>1</v>
      </c>
      <c r="K50" s="50">
        <f t="shared" si="7"/>
        <v>1</v>
      </c>
      <c r="L50" s="50">
        <f t="shared" si="7"/>
        <v>1</v>
      </c>
      <c r="M50" s="50">
        <f t="shared" si="7"/>
        <v>1</v>
      </c>
      <c r="N50" s="50">
        <f t="shared" si="7"/>
        <v>1</v>
      </c>
      <c r="O50" s="50">
        <f t="shared" si="4"/>
        <v>6</v>
      </c>
      <c r="Q50" s="18">
        <f t="shared" si="5"/>
        <v>1</v>
      </c>
      <c r="R50" s="18">
        <f t="shared" si="6"/>
        <v>2</v>
      </c>
    </row>
    <row r="51" spans="1:18" x14ac:dyDescent="0.25">
      <c r="A51" t="str">
        <f>IF(Rios!A48&lt;&gt;"",Rios!A48,"-")</f>
        <v>RIO-3176-1</v>
      </c>
      <c r="B51" s="32" t="str">
        <f>Rios!AM48</f>
        <v>Standard-Small</v>
      </c>
      <c r="C51" s="32" t="str">
        <f>Rios!F48</f>
        <v>3184-PLC-003</v>
      </c>
      <c r="D51" s="48">
        <f>Rios!J48</f>
        <v>2</v>
      </c>
      <c r="F51" s="50">
        <f>IF($D51&gt;0,    VLOOKUP($B51,Constraints!$I:$AA,F$5,FALSE)*$D51,"-")</f>
        <v>4</v>
      </c>
      <c r="G51" s="50">
        <f>IF($D51&gt;0,    VLOOKUP($B51,Constraints!$I:$AA,G$5,FALSE)*$D51,"-")</f>
        <v>2</v>
      </c>
      <c r="H51" s="50">
        <f>IF($D51&gt;0,    VLOOKUP($B51,Constraints!$I:$AA,H$5,FALSE)*$D51,"-")</f>
        <v>4</v>
      </c>
      <c r="I51" s="50">
        <f>IF($D51&gt;0,    VLOOKUP($B51,Constraints!$I:$AA,I$5,FALSE)*$D51,"-")</f>
        <v>2</v>
      </c>
      <c r="K51" s="50">
        <f t="shared" si="7"/>
        <v>2</v>
      </c>
      <c r="L51" s="50">
        <f t="shared" si="7"/>
        <v>2</v>
      </c>
      <c r="M51" s="50">
        <f t="shared" si="7"/>
        <v>2</v>
      </c>
      <c r="N51" s="50">
        <f t="shared" si="7"/>
        <v>2</v>
      </c>
      <c r="O51" s="50">
        <f t="shared" si="4"/>
        <v>12</v>
      </c>
      <c r="Q51" s="18">
        <f t="shared" si="5"/>
        <v>2</v>
      </c>
      <c r="R51" s="18">
        <f t="shared" si="6"/>
        <v>4</v>
      </c>
    </row>
    <row r="52" spans="1:18" x14ac:dyDescent="0.25">
      <c r="A52" t="str">
        <f>IF(Rios!A49&lt;&gt;"",Rios!A49,"-")</f>
        <v>RIO-3177-1</v>
      </c>
      <c r="B52" s="32" t="str">
        <f>Rios!AM49</f>
        <v>Standard-Small</v>
      </c>
      <c r="C52" s="32" t="str">
        <f>Rios!F49</f>
        <v>3184-PLC-003</v>
      </c>
      <c r="D52" s="48">
        <f>Rios!J49</f>
        <v>1</v>
      </c>
      <c r="F52" s="50">
        <f>IF($D52&gt;0,    VLOOKUP($B52,Constraints!$I:$AA,F$5,FALSE)*$D52,"-")</f>
        <v>2</v>
      </c>
      <c r="G52" s="50">
        <f>IF($D52&gt;0,    VLOOKUP($B52,Constraints!$I:$AA,G$5,FALSE)*$D52,"-")</f>
        <v>1</v>
      </c>
      <c r="H52" s="50">
        <f>IF($D52&gt;0,    VLOOKUP($B52,Constraints!$I:$AA,H$5,FALSE)*$D52,"-")</f>
        <v>2</v>
      </c>
      <c r="I52" s="50">
        <f>IF($D52&gt;0,    VLOOKUP($B52,Constraints!$I:$AA,I$5,FALSE)*$D52,"-")</f>
        <v>1</v>
      </c>
      <c r="K52" s="50">
        <f t="shared" si="7"/>
        <v>1</v>
      </c>
      <c r="L52" s="50">
        <f t="shared" si="7"/>
        <v>1</v>
      </c>
      <c r="M52" s="50">
        <f t="shared" si="7"/>
        <v>1</v>
      </c>
      <c r="N52" s="50">
        <f t="shared" si="7"/>
        <v>1</v>
      </c>
      <c r="O52" s="50">
        <f t="shared" si="4"/>
        <v>6</v>
      </c>
      <c r="Q52" s="18">
        <f t="shared" si="5"/>
        <v>1</v>
      </c>
      <c r="R52" s="18">
        <f t="shared" si="6"/>
        <v>2</v>
      </c>
    </row>
    <row r="53" spans="1:18" x14ac:dyDescent="0.25">
      <c r="A53" t="str">
        <f>IF(Rios!A50&lt;&gt;"",Rios!A50,"-")</f>
        <v>RIO-3177-2</v>
      </c>
      <c r="B53" s="32" t="str">
        <f>Rios!AM50</f>
        <v>Analog Bias</v>
      </c>
      <c r="C53" s="32" t="str">
        <f>Rios!F50</f>
        <v>3184-PLC-003</v>
      </c>
      <c r="D53" s="48">
        <f>Rios!J50</f>
        <v>2</v>
      </c>
      <c r="F53" s="50">
        <f>IF($D53&gt;0,    VLOOKUP($B53,Constraints!$I:$AA,F$5,FALSE)*$D53,"-")</f>
        <v>12</v>
      </c>
      <c r="G53" s="50">
        <f>IF($D53&gt;0,    VLOOKUP($B53,Constraints!$I:$AA,G$5,FALSE)*$D53,"-")</f>
        <v>8</v>
      </c>
      <c r="H53" s="50">
        <f>IF($D53&gt;0,    VLOOKUP($B53,Constraints!$I:$AA,H$5,FALSE)*$D53,"-")</f>
        <v>2</v>
      </c>
      <c r="I53" s="50">
        <f>IF($D53&gt;0,    VLOOKUP($B53,Constraints!$I:$AA,I$5,FALSE)*$D53,"-")</f>
        <v>2</v>
      </c>
      <c r="K53" s="50">
        <f t="shared" si="7"/>
        <v>2</v>
      </c>
      <c r="L53" s="50">
        <f t="shared" si="7"/>
        <v>2</v>
      </c>
      <c r="M53" s="50">
        <f t="shared" si="7"/>
        <v>2</v>
      </c>
      <c r="N53" s="50">
        <f t="shared" si="7"/>
        <v>2</v>
      </c>
      <c r="O53" s="50">
        <f t="shared" si="4"/>
        <v>24</v>
      </c>
      <c r="Q53" s="18">
        <f t="shared" si="5"/>
        <v>2</v>
      </c>
      <c r="R53" s="18">
        <f t="shared" si="6"/>
        <v>4</v>
      </c>
    </row>
    <row r="54" spans="1:18" x14ac:dyDescent="0.25">
      <c r="A54" t="str">
        <f>IF(Rios!A51&lt;&gt;"",Rios!A51,"-")</f>
        <v>RIO-3178-1</v>
      </c>
      <c r="B54" s="32" t="str">
        <f>Rios!AM51</f>
        <v>Standard-Small</v>
      </c>
      <c r="C54" s="32" t="str">
        <f>Rios!F51</f>
        <v>3184-PLC-004</v>
      </c>
      <c r="D54" s="48">
        <f>Rios!J51</f>
        <v>1</v>
      </c>
      <c r="F54" s="50">
        <f>IF($D54&gt;0,    VLOOKUP($B54,Constraints!$I:$AA,F$5,FALSE)*$D54,"-")</f>
        <v>2</v>
      </c>
      <c r="G54" s="50">
        <f>IF($D54&gt;0,    VLOOKUP($B54,Constraints!$I:$AA,G$5,FALSE)*$D54,"-")</f>
        <v>1</v>
      </c>
      <c r="H54" s="50">
        <f>IF($D54&gt;0,    VLOOKUP($B54,Constraints!$I:$AA,H$5,FALSE)*$D54,"-")</f>
        <v>2</v>
      </c>
      <c r="I54" s="50">
        <f>IF($D54&gt;0,    VLOOKUP($B54,Constraints!$I:$AA,I$5,FALSE)*$D54,"-")</f>
        <v>1</v>
      </c>
      <c r="K54" s="50">
        <f t="shared" si="7"/>
        <v>1</v>
      </c>
      <c r="L54" s="50">
        <f t="shared" si="7"/>
        <v>1</v>
      </c>
      <c r="M54" s="50">
        <f t="shared" si="7"/>
        <v>1</v>
      </c>
      <c r="N54" s="50">
        <f t="shared" si="7"/>
        <v>1</v>
      </c>
      <c r="O54" s="50">
        <f t="shared" si="4"/>
        <v>6</v>
      </c>
      <c r="Q54" s="18">
        <f t="shared" si="5"/>
        <v>1</v>
      </c>
      <c r="R54" s="18">
        <f t="shared" si="6"/>
        <v>2</v>
      </c>
    </row>
    <row r="55" spans="1:18" x14ac:dyDescent="0.25">
      <c r="A55" t="str">
        <f>IF(Rios!A52&lt;&gt;"",Rios!A52,"-")</f>
        <v>-</v>
      </c>
      <c r="B55" s="32">
        <f>Rios!AM52</f>
        <v>0</v>
      </c>
      <c r="C55" s="32" t="str">
        <f>Rios!F52</f>
        <v>-</v>
      </c>
      <c r="D55" s="48">
        <f>Rios!J52</f>
        <v>0</v>
      </c>
      <c r="F55" s="50" t="str">
        <f>IF($D55&gt;0,    VLOOKUP($B55,Constraints!$I:$AA,F$5,FALSE)*$D55,"-")</f>
        <v>-</v>
      </c>
      <c r="G55" s="50" t="str">
        <f>IF($D55&gt;0,    VLOOKUP($B55,Constraints!$I:$AA,G$5,FALSE)*$D55,"-")</f>
        <v>-</v>
      </c>
      <c r="H55" s="50" t="str">
        <f>IF($D55&gt;0,    VLOOKUP($B55,Constraints!$I:$AA,H$5,FALSE)*$D55,"-")</f>
        <v>-</v>
      </c>
      <c r="I55" s="50" t="str">
        <f>IF($D55&gt;0,    VLOOKUP($B55,Constraints!$I:$AA,I$5,FALSE)*$D55,"-")</f>
        <v>-</v>
      </c>
      <c r="K55" s="50">
        <f t="shared" si="7"/>
        <v>0</v>
      </c>
      <c r="L55" s="50">
        <f t="shared" si="7"/>
        <v>0</v>
      </c>
      <c r="M55" s="50">
        <f t="shared" si="7"/>
        <v>0</v>
      </c>
      <c r="N55" s="50">
        <f t="shared" si="7"/>
        <v>0</v>
      </c>
      <c r="O55" s="50">
        <f t="shared" si="4"/>
        <v>0</v>
      </c>
      <c r="Q55" s="18">
        <f t="shared" si="5"/>
        <v>0</v>
      </c>
      <c r="R55" s="18">
        <f t="shared" si="6"/>
        <v>0</v>
      </c>
    </row>
    <row r="56" spans="1:18" x14ac:dyDescent="0.25">
      <c r="A56" t="str">
        <f>IF(Rios!A53&lt;&gt;"",Rios!A53,"-")</f>
        <v>-</v>
      </c>
      <c r="B56" s="32">
        <f>Rios!AM53</f>
        <v>0</v>
      </c>
      <c r="C56" s="32" t="str">
        <f>Rios!F53</f>
        <v>-</v>
      </c>
      <c r="D56" s="48">
        <f>Rios!J53</f>
        <v>0</v>
      </c>
      <c r="F56" s="50" t="str">
        <f>IF($D56&gt;0,    VLOOKUP($B56,Constraints!$I:$AA,F$5,FALSE)*$D56,"-")</f>
        <v>-</v>
      </c>
      <c r="G56" s="50" t="str">
        <f>IF($D56&gt;0,    VLOOKUP($B56,Constraints!$I:$AA,G$5,FALSE)*$D56,"-")</f>
        <v>-</v>
      </c>
      <c r="H56" s="50" t="str">
        <f>IF($D56&gt;0,    VLOOKUP($B56,Constraints!$I:$AA,H$5,FALSE)*$D56,"-")</f>
        <v>-</v>
      </c>
      <c r="I56" s="50" t="str">
        <f>IF($D56&gt;0,    VLOOKUP($B56,Constraints!$I:$AA,I$5,FALSE)*$D56,"-")</f>
        <v>-</v>
      </c>
      <c r="K56" s="50">
        <f t="shared" si="7"/>
        <v>0</v>
      </c>
      <c r="L56" s="50">
        <f t="shared" si="7"/>
        <v>0</v>
      </c>
      <c r="M56" s="50">
        <f t="shared" si="7"/>
        <v>0</v>
      </c>
      <c r="N56" s="50">
        <f t="shared" si="7"/>
        <v>0</v>
      </c>
      <c r="O56" s="50">
        <f t="shared" si="4"/>
        <v>0</v>
      </c>
      <c r="Q56" s="18">
        <f t="shared" si="5"/>
        <v>0</v>
      </c>
      <c r="R56" s="18">
        <f t="shared" si="6"/>
        <v>0</v>
      </c>
    </row>
    <row r="57" spans="1:18" x14ac:dyDescent="0.25">
      <c r="A57" t="str">
        <f>IF(Rios!A54&lt;&gt;"",Rios!A54,"-")</f>
        <v>-</v>
      </c>
      <c r="B57" s="32">
        <f>Rios!AM54</f>
        <v>0</v>
      </c>
      <c r="C57" s="32" t="str">
        <f>Rios!F54</f>
        <v>-</v>
      </c>
      <c r="D57" s="48">
        <f>Rios!J54</f>
        <v>0</v>
      </c>
      <c r="F57" s="50" t="str">
        <f>IF($D57&gt;0,    VLOOKUP($B57,Constraints!$I:$AA,F$5,FALSE)*$D57,"-")</f>
        <v>-</v>
      </c>
      <c r="G57" s="50" t="str">
        <f>IF($D57&gt;0,    VLOOKUP($B57,Constraints!$I:$AA,G$5,FALSE)*$D57,"-")</f>
        <v>-</v>
      </c>
      <c r="H57" s="50" t="str">
        <f>IF($D57&gt;0,    VLOOKUP($B57,Constraints!$I:$AA,H$5,FALSE)*$D57,"-")</f>
        <v>-</v>
      </c>
      <c r="I57" s="50" t="str">
        <f>IF($D57&gt;0,    VLOOKUP($B57,Constraints!$I:$AA,I$5,FALSE)*$D57,"-")</f>
        <v>-</v>
      </c>
      <c r="K57" s="50">
        <f t="shared" si="7"/>
        <v>0</v>
      </c>
      <c r="L57" s="50">
        <f t="shared" si="7"/>
        <v>0</v>
      </c>
      <c r="M57" s="50">
        <f t="shared" si="7"/>
        <v>0</v>
      </c>
      <c r="N57" s="50">
        <f t="shared" si="7"/>
        <v>0</v>
      </c>
      <c r="O57" s="50">
        <f t="shared" si="4"/>
        <v>0</v>
      </c>
      <c r="Q57" s="18">
        <f t="shared" si="5"/>
        <v>0</v>
      </c>
      <c r="R57" s="18">
        <f t="shared" si="6"/>
        <v>0</v>
      </c>
    </row>
    <row r="58" spans="1:18" x14ac:dyDescent="0.25">
      <c r="A58" t="str">
        <f>IF(Rios!A55&lt;&gt;"",Rios!A55,"-")</f>
        <v>-</v>
      </c>
      <c r="B58" s="32">
        <f>Rios!AM55</f>
        <v>0</v>
      </c>
      <c r="C58" s="32" t="str">
        <f>Rios!F55</f>
        <v>-</v>
      </c>
      <c r="D58" s="48">
        <f>Rios!J55</f>
        <v>0</v>
      </c>
      <c r="F58" s="50" t="str">
        <f>IF($D58&gt;0,    VLOOKUP($B58,Constraints!$I:$AA,F$5,FALSE)*$D58,"-")</f>
        <v>-</v>
      </c>
      <c r="G58" s="50" t="str">
        <f>IF($D58&gt;0,    VLOOKUP($B58,Constraints!$I:$AA,G$5,FALSE)*$D58,"-")</f>
        <v>-</v>
      </c>
      <c r="H58" s="50" t="str">
        <f>IF($D58&gt;0,    VLOOKUP($B58,Constraints!$I:$AA,H$5,FALSE)*$D58,"-")</f>
        <v>-</v>
      </c>
      <c r="I58" s="50" t="str">
        <f>IF($D58&gt;0,    VLOOKUP($B58,Constraints!$I:$AA,I$5,FALSE)*$D58,"-")</f>
        <v>-</v>
      </c>
      <c r="K58" s="50">
        <f t="shared" si="7"/>
        <v>0</v>
      </c>
      <c r="L58" s="50">
        <f t="shared" si="7"/>
        <v>0</v>
      </c>
      <c r="M58" s="50">
        <f t="shared" si="7"/>
        <v>0</v>
      </c>
      <c r="N58" s="50">
        <f t="shared" si="7"/>
        <v>0</v>
      </c>
      <c r="O58" s="50">
        <f t="shared" si="4"/>
        <v>0</v>
      </c>
      <c r="Q58" s="18">
        <f t="shared" si="5"/>
        <v>0</v>
      </c>
      <c r="R58" s="18">
        <f t="shared" si="6"/>
        <v>0</v>
      </c>
    </row>
    <row r="59" spans="1:18" x14ac:dyDescent="0.25">
      <c r="A59" t="str">
        <f>IF(Rios!A56&lt;&gt;"",Rios!A56,"-")</f>
        <v>-</v>
      </c>
      <c r="B59" s="32">
        <f>Rios!AM56</f>
        <v>0</v>
      </c>
      <c r="C59" s="32" t="str">
        <f>Rios!F56</f>
        <v>-</v>
      </c>
      <c r="D59" s="48">
        <f>Rios!J56</f>
        <v>0</v>
      </c>
      <c r="F59" s="50" t="str">
        <f>IF($D59&gt;0,    VLOOKUP($B59,Constraints!$I:$AA,F$5,FALSE)*$D59,"-")</f>
        <v>-</v>
      </c>
      <c r="G59" s="50" t="str">
        <f>IF($D59&gt;0,    VLOOKUP($B59,Constraints!$I:$AA,G$5,FALSE)*$D59,"-")</f>
        <v>-</v>
      </c>
      <c r="H59" s="50" t="str">
        <f>IF($D59&gt;0,    VLOOKUP($B59,Constraints!$I:$AA,H$5,FALSE)*$D59,"-")</f>
        <v>-</v>
      </c>
      <c r="I59" s="50" t="str">
        <f>IF($D59&gt;0,    VLOOKUP($B59,Constraints!$I:$AA,I$5,FALSE)*$D59,"-")</f>
        <v>-</v>
      </c>
      <c r="K59" s="50">
        <f t="shared" si="7"/>
        <v>0</v>
      </c>
      <c r="L59" s="50">
        <f t="shared" si="7"/>
        <v>0</v>
      </c>
      <c r="M59" s="50">
        <f t="shared" si="7"/>
        <v>0</v>
      </c>
      <c r="N59" s="50">
        <f t="shared" si="7"/>
        <v>0</v>
      </c>
      <c r="O59" s="50">
        <f t="shared" si="4"/>
        <v>0</v>
      </c>
      <c r="Q59" s="18">
        <f t="shared" si="5"/>
        <v>0</v>
      </c>
      <c r="R59" s="18">
        <f t="shared" si="6"/>
        <v>0</v>
      </c>
    </row>
    <row r="60" spans="1:18" x14ac:dyDescent="0.25">
      <c r="A60" t="str">
        <f>IF(Rios!A57&lt;&gt;"",Rios!A57,"-")</f>
        <v>-</v>
      </c>
      <c r="B60" s="32">
        <f>Rios!AM57</f>
        <v>0</v>
      </c>
      <c r="C60" s="32" t="str">
        <f>Rios!F57</f>
        <v>-</v>
      </c>
      <c r="D60" s="48">
        <f>Rios!J57</f>
        <v>0</v>
      </c>
      <c r="F60" s="50" t="str">
        <f>IF($D60&gt;0,    VLOOKUP($B60,Constraints!$I:$AA,F$5,FALSE)*$D60,"-")</f>
        <v>-</v>
      </c>
      <c r="G60" s="50" t="str">
        <f>IF($D60&gt;0,    VLOOKUP($B60,Constraints!$I:$AA,G$5,FALSE)*$D60,"-")</f>
        <v>-</v>
      </c>
      <c r="H60" s="50" t="str">
        <f>IF($D60&gt;0,    VLOOKUP($B60,Constraints!$I:$AA,H$5,FALSE)*$D60,"-")</f>
        <v>-</v>
      </c>
      <c r="I60" s="50" t="str">
        <f>IF($D60&gt;0,    VLOOKUP($B60,Constraints!$I:$AA,I$5,FALSE)*$D60,"-")</f>
        <v>-</v>
      </c>
      <c r="K60" s="50">
        <f t="shared" si="7"/>
        <v>0</v>
      </c>
      <c r="L60" s="50">
        <f t="shared" si="7"/>
        <v>0</v>
      </c>
      <c r="M60" s="50">
        <f t="shared" si="7"/>
        <v>0</v>
      </c>
      <c r="N60" s="50">
        <f t="shared" si="7"/>
        <v>0</v>
      </c>
      <c r="O60" s="50">
        <f t="shared" si="4"/>
        <v>0</v>
      </c>
      <c r="Q60" s="18">
        <f t="shared" si="5"/>
        <v>0</v>
      </c>
      <c r="R60" s="18">
        <f t="shared" si="6"/>
        <v>0</v>
      </c>
    </row>
    <row r="61" spans="1:18" x14ac:dyDescent="0.25">
      <c r="A61" t="str">
        <f>IF(Rios!A58&lt;&gt;"",Rios!A58,"-")</f>
        <v>-</v>
      </c>
      <c r="B61" s="32">
        <f>Rios!AM58</f>
        <v>0</v>
      </c>
      <c r="C61" s="32" t="str">
        <f>Rios!F58</f>
        <v>-</v>
      </c>
      <c r="D61" s="48">
        <f>Rios!J58</f>
        <v>0</v>
      </c>
      <c r="F61" s="50" t="str">
        <f>IF($D61&gt;0,    VLOOKUP($B61,Constraints!$I:$AA,F$5,FALSE)*$D61,"-")</f>
        <v>-</v>
      </c>
      <c r="G61" s="50" t="str">
        <f>IF($D61&gt;0,    VLOOKUP($B61,Constraints!$I:$AA,G$5,FALSE)*$D61,"-")</f>
        <v>-</v>
      </c>
      <c r="H61" s="50" t="str">
        <f>IF($D61&gt;0,    VLOOKUP($B61,Constraints!$I:$AA,H$5,FALSE)*$D61,"-")</f>
        <v>-</v>
      </c>
      <c r="I61" s="50" t="str">
        <f>IF($D61&gt;0,    VLOOKUP($B61,Constraints!$I:$AA,I$5,FALSE)*$D61,"-")</f>
        <v>-</v>
      </c>
      <c r="K61" s="50">
        <f t="shared" si="7"/>
        <v>0</v>
      </c>
      <c r="L61" s="50">
        <f t="shared" si="7"/>
        <v>0</v>
      </c>
      <c r="M61" s="50">
        <f t="shared" si="7"/>
        <v>0</v>
      </c>
      <c r="N61" s="50">
        <f t="shared" si="7"/>
        <v>0</v>
      </c>
      <c r="O61" s="50">
        <f t="shared" si="4"/>
        <v>0</v>
      </c>
      <c r="Q61" s="18">
        <f t="shared" si="5"/>
        <v>0</v>
      </c>
      <c r="R61" s="18">
        <f t="shared" si="6"/>
        <v>0</v>
      </c>
    </row>
    <row r="62" spans="1:18" x14ac:dyDescent="0.25">
      <c r="A62" t="str">
        <f>IF(Rios!A59&lt;&gt;"",Rios!A59,"-")</f>
        <v>-</v>
      </c>
      <c r="B62" s="32">
        <f>Rios!AM59</f>
        <v>0</v>
      </c>
      <c r="C62" s="32" t="str">
        <f>Rios!F59</f>
        <v>-</v>
      </c>
      <c r="D62" s="48">
        <f>Rios!J59</f>
        <v>0</v>
      </c>
      <c r="F62" s="50" t="str">
        <f>IF($D62&gt;0,    VLOOKUP($B62,Constraints!$I:$AA,F$5,FALSE)*$D62,"-")</f>
        <v>-</v>
      </c>
      <c r="G62" s="50" t="str">
        <f>IF($D62&gt;0,    VLOOKUP($B62,Constraints!$I:$AA,G$5,FALSE)*$D62,"-")</f>
        <v>-</v>
      </c>
      <c r="H62" s="50" t="str">
        <f>IF($D62&gt;0,    VLOOKUP($B62,Constraints!$I:$AA,H$5,FALSE)*$D62,"-")</f>
        <v>-</v>
      </c>
      <c r="I62" s="50" t="str">
        <f>IF($D62&gt;0,    VLOOKUP($B62,Constraints!$I:$AA,I$5,FALSE)*$D62,"-")</f>
        <v>-</v>
      </c>
      <c r="K62" s="50">
        <f t="shared" si="7"/>
        <v>0</v>
      </c>
      <c r="L62" s="50">
        <f t="shared" si="7"/>
        <v>0</v>
      </c>
      <c r="M62" s="50">
        <f t="shared" si="7"/>
        <v>0</v>
      </c>
      <c r="N62" s="50">
        <f t="shared" si="7"/>
        <v>0</v>
      </c>
      <c r="O62" s="50">
        <f t="shared" si="4"/>
        <v>0</v>
      </c>
      <c r="Q62" s="18">
        <f t="shared" si="5"/>
        <v>0</v>
      </c>
      <c r="R62" s="18">
        <f t="shared" si="6"/>
        <v>0</v>
      </c>
    </row>
    <row r="63" spans="1:18" x14ac:dyDescent="0.25">
      <c r="A63" t="str">
        <f>IF(Rios!A60&lt;&gt;"",Rios!A60,"-")</f>
        <v>-</v>
      </c>
      <c r="B63" s="32">
        <f>Rios!AM60</f>
        <v>0</v>
      </c>
      <c r="C63" s="32" t="str">
        <f>Rios!F60</f>
        <v>-</v>
      </c>
      <c r="D63" s="48">
        <f>Rios!J60</f>
        <v>0</v>
      </c>
      <c r="F63" s="50" t="str">
        <f>IF($D63&gt;0,    VLOOKUP($B63,Constraints!$I:$AA,F$5,FALSE)*$D63,"-")</f>
        <v>-</v>
      </c>
      <c r="G63" s="50" t="str">
        <f>IF($D63&gt;0,    VLOOKUP($B63,Constraints!$I:$AA,G$5,FALSE)*$D63,"-")</f>
        <v>-</v>
      </c>
      <c r="H63" s="50" t="str">
        <f>IF($D63&gt;0,    VLOOKUP($B63,Constraints!$I:$AA,H$5,FALSE)*$D63,"-")</f>
        <v>-</v>
      </c>
      <c r="I63" s="50" t="str">
        <f>IF($D63&gt;0,    VLOOKUP($B63,Constraints!$I:$AA,I$5,FALSE)*$D63,"-")</f>
        <v>-</v>
      </c>
      <c r="K63" s="50">
        <f t="shared" si="7"/>
        <v>0</v>
      </c>
      <c r="L63" s="50">
        <f t="shared" si="7"/>
        <v>0</v>
      </c>
      <c r="M63" s="50">
        <f t="shared" si="7"/>
        <v>0</v>
      </c>
      <c r="N63" s="50">
        <f t="shared" si="7"/>
        <v>0</v>
      </c>
      <c r="O63" s="50">
        <f t="shared" si="4"/>
        <v>0</v>
      </c>
      <c r="Q63" s="18">
        <f t="shared" si="5"/>
        <v>0</v>
      </c>
      <c r="R63" s="18">
        <f t="shared" si="6"/>
        <v>0</v>
      </c>
    </row>
    <row r="64" spans="1:18" x14ac:dyDescent="0.25">
      <c r="A64" t="str">
        <f>IF(Rios!A61&lt;&gt;"",Rios!A61,"-")</f>
        <v>-</v>
      </c>
      <c r="B64" s="32">
        <f>Rios!AM61</f>
        <v>0</v>
      </c>
      <c r="C64" s="32" t="str">
        <f>Rios!F61</f>
        <v>-</v>
      </c>
      <c r="D64" s="48">
        <f>Rios!J61</f>
        <v>0</v>
      </c>
      <c r="F64" s="50" t="str">
        <f>IF($D64&gt;0,    VLOOKUP($B64,Constraints!$I:$AA,F$5,FALSE)*$D64,"-")</f>
        <v>-</v>
      </c>
      <c r="G64" s="50" t="str">
        <f>IF($D64&gt;0,    VLOOKUP($B64,Constraints!$I:$AA,G$5,FALSE)*$D64,"-")</f>
        <v>-</v>
      </c>
      <c r="H64" s="50" t="str">
        <f>IF($D64&gt;0,    VLOOKUP($B64,Constraints!$I:$AA,H$5,FALSE)*$D64,"-")</f>
        <v>-</v>
      </c>
      <c r="I64" s="50" t="str">
        <f>IF($D64&gt;0,    VLOOKUP($B64,Constraints!$I:$AA,I$5,FALSE)*$D64,"-")</f>
        <v>-</v>
      </c>
      <c r="K64" s="50">
        <f t="shared" si="7"/>
        <v>0</v>
      </c>
      <c r="L64" s="50">
        <f t="shared" si="7"/>
        <v>0</v>
      </c>
      <c r="M64" s="50">
        <f t="shared" si="7"/>
        <v>0</v>
      </c>
      <c r="N64" s="50">
        <f t="shared" si="7"/>
        <v>0</v>
      </c>
      <c r="O64" s="50">
        <f t="shared" si="4"/>
        <v>0</v>
      </c>
      <c r="Q64" s="18">
        <f t="shared" si="5"/>
        <v>0</v>
      </c>
      <c r="R64" s="18">
        <f t="shared" si="6"/>
        <v>0</v>
      </c>
    </row>
    <row r="65" spans="1:18" x14ac:dyDescent="0.25">
      <c r="A65" t="str">
        <f>IF(Rios!A62&lt;&gt;"",Rios!A62,"-")</f>
        <v>-</v>
      </c>
      <c r="B65" s="32">
        <f>Rios!AM62</f>
        <v>0</v>
      </c>
      <c r="C65" s="32" t="str">
        <f>Rios!F62</f>
        <v>-</v>
      </c>
      <c r="D65" s="48">
        <f>Rios!J62</f>
        <v>0</v>
      </c>
      <c r="F65" s="50" t="str">
        <f>IF($D65&gt;0,    VLOOKUP($B65,Constraints!$I:$AA,F$5,FALSE)*$D65,"-")</f>
        <v>-</v>
      </c>
      <c r="G65" s="50" t="str">
        <f>IF($D65&gt;0,    VLOOKUP($B65,Constraints!$I:$AA,G$5,FALSE)*$D65,"-")</f>
        <v>-</v>
      </c>
      <c r="H65" s="50" t="str">
        <f>IF($D65&gt;0,    VLOOKUP($B65,Constraints!$I:$AA,H$5,FALSE)*$D65,"-")</f>
        <v>-</v>
      </c>
      <c r="I65" s="50" t="str">
        <f>IF($D65&gt;0,    VLOOKUP($B65,Constraints!$I:$AA,I$5,FALSE)*$D65,"-")</f>
        <v>-</v>
      </c>
      <c r="K65" s="50">
        <f t="shared" si="7"/>
        <v>0</v>
      </c>
      <c r="L65" s="50">
        <f t="shared" si="7"/>
        <v>0</v>
      </c>
      <c r="M65" s="50">
        <f t="shared" si="7"/>
        <v>0</v>
      </c>
      <c r="N65" s="50">
        <f t="shared" si="7"/>
        <v>0</v>
      </c>
      <c r="O65" s="50">
        <f t="shared" si="4"/>
        <v>0</v>
      </c>
      <c r="Q65" s="18">
        <f t="shared" si="5"/>
        <v>0</v>
      </c>
      <c r="R65" s="18">
        <f t="shared" si="6"/>
        <v>0</v>
      </c>
    </row>
    <row r="66" spans="1:18" x14ac:dyDescent="0.25">
      <c r="A66" t="str">
        <f>IF(Rios!A63&lt;&gt;"",Rios!A63,"-")</f>
        <v>-</v>
      </c>
      <c r="B66" s="32">
        <f>Rios!AM63</f>
        <v>0</v>
      </c>
      <c r="C66" s="32" t="str">
        <f>Rios!F63</f>
        <v>-</v>
      </c>
      <c r="D66" s="48">
        <f>Rios!J63</f>
        <v>0</v>
      </c>
      <c r="F66" s="50" t="str">
        <f>IF($D66&gt;0,    VLOOKUP($B66,Constraints!$I:$AA,F$5,FALSE)*$D66,"-")</f>
        <v>-</v>
      </c>
      <c r="G66" s="50" t="str">
        <f>IF($D66&gt;0,    VLOOKUP($B66,Constraints!$I:$AA,G$5,FALSE)*$D66,"-")</f>
        <v>-</v>
      </c>
      <c r="H66" s="50" t="str">
        <f>IF($D66&gt;0,    VLOOKUP($B66,Constraints!$I:$AA,H$5,FALSE)*$D66,"-")</f>
        <v>-</v>
      </c>
      <c r="I66" s="50" t="str">
        <f>IF($D66&gt;0,    VLOOKUP($B66,Constraints!$I:$AA,I$5,FALSE)*$D66,"-")</f>
        <v>-</v>
      </c>
      <c r="K66" s="50">
        <f t="shared" si="7"/>
        <v>0</v>
      </c>
      <c r="L66" s="50">
        <f t="shared" si="7"/>
        <v>0</v>
      </c>
      <c r="M66" s="50">
        <f t="shared" si="7"/>
        <v>0</v>
      </c>
      <c r="N66" s="50">
        <f t="shared" si="7"/>
        <v>0</v>
      </c>
      <c r="O66" s="50">
        <f t="shared" si="4"/>
        <v>0</v>
      </c>
      <c r="Q66" s="18">
        <f t="shared" si="5"/>
        <v>0</v>
      </c>
      <c r="R66" s="18">
        <f t="shared" si="6"/>
        <v>0</v>
      </c>
    </row>
    <row r="67" spans="1:18" x14ac:dyDescent="0.25">
      <c r="A67" t="str">
        <f>IF(Rios!A64&lt;&gt;"",Rios!A64,"-")</f>
        <v>-</v>
      </c>
      <c r="B67" s="32">
        <f>Rios!AM64</f>
        <v>0</v>
      </c>
      <c r="C67" s="32" t="str">
        <f>Rios!F64</f>
        <v>-</v>
      </c>
      <c r="D67" s="48">
        <f>Rios!J64</f>
        <v>0</v>
      </c>
      <c r="F67" s="50" t="str">
        <f>IF($D67&gt;0,    VLOOKUP($B67,Constraints!$I:$AA,F$5,FALSE)*$D67,"-")</f>
        <v>-</v>
      </c>
      <c r="G67" s="50" t="str">
        <f>IF($D67&gt;0,    VLOOKUP($B67,Constraints!$I:$AA,G$5,FALSE)*$D67,"-")</f>
        <v>-</v>
      </c>
      <c r="H67" s="50" t="str">
        <f>IF($D67&gt;0,    VLOOKUP($B67,Constraints!$I:$AA,H$5,FALSE)*$D67,"-")</f>
        <v>-</v>
      </c>
      <c r="I67" s="50" t="str">
        <f>IF($D67&gt;0,    VLOOKUP($B67,Constraints!$I:$AA,I$5,FALSE)*$D67,"-")</f>
        <v>-</v>
      </c>
      <c r="K67" s="50">
        <f t="shared" si="7"/>
        <v>0</v>
      </c>
      <c r="L67" s="50">
        <f t="shared" si="7"/>
        <v>0</v>
      </c>
      <c r="M67" s="50">
        <f t="shared" si="7"/>
        <v>0</v>
      </c>
      <c r="N67" s="50">
        <f t="shared" si="7"/>
        <v>0</v>
      </c>
      <c r="O67" s="50">
        <f t="shared" si="4"/>
        <v>0</v>
      </c>
      <c r="Q67" s="18">
        <f t="shared" si="5"/>
        <v>0</v>
      </c>
      <c r="R67" s="18">
        <f t="shared" si="6"/>
        <v>0</v>
      </c>
    </row>
    <row r="68" spans="1:18" x14ac:dyDescent="0.25">
      <c r="A68" t="str">
        <f>IF(Rios!A65&lt;&gt;"",Rios!A65,"-")</f>
        <v>-</v>
      </c>
      <c r="B68" s="32">
        <f>Rios!AM65</f>
        <v>0</v>
      </c>
      <c r="C68" s="32" t="str">
        <f>Rios!F65</f>
        <v>-</v>
      </c>
      <c r="D68" s="48">
        <f>Rios!J65</f>
        <v>0</v>
      </c>
      <c r="F68" s="50" t="str">
        <f>IF($D68&gt;0,    VLOOKUP($B68,Constraints!$I:$AA,F$5,FALSE)*$D68,"-")</f>
        <v>-</v>
      </c>
      <c r="G68" s="50" t="str">
        <f>IF($D68&gt;0,    VLOOKUP($B68,Constraints!$I:$AA,G$5,FALSE)*$D68,"-")</f>
        <v>-</v>
      </c>
      <c r="H68" s="50" t="str">
        <f>IF($D68&gt;0,    VLOOKUP($B68,Constraints!$I:$AA,H$5,FALSE)*$D68,"-")</f>
        <v>-</v>
      </c>
      <c r="I68" s="50" t="str">
        <f>IF($D68&gt;0,    VLOOKUP($B68,Constraints!$I:$AA,I$5,FALSE)*$D68,"-")</f>
        <v>-</v>
      </c>
      <c r="K68" s="50">
        <f t="shared" si="7"/>
        <v>0</v>
      </c>
      <c r="L68" s="50">
        <f t="shared" si="7"/>
        <v>0</v>
      </c>
      <c r="M68" s="50">
        <f t="shared" si="7"/>
        <v>0</v>
      </c>
      <c r="N68" s="50">
        <f t="shared" si="7"/>
        <v>0</v>
      </c>
      <c r="O68" s="50">
        <f t="shared" si="4"/>
        <v>0</v>
      </c>
      <c r="Q68" s="18">
        <f t="shared" si="5"/>
        <v>0</v>
      </c>
      <c r="R68" s="18">
        <f t="shared" si="6"/>
        <v>0</v>
      </c>
    </row>
    <row r="69" spans="1:18" x14ac:dyDescent="0.25">
      <c r="A69" t="str">
        <f>IF(Rios!A66&lt;&gt;"",Rios!A66,"-")</f>
        <v>-</v>
      </c>
      <c r="B69" s="32">
        <f>Rios!AM66</f>
        <v>0</v>
      </c>
      <c r="C69" s="32" t="str">
        <f>Rios!F66</f>
        <v>-</v>
      </c>
      <c r="D69" s="48">
        <f>Rios!J66</f>
        <v>0</v>
      </c>
      <c r="F69" s="50" t="str">
        <f>IF($D69&gt;0,    VLOOKUP($B69,Constraints!$I:$AA,F$5,FALSE)*$D69,"-")</f>
        <v>-</v>
      </c>
      <c r="G69" s="50" t="str">
        <f>IF($D69&gt;0,    VLOOKUP($B69,Constraints!$I:$AA,G$5,FALSE)*$D69,"-")</f>
        <v>-</v>
      </c>
      <c r="H69" s="50" t="str">
        <f>IF($D69&gt;0,    VLOOKUP($B69,Constraints!$I:$AA,H$5,FALSE)*$D69,"-")</f>
        <v>-</v>
      </c>
      <c r="I69" s="50" t="str">
        <f>IF($D69&gt;0,    VLOOKUP($B69,Constraints!$I:$AA,I$5,FALSE)*$D69,"-")</f>
        <v>-</v>
      </c>
      <c r="K69" s="50">
        <f t="shared" si="7"/>
        <v>0</v>
      </c>
      <c r="L69" s="50">
        <f t="shared" si="7"/>
        <v>0</v>
      </c>
      <c r="M69" s="50">
        <f t="shared" si="7"/>
        <v>0</v>
      </c>
      <c r="N69" s="50">
        <f t="shared" si="7"/>
        <v>0</v>
      </c>
      <c r="O69" s="50">
        <f t="shared" si="4"/>
        <v>0</v>
      </c>
      <c r="Q69" s="18">
        <f t="shared" si="5"/>
        <v>0</v>
      </c>
      <c r="R69" s="18">
        <f t="shared" si="6"/>
        <v>0</v>
      </c>
    </row>
    <row r="70" spans="1:18" x14ac:dyDescent="0.25">
      <c r="A70" t="str">
        <f>IF(Rios!A67&lt;&gt;"",Rios!A67,"-")</f>
        <v>-</v>
      </c>
      <c r="B70" s="32">
        <f>Rios!AM67</f>
        <v>0</v>
      </c>
      <c r="C70" s="32" t="str">
        <f>Rios!F67</f>
        <v>-</v>
      </c>
      <c r="D70" s="48">
        <f>Rios!J67</f>
        <v>0</v>
      </c>
      <c r="F70" s="50" t="str">
        <f>IF($D70&gt;0,    VLOOKUP($B70,Constraints!$I:$AA,F$5,FALSE)*$D70,"-")</f>
        <v>-</v>
      </c>
      <c r="G70" s="50" t="str">
        <f>IF($D70&gt;0,    VLOOKUP($B70,Constraints!$I:$AA,G$5,FALSE)*$D70,"-")</f>
        <v>-</v>
      </c>
      <c r="H70" s="50" t="str">
        <f>IF($D70&gt;0,    VLOOKUP($B70,Constraints!$I:$AA,H$5,FALSE)*$D70,"-")</f>
        <v>-</v>
      </c>
      <c r="I70" s="50" t="str">
        <f>IF($D70&gt;0,    VLOOKUP($B70,Constraints!$I:$AA,I$5,FALSE)*$D70,"-")</f>
        <v>-</v>
      </c>
      <c r="K70" s="50">
        <f t="shared" si="7"/>
        <v>0</v>
      </c>
      <c r="L70" s="50">
        <f t="shared" si="7"/>
        <v>0</v>
      </c>
      <c r="M70" s="50">
        <f t="shared" si="7"/>
        <v>0</v>
      </c>
      <c r="N70" s="50">
        <f t="shared" si="7"/>
        <v>0</v>
      </c>
      <c r="O70" s="50">
        <f t="shared" ref="O70:O103" si="8">SUM(F70:I70)</f>
        <v>0</v>
      </c>
      <c r="Q70" s="18">
        <f t="shared" ref="Q70:Q103" si="9">IF(ISNUMBER(D70),D70,0)</f>
        <v>0</v>
      </c>
      <c r="R70" s="18">
        <f t="shared" ref="R70:R103" si="10">D70*2</f>
        <v>0</v>
      </c>
    </row>
    <row r="71" spans="1:18" x14ac:dyDescent="0.25">
      <c r="A71" t="str">
        <f>IF(Rios!A68&lt;&gt;"",Rios!A68,"-")</f>
        <v>-</v>
      </c>
      <c r="B71" s="32">
        <f>Rios!AM68</f>
        <v>0</v>
      </c>
      <c r="C71" s="32" t="str">
        <f>Rios!F68</f>
        <v>-</v>
      </c>
      <c r="D71" s="48">
        <f>Rios!J68</f>
        <v>0</v>
      </c>
      <c r="F71" s="50" t="str">
        <f>IF($D71&gt;0,    VLOOKUP($B71,Constraints!$I:$AA,F$5,FALSE)*$D71,"-")</f>
        <v>-</v>
      </c>
      <c r="G71" s="50" t="str">
        <f>IF($D71&gt;0,    VLOOKUP($B71,Constraints!$I:$AA,G$5,FALSE)*$D71,"-")</f>
        <v>-</v>
      </c>
      <c r="H71" s="50" t="str">
        <f>IF($D71&gt;0,    VLOOKUP($B71,Constraints!$I:$AA,H$5,FALSE)*$D71,"-")</f>
        <v>-</v>
      </c>
      <c r="I71" s="50" t="str">
        <f>IF($D71&gt;0,    VLOOKUP($B71,Constraints!$I:$AA,I$5,FALSE)*$D71,"-")</f>
        <v>-</v>
      </c>
      <c r="K71" s="50">
        <f t="shared" ref="K71:N103" si="11">$D71</f>
        <v>0</v>
      </c>
      <c r="L71" s="50">
        <f t="shared" si="11"/>
        <v>0</v>
      </c>
      <c r="M71" s="50">
        <f t="shared" si="11"/>
        <v>0</v>
      </c>
      <c r="N71" s="50">
        <f t="shared" si="11"/>
        <v>0</v>
      </c>
      <c r="O71" s="50">
        <f t="shared" si="8"/>
        <v>0</v>
      </c>
      <c r="Q71" s="18">
        <f t="shared" si="9"/>
        <v>0</v>
      </c>
      <c r="R71" s="18">
        <f t="shared" si="10"/>
        <v>0</v>
      </c>
    </row>
    <row r="72" spans="1:18" x14ac:dyDescent="0.25">
      <c r="A72" t="str">
        <f>IF(Rios!A69&lt;&gt;"",Rios!A69,"-")</f>
        <v>-</v>
      </c>
      <c r="B72" s="32">
        <f>Rios!AM69</f>
        <v>0</v>
      </c>
      <c r="C72" s="32" t="str">
        <f>Rios!F69</f>
        <v>-</v>
      </c>
      <c r="D72" s="48">
        <f>Rios!J69</f>
        <v>0</v>
      </c>
      <c r="F72" s="50" t="str">
        <f>IF($D72&gt;0,    VLOOKUP($B72,Constraints!$I:$AA,F$5,FALSE)*$D72,"-")</f>
        <v>-</v>
      </c>
      <c r="G72" s="50" t="str">
        <f>IF($D72&gt;0,    VLOOKUP($B72,Constraints!$I:$AA,G$5,FALSE)*$D72,"-")</f>
        <v>-</v>
      </c>
      <c r="H72" s="50" t="str">
        <f>IF($D72&gt;0,    VLOOKUP($B72,Constraints!$I:$AA,H$5,FALSE)*$D72,"-")</f>
        <v>-</v>
      </c>
      <c r="I72" s="50" t="str">
        <f>IF($D72&gt;0,    VLOOKUP($B72,Constraints!$I:$AA,I$5,FALSE)*$D72,"-")</f>
        <v>-</v>
      </c>
      <c r="K72" s="50">
        <f t="shared" si="11"/>
        <v>0</v>
      </c>
      <c r="L72" s="50">
        <f t="shared" si="11"/>
        <v>0</v>
      </c>
      <c r="M72" s="50">
        <f t="shared" si="11"/>
        <v>0</v>
      </c>
      <c r="N72" s="50">
        <f t="shared" si="11"/>
        <v>0</v>
      </c>
      <c r="O72" s="50">
        <f t="shared" si="8"/>
        <v>0</v>
      </c>
      <c r="Q72" s="18">
        <f t="shared" si="9"/>
        <v>0</v>
      </c>
      <c r="R72" s="18">
        <f t="shared" si="10"/>
        <v>0</v>
      </c>
    </row>
    <row r="73" spans="1:18" x14ac:dyDescent="0.25">
      <c r="A73" t="str">
        <f>IF(Rios!A70&lt;&gt;"",Rios!A70,"-")</f>
        <v>-</v>
      </c>
      <c r="B73" s="32">
        <f>Rios!AM70</f>
        <v>0</v>
      </c>
      <c r="C73" s="32" t="str">
        <f>Rios!F70</f>
        <v>-</v>
      </c>
      <c r="D73" s="48">
        <f>Rios!J70</f>
        <v>0</v>
      </c>
      <c r="F73" s="50" t="str">
        <f>IF($D73&gt;0,    VLOOKUP($B73,Constraints!$I:$AA,F$5,FALSE)*$D73,"-")</f>
        <v>-</v>
      </c>
      <c r="G73" s="50" t="str">
        <f>IF($D73&gt;0,    VLOOKUP($B73,Constraints!$I:$AA,G$5,FALSE)*$D73,"-")</f>
        <v>-</v>
      </c>
      <c r="H73" s="50" t="str">
        <f>IF($D73&gt;0,    VLOOKUP($B73,Constraints!$I:$AA,H$5,FALSE)*$D73,"-")</f>
        <v>-</v>
      </c>
      <c r="I73" s="50" t="str">
        <f>IF($D73&gt;0,    VLOOKUP($B73,Constraints!$I:$AA,I$5,FALSE)*$D73,"-")</f>
        <v>-</v>
      </c>
      <c r="K73" s="50">
        <f t="shared" si="11"/>
        <v>0</v>
      </c>
      <c r="L73" s="50">
        <f t="shared" si="11"/>
        <v>0</v>
      </c>
      <c r="M73" s="50">
        <f t="shared" si="11"/>
        <v>0</v>
      </c>
      <c r="N73" s="50">
        <f t="shared" si="11"/>
        <v>0</v>
      </c>
      <c r="O73" s="50">
        <f t="shared" si="8"/>
        <v>0</v>
      </c>
      <c r="Q73" s="18">
        <f t="shared" si="9"/>
        <v>0</v>
      </c>
      <c r="R73" s="18">
        <f t="shared" si="10"/>
        <v>0</v>
      </c>
    </row>
    <row r="74" spans="1:18" x14ac:dyDescent="0.25">
      <c r="A74" t="str">
        <f>IF(Rios!A71&lt;&gt;"",Rios!A71,"-")</f>
        <v>-</v>
      </c>
      <c r="B74" s="32">
        <f>Rios!AM71</f>
        <v>0</v>
      </c>
      <c r="C74" s="32" t="str">
        <f>Rios!F71</f>
        <v>-</v>
      </c>
      <c r="D74" s="48">
        <f>Rios!J71</f>
        <v>0</v>
      </c>
      <c r="F74" s="50" t="str">
        <f>IF($D74&gt;0,    VLOOKUP($B74,Constraints!$I:$AA,F$5,FALSE)*$D74,"-")</f>
        <v>-</v>
      </c>
      <c r="G74" s="50" t="str">
        <f>IF($D74&gt;0,    VLOOKUP($B74,Constraints!$I:$AA,G$5,FALSE)*$D74,"-")</f>
        <v>-</v>
      </c>
      <c r="H74" s="50" t="str">
        <f>IF($D74&gt;0,    VLOOKUP($B74,Constraints!$I:$AA,H$5,FALSE)*$D74,"-")</f>
        <v>-</v>
      </c>
      <c r="I74" s="50" t="str">
        <f>IF($D74&gt;0,    VLOOKUP($B74,Constraints!$I:$AA,I$5,FALSE)*$D74,"-")</f>
        <v>-</v>
      </c>
      <c r="K74" s="50">
        <f t="shared" si="11"/>
        <v>0</v>
      </c>
      <c r="L74" s="50">
        <f t="shared" si="11"/>
        <v>0</v>
      </c>
      <c r="M74" s="50">
        <f t="shared" si="11"/>
        <v>0</v>
      </c>
      <c r="N74" s="50">
        <f t="shared" si="11"/>
        <v>0</v>
      </c>
      <c r="O74" s="50">
        <f t="shared" si="8"/>
        <v>0</v>
      </c>
      <c r="Q74" s="18">
        <f t="shared" si="9"/>
        <v>0</v>
      </c>
      <c r="R74" s="18">
        <f t="shared" si="10"/>
        <v>0</v>
      </c>
    </row>
    <row r="75" spans="1:18" x14ac:dyDescent="0.25">
      <c r="A75" t="str">
        <f>IF(Rios!A72&lt;&gt;"",Rios!A72,"-")</f>
        <v>-</v>
      </c>
      <c r="B75" s="32">
        <f>Rios!AM72</f>
        <v>0</v>
      </c>
      <c r="C75" s="32" t="str">
        <f>Rios!F72</f>
        <v>-</v>
      </c>
      <c r="D75" s="48">
        <f>Rios!J72</f>
        <v>0</v>
      </c>
      <c r="F75" s="50" t="str">
        <f>IF($D75&gt;0,    VLOOKUP($B75,Constraints!$I:$AA,F$5,FALSE)*$D75,"-")</f>
        <v>-</v>
      </c>
      <c r="G75" s="50" t="str">
        <f>IF($D75&gt;0,    VLOOKUP($B75,Constraints!$I:$AA,G$5,FALSE)*$D75,"-")</f>
        <v>-</v>
      </c>
      <c r="H75" s="50" t="str">
        <f>IF($D75&gt;0,    VLOOKUP($B75,Constraints!$I:$AA,H$5,FALSE)*$D75,"-")</f>
        <v>-</v>
      </c>
      <c r="I75" s="50" t="str">
        <f>IF($D75&gt;0,    VLOOKUP($B75,Constraints!$I:$AA,I$5,FALSE)*$D75,"-")</f>
        <v>-</v>
      </c>
      <c r="K75" s="50">
        <f t="shared" si="11"/>
        <v>0</v>
      </c>
      <c r="L75" s="50">
        <f t="shared" si="11"/>
        <v>0</v>
      </c>
      <c r="M75" s="50">
        <f t="shared" si="11"/>
        <v>0</v>
      </c>
      <c r="N75" s="50">
        <f t="shared" si="11"/>
        <v>0</v>
      </c>
      <c r="O75" s="50">
        <f t="shared" si="8"/>
        <v>0</v>
      </c>
      <c r="Q75" s="18">
        <f t="shared" si="9"/>
        <v>0</v>
      </c>
      <c r="R75" s="18">
        <f t="shared" si="10"/>
        <v>0</v>
      </c>
    </row>
    <row r="76" spans="1:18" x14ac:dyDescent="0.25">
      <c r="A76" t="str">
        <f>IF(Rios!A73&lt;&gt;"",Rios!A73,"-")</f>
        <v>-</v>
      </c>
      <c r="B76" s="32">
        <f>Rios!AM73</f>
        <v>0</v>
      </c>
      <c r="C76" s="32" t="str">
        <f>Rios!F73</f>
        <v>-</v>
      </c>
      <c r="D76" s="48">
        <f>Rios!J73</f>
        <v>0</v>
      </c>
      <c r="F76" s="50" t="str">
        <f>IF($D76&gt;0,    VLOOKUP($B76,Constraints!$I:$AA,F$5,FALSE)*$D76,"-")</f>
        <v>-</v>
      </c>
      <c r="G76" s="50" t="str">
        <f>IF($D76&gt;0,    VLOOKUP($B76,Constraints!$I:$AA,G$5,FALSE)*$D76,"-")</f>
        <v>-</v>
      </c>
      <c r="H76" s="50" t="str">
        <f>IF($D76&gt;0,    VLOOKUP($B76,Constraints!$I:$AA,H$5,FALSE)*$D76,"-")</f>
        <v>-</v>
      </c>
      <c r="I76" s="50" t="str">
        <f>IF($D76&gt;0,    VLOOKUP($B76,Constraints!$I:$AA,I$5,FALSE)*$D76,"-")</f>
        <v>-</v>
      </c>
      <c r="K76" s="50">
        <f t="shared" si="11"/>
        <v>0</v>
      </c>
      <c r="L76" s="50">
        <f t="shared" si="11"/>
        <v>0</v>
      </c>
      <c r="M76" s="50">
        <f t="shared" si="11"/>
        <v>0</v>
      </c>
      <c r="N76" s="50">
        <f t="shared" si="11"/>
        <v>0</v>
      </c>
      <c r="O76" s="50">
        <f t="shared" si="8"/>
        <v>0</v>
      </c>
      <c r="Q76" s="18">
        <f t="shared" si="9"/>
        <v>0</v>
      </c>
      <c r="R76" s="18">
        <f t="shared" si="10"/>
        <v>0</v>
      </c>
    </row>
    <row r="77" spans="1:18" x14ac:dyDescent="0.25">
      <c r="A77" t="str">
        <f>IF(Rios!A74&lt;&gt;"",Rios!A74,"-")</f>
        <v>-</v>
      </c>
      <c r="B77" s="32">
        <f>Rios!AM74</f>
        <v>0</v>
      </c>
      <c r="C77" s="32" t="str">
        <f>Rios!F74</f>
        <v>-</v>
      </c>
      <c r="D77" s="48">
        <f>Rios!J74</f>
        <v>0</v>
      </c>
      <c r="F77" s="50" t="str">
        <f>IF($D77&gt;0,    VLOOKUP($B77,Constraints!$I:$AA,F$5,FALSE)*$D77,"-")</f>
        <v>-</v>
      </c>
      <c r="G77" s="50" t="str">
        <f>IF($D77&gt;0,    VLOOKUP($B77,Constraints!$I:$AA,G$5,FALSE)*$D77,"-")</f>
        <v>-</v>
      </c>
      <c r="H77" s="50" t="str">
        <f>IF($D77&gt;0,    VLOOKUP($B77,Constraints!$I:$AA,H$5,FALSE)*$D77,"-")</f>
        <v>-</v>
      </c>
      <c r="I77" s="50" t="str">
        <f>IF($D77&gt;0,    VLOOKUP($B77,Constraints!$I:$AA,I$5,FALSE)*$D77,"-")</f>
        <v>-</v>
      </c>
      <c r="K77" s="50">
        <f t="shared" si="11"/>
        <v>0</v>
      </c>
      <c r="L77" s="50">
        <f t="shared" si="11"/>
        <v>0</v>
      </c>
      <c r="M77" s="50">
        <f t="shared" si="11"/>
        <v>0</v>
      </c>
      <c r="N77" s="50">
        <f t="shared" si="11"/>
        <v>0</v>
      </c>
      <c r="O77" s="50">
        <f t="shared" si="8"/>
        <v>0</v>
      </c>
      <c r="Q77" s="18">
        <f t="shared" si="9"/>
        <v>0</v>
      </c>
      <c r="R77" s="18">
        <f t="shared" si="10"/>
        <v>0</v>
      </c>
    </row>
    <row r="78" spans="1:18" x14ac:dyDescent="0.25">
      <c r="A78" t="str">
        <f>IF(Rios!A75&lt;&gt;"",Rios!A75,"-")</f>
        <v>-</v>
      </c>
      <c r="B78" s="32">
        <f>Rios!AM75</f>
        <v>0</v>
      </c>
      <c r="C78" s="32" t="str">
        <f>Rios!F75</f>
        <v>-</v>
      </c>
      <c r="D78" s="48">
        <f>Rios!J75</f>
        <v>0</v>
      </c>
      <c r="F78" s="50" t="str">
        <f>IF($D78&gt;0,    VLOOKUP($B78,Constraints!$I:$AA,F$5,FALSE)*$D78,"-")</f>
        <v>-</v>
      </c>
      <c r="G78" s="50" t="str">
        <f>IF($D78&gt;0,    VLOOKUP($B78,Constraints!$I:$AA,G$5,FALSE)*$D78,"-")</f>
        <v>-</v>
      </c>
      <c r="H78" s="50" t="str">
        <f>IF($D78&gt;0,    VLOOKUP($B78,Constraints!$I:$AA,H$5,FALSE)*$D78,"-")</f>
        <v>-</v>
      </c>
      <c r="I78" s="50" t="str">
        <f>IF($D78&gt;0,    VLOOKUP($B78,Constraints!$I:$AA,I$5,FALSE)*$D78,"-")</f>
        <v>-</v>
      </c>
      <c r="K78" s="50">
        <f t="shared" si="11"/>
        <v>0</v>
      </c>
      <c r="L78" s="50">
        <f t="shared" si="11"/>
        <v>0</v>
      </c>
      <c r="M78" s="50">
        <f t="shared" si="11"/>
        <v>0</v>
      </c>
      <c r="N78" s="50">
        <f t="shared" si="11"/>
        <v>0</v>
      </c>
      <c r="O78" s="50">
        <f t="shared" si="8"/>
        <v>0</v>
      </c>
      <c r="Q78" s="18">
        <f t="shared" si="9"/>
        <v>0</v>
      </c>
      <c r="R78" s="18">
        <f t="shared" si="10"/>
        <v>0</v>
      </c>
    </row>
    <row r="79" spans="1:18" x14ac:dyDescent="0.25">
      <c r="A79" t="str">
        <f>IF(Rios!A76&lt;&gt;"",Rios!A76,"-")</f>
        <v>-</v>
      </c>
      <c r="B79" s="32">
        <f>Rios!AM76</f>
        <v>0</v>
      </c>
      <c r="C79" s="32" t="str">
        <f>Rios!F76</f>
        <v>-</v>
      </c>
      <c r="D79" s="48">
        <f>Rios!J76</f>
        <v>0</v>
      </c>
      <c r="F79" s="50" t="str">
        <f>IF($D79&gt;0,    VLOOKUP($B79,Constraints!$I:$AA,F$5,FALSE)*$D79,"-")</f>
        <v>-</v>
      </c>
      <c r="G79" s="50" t="str">
        <f>IF($D79&gt;0,    VLOOKUP($B79,Constraints!$I:$AA,G$5,FALSE)*$D79,"-")</f>
        <v>-</v>
      </c>
      <c r="H79" s="50" t="str">
        <f>IF($D79&gt;0,    VLOOKUP($B79,Constraints!$I:$AA,H$5,FALSE)*$D79,"-")</f>
        <v>-</v>
      </c>
      <c r="I79" s="50" t="str">
        <f>IF($D79&gt;0,    VLOOKUP($B79,Constraints!$I:$AA,I$5,FALSE)*$D79,"-")</f>
        <v>-</v>
      </c>
      <c r="K79" s="50">
        <f t="shared" si="11"/>
        <v>0</v>
      </c>
      <c r="L79" s="50">
        <f t="shared" si="11"/>
        <v>0</v>
      </c>
      <c r="M79" s="50">
        <f t="shared" si="11"/>
        <v>0</v>
      </c>
      <c r="N79" s="50">
        <f t="shared" si="11"/>
        <v>0</v>
      </c>
      <c r="O79" s="50">
        <f t="shared" si="8"/>
        <v>0</v>
      </c>
      <c r="Q79" s="18">
        <f t="shared" si="9"/>
        <v>0</v>
      </c>
      <c r="R79" s="18">
        <f t="shared" si="10"/>
        <v>0</v>
      </c>
    </row>
    <row r="80" spans="1:18" x14ac:dyDescent="0.25">
      <c r="A80" t="str">
        <f>IF(Rios!A77&lt;&gt;"",Rios!A77,"-")</f>
        <v>-</v>
      </c>
      <c r="B80" s="32">
        <f>Rios!AM77</f>
        <v>0</v>
      </c>
      <c r="C80" s="32" t="str">
        <f>Rios!F77</f>
        <v>-</v>
      </c>
      <c r="D80" s="48">
        <f>Rios!J77</f>
        <v>0</v>
      </c>
      <c r="F80" s="50" t="str">
        <f>IF($D80&gt;0,    VLOOKUP($B80,Constraints!$I:$AA,F$5,FALSE)*$D80,"-")</f>
        <v>-</v>
      </c>
      <c r="G80" s="50" t="str">
        <f>IF($D80&gt;0,    VLOOKUP($B80,Constraints!$I:$AA,G$5,FALSE)*$D80,"-")</f>
        <v>-</v>
      </c>
      <c r="H80" s="50" t="str">
        <f>IF($D80&gt;0,    VLOOKUP($B80,Constraints!$I:$AA,H$5,FALSE)*$D80,"-")</f>
        <v>-</v>
      </c>
      <c r="I80" s="50" t="str">
        <f>IF($D80&gt;0,    VLOOKUP($B80,Constraints!$I:$AA,I$5,FALSE)*$D80,"-")</f>
        <v>-</v>
      </c>
      <c r="K80" s="50">
        <f t="shared" si="11"/>
        <v>0</v>
      </c>
      <c r="L80" s="50">
        <f t="shared" si="11"/>
        <v>0</v>
      </c>
      <c r="M80" s="50">
        <f t="shared" si="11"/>
        <v>0</v>
      </c>
      <c r="N80" s="50">
        <f t="shared" si="11"/>
        <v>0</v>
      </c>
      <c r="O80" s="50">
        <f t="shared" si="8"/>
        <v>0</v>
      </c>
      <c r="Q80" s="18">
        <f t="shared" si="9"/>
        <v>0</v>
      </c>
      <c r="R80" s="18">
        <f t="shared" si="10"/>
        <v>0</v>
      </c>
    </row>
    <row r="81" spans="1:18" x14ac:dyDescent="0.25">
      <c r="A81" t="str">
        <f>IF(Rios!A78&lt;&gt;"",Rios!A78,"-")</f>
        <v>-</v>
      </c>
      <c r="B81" s="32">
        <f>Rios!AM78</f>
        <v>0</v>
      </c>
      <c r="C81" s="32" t="str">
        <f>Rios!F78</f>
        <v>-</v>
      </c>
      <c r="D81" s="48">
        <f>Rios!J78</f>
        <v>0</v>
      </c>
      <c r="F81" s="50" t="str">
        <f>IF($D81&gt;0,    VLOOKUP($B81,Constraints!$I:$AA,F$5,FALSE)*$D81,"-")</f>
        <v>-</v>
      </c>
      <c r="G81" s="50" t="str">
        <f>IF($D81&gt;0,    VLOOKUP($B81,Constraints!$I:$AA,G$5,FALSE)*$D81,"-")</f>
        <v>-</v>
      </c>
      <c r="H81" s="50" t="str">
        <f>IF($D81&gt;0,    VLOOKUP($B81,Constraints!$I:$AA,H$5,FALSE)*$D81,"-")</f>
        <v>-</v>
      </c>
      <c r="I81" s="50" t="str">
        <f>IF($D81&gt;0,    VLOOKUP($B81,Constraints!$I:$AA,I$5,FALSE)*$D81,"-")</f>
        <v>-</v>
      </c>
      <c r="K81" s="50">
        <f t="shared" si="11"/>
        <v>0</v>
      </c>
      <c r="L81" s="50">
        <f t="shared" si="11"/>
        <v>0</v>
      </c>
      <c r="M81" s="50">
        <f t="shared" si="11"/>
        <v>0</v>
      </c>
      <c r="N81" s="50">
        <f t="shared" si="11"/>
        <v>0</v>
      </c>
      <c r="O81" s="50">
        <f t="shared" si="8"/>
        <v>0</v>
      </c>
      <c r="Q81" s="18">
        <f t="shared" si="9"/>
        <v>0</v>
      </c>
      <c r="R81" s="18">
        <f t="shared" si="10"/>
        <v>0</v>
      </c>
    </row>
    <row r="82" spans="1:18" x14ac:dyDescent="0.25">
      <c r="A82" t="str">
        <f>IF(Rios!A79&lt;&gt;"",Rios!A79,"-")</f>
        <v>-</v>
      </c>
      <c r="B82" s="32">
        <f>Rios!AM79</f>
        <v>0</v>
      </c>
      <c r="C82" s="32" t="str">
        <f>Rios!F79</f>
        <v>-</v>
      </c>
      <c r="D82" s="48">
        <f>Rios!J79</f>
        <v>0</v>
      </c>
      <c r="F82" s="50" t="str">
        <f>IF($D82&gt;0,    VLOOKUP($B82,Constraints!$I:$AA,F$5,FALSE)*$D82,"-")</f>
        <v>-</v>
      </c>
      <c r="G82" s="50" t="str">
        <f>IF($D82&gt;0,    VLOOKUP($B82,Constraints!$I:$AA,G$5,FALSE)*$D82,"-")</f>
        <v>-</v>
      </c>
      <c r="H82" s="50" t="str">
        <f>IF($D82&gt;0,    VLOOKUP($B82,Constraints!$I:$AA,H$5,FALSE)*$D82,"-")</f>
        <v>-</v>
      </c>
      <c r="I82" s="50" t="str">
        <f>IF($D82&gt;0,    VLOOKUP($B82,Constraints!$I:$AA,I$5,FALSE)*$D82,"-")</f>
        <v>-</v>
      </c>
      <c r="K82" s="50">
        <f t="shared" si="11"/>
        <v>0</v>
      </c>
      <c r="L82" s="50">
        <f t="shared" si="11"/>
        <v>0</v>
      </c>
      <c r="M82" s="50">
        <f t="shared" si="11"/>
        <v>0</v>
      </c>
      <c r="N82" s="50">
        <f t="shared" si="11"/>
        <v>0</v>
      </c>
      <c r="O82" s="50">
        <f t="shared" si="8"/>
        <v>0</v>
      </c>
      <c r="Q82" s="18">
        <f t="shared" si="9"/>
        <v>0</v>
      </c>
      <c r="R82" s="18">
        <f t="shared" si="10"/>
        <v>0</v>
      </c>
    </row>
    <row r="83" spans="1:18" x14ac:dyDescent="0.25">
      <c r="A83" t="str">
        <f>IF(Rios!A80&lt;&gt;"",Rios!A80,"-")</f>
        <v>-</v>
      </c>
      <c r="B83" s="32">
        <f>Rios!AM80</f>
        <v>0</v>
      </c>
      <c r="C83" s="32" t="str">
        <f>Rios!F80</f>
        <v>-</v>
      </c>
      <c r="D83" s="48">
        <f>Rios!J80</f>
        <v>0</v>
      </c>
      <c r="F83" s="50" t="str">
        <f>IF($D83&gt;0,    VLOOKUP($B83,Constraints!$I:$AA,F$5,FALSE)*$D83,"-")</f>
        <v>-</v>
      </c>
      <c r="G83" s="50" t="str">
        <f>IF($D83&gt;0,    VLOOKUP($B83,Constraints!$I:$AA,G$5,FALSE)*$D83,"-")</f>
        <v>-</v>
      </c>
      <c r="H83" s="50" t="str">
        <f>IF($D83&gt;0,    VLOOKUP($B83,Constraints!$I:$AA,H$5,FALSE)*$D83,"-")</f>
        <v>-</v>
      </c>
      <c r="I83" s="50" t="str">
        <f>IF($D83&gt;0,    VLOOKUP($B83,Constraints!$I:$AA,I$5,FALSE)*$D83,"-")</f>
        <v>-</v>
      </c>
      <c r="K83" s="50">
        <f t="shared" si="11"/>
        <v>0</v>
      </c>
      <c r="L83" s="50">
        <f t="shared" si="11"/>
        <v>0</v>
      </c>
      <c r="M83" s="50">
        <f t="shared" si="11"/>
        <v>0</v>
      </c>
      <c r="N83" s="50">
        <f t="shared" si="11"/>
        <v>0</v>
      </c>
      <c r="O83" s="50">
        <f t="shared" si="8"/>
        <v>0</v>
      </c>
      <c r="Q83" s="18">
        <f t="shared" si="9"/>
        <v>0</v>
      </c>
      <c r="R83" s="18">
        <f t="shared" si="10"/>
        <v>0</v>
      </c>
    </row>
    <row r="84" spans="1:18" x14ac:dyDescent="0.25">
      <c r="A84" t="str">
        <f>IF(Rios!A81&lt;&gt;"",Rios!A81,"-")</f>
        <v>-</v>
      </c>
      <c r="B84" s="32">
        <f>Rios!AM81</f>
        <v>0</v>
      </c>
      <c r="C84" s="32" t="str">
        <f>Rios!F81</f>
        <v>-</v>
      </c>
      <c r="D84" s="48">
        <f>Rios!J81</f>
        <v>0</v>
      </c>
      <c r="F84" s="50" t="str">
        <f>IF($D84&gt;0,    VLOOKUP($B84,Constraints!$I:$AA,F$5,FALSE)*$D84,"-")</f>
        <v>-</v>
      </c>
      <c r="G84" s="50" t="str">
        <f>IF($D84&gt;0,    VLOOKUP($B84,Constraints!$I:$AA,G$5,FALSE)*$D84,"-")</f>
        <v>-</v>
      </c>
      <c r="H84" s="50" t="str">
        <f>IF($D84&gt;0,    VLOOKUP($B84,Constraints!$I:$AA,H$5,FALSE)*$D84,"-")</f>
        <v>-</v>
      </c>
      <c r="I84" s="50" t="str">
        <f>IF($D84&gt;0,    VLOOKUP($B84,Constraints!$I:$AA,I$5,FALSE)*$D84,"-")</f>
        <v>-</v>
      </c>
      <c r="K84" s="50">
        <f t="shared" si="11"/>
        <v>0</v>
      </c>
      <c r="L84" s="50">
        <f t="shared" si="11"/>
        <v>0</v>
      </c>
      <c r="M84" s="50">
        <f t="shared" si="11"/>
        <v>0</v>
      </c>
      <c r="N84" s="50">
        <f t="shared" si="11"/>
        <v>0</v>
      </c>
      <c r="O84" s="50">
        <f t="shared" si="8"/>
        <v>0</v>
      </c>
      <c r="Q84" s="18">
        <f t="shared" si="9"/>
        <v>0</v>
      </c>
      <c r="R84" s="18">
        <f t="shared" si="10"/>
        <v>0</v>
      </c>
    </row>
    <row r="85" spans="1:18" x14ac:dyDescent="0.25">
      <c r="A85" t="str">
        <f>IF(Rios!A82&lt;&gt;"",Rios!A82,"-")</f>
        <v>-</v>
      </c>
      <c r="B85" s="32">
        <f>Rios!AM82</f>
        <v>0</v>
      </c>
      <c r="C85" s="32" t="str">
        <f>Rios!F82</f>
        <v>-</v>
      </c>
      <c r="D85" s="48">
        <f>Rios!J82</f>
        <v>0</v>
      </c>
      <c r="F85" s="50" t="str">
        <f>IF($D85&gt;0,    VLOOKUP($B85,Constraints!$I:$AA,F$5,FALSE)*$D85,"-")</f>
        <v>-</v>
      </c>
      <c r="G85" s="50" t="str">
        <f>IF($D85&gt;0,    VLOOKUP($B85,Constraints!$I:$AA,G$5,FALSE)*$D85,"-")</f>
        <v>-</v>
      </c>
      <c r="H85" s="50" t="str">
        <f>IF($D85&gt;0,    VLOOKUP($B85,Constraints!$I:$AA,H$5,FALSE)*$D85,"-")</f>
        <v>-</v>
      </c>
      <c r="I85" s="50" t="str">
        <f>IF($D85&gt;0,    VLOOKUP($B85,Constraints!$I:$AA,I$5,FALSE)*$D85,"-")</f>
        <v>-</v>
      </c>
      <c r="K85" s="50">
        <f t="shared" si="11"/>
        <v>0</v>
      </c>
      <c r="L85" s="50">
        <f t="shared" si="11"/>
        <v>0</v>
      </c>
      <c r="M85" s="50">
        <f t="shared" si="11"/>
        <v>0</v>
      </c>
      <c r="N85" s="50">
        <f t="shared" si="11"/>
        <v>0</v>
      </c>
      <c r="O85" s="50">
        <f t="shared" si="8"/>
        <v>0</v>
      </c>
      <c r="Q85" s="18">
        <f t="shared" si="9"/>
        <v>0</v>
      </c>
      <c r="R85" s="18">
        <f t="shared" si="10"/>
        <v>0</v>
      </c>
    </row>
    <row r="86" spans="1:18" x14ac:dyDescent="0.25">
      <c r="A86" t="str">
        <f>IF(Rios!A83&lt;&gt;"",Rios!A83,"-")</f>
        <v>-</v>
      </c>
      <c r="B86" s="32">
        <f>Rios!AM83</f>
        <v>0</v>
      </c>
      <c r="C86" s="32" t="str">
        <f>Rios!F83</f>
        <v>-</v>
      </c>
      <c r="D86" s="48">
        <f>Rios!J83</f>
        <v>0</v>
      </c>
      <c r="F86" s="50" t="str">
        <f>IF($D86&gt;0,    VLOOKUP($B86,Constraints!$I:$AA,F$5,FALSE)*$D86,"-")</f>
        <v>-</v>
      </c>
      <c r="G86" s="50" t="str">
        <f>IF($D86&gt;0,    VLOOKUP($B86,Constraints!$I:$AA,G$5,FALSE)*$D86,"-")</f>
        <v>-</v>
      </c>
      <c r="H86" s="50" t="str">
        <f>IF($D86&gt;0,    VLOOKUP($B86,Constraints!$I:$AA,H$5,FALSE)*$D86,"-")</f>
        <v>-</v>
      </c>
      <c r="I86" s="50" t="str">
        <f>IF($D86&gt;0,    VLOOKUP($B86,Constraints!$I:$AA,I$5,FALSE)*$D86,"-")</f>
        <v>-</v>
      </c>
      <c r="K86" s="50">
        <f t="shared" si="11"/>
        <v>0</v>
      </c>
      <c r="L86" s="50">
        <f t="shared" si="11"/>
        <v>0</v>
      </c>
      <c r="M86" s="50">
        <f t="shared" si="11"/>
        <v>0</v>
      </c>
      <c r="N86" s="50">
        <f t="shared" si="11"/>
        <v>0</v>
      </c>
      <c r="O86" s="50">
        <f t="shared" si="8"/>
        <v>0</v>
      </c>
      <c r="Q86" s="18">
        <f t="shared" si="9"/>
        <v>0</v>
      </c>
      <c r="R86" s="18">
        <f t="shared" si="10"/>
        <v>0</v>
      </c>
    </row>
    <row r="87" spans="1:18" x14ac:dyDescent="0.25">
      <c r="A87" t="str">
        <f>IF(Rios!A84&lt;&gt;"",Rios!A84,"-")</f>
        <v>-</v>
      </c>
      <c r="B87" s="32">
        <f>Rios!AM84</f>
        <v>0</v>
      </c>
      <c r="C87" s="32" t="str">
        <f>Rios!F84</f>
        <v>-</v>
      </c>
      <c r="D87" s="48">
        <f>Rios!J84</f>
        <v>0</v>
      </c>
      <c r="F87" s="50" t="str">
        <f>IF($D87&gt;0,    VLOOKUP($B87,Constraints!$I:$AA,F$5,FALSE)*$D87,"-")</f>
        <v>-</v>
      </c>
      <c r="G87" s="50" t="str">
        <f>IF($D87&gt;0,    VLOOKUP($B87,Constraints!$I:$AA,G$5,FALSE)*$D87,"-")</f>
        <v>-</v>
      </c>
      <c r="H87" s="50" t="str">
        <f>IF($D87&gt;0,    VLOOKUP($B87,Constraints!$I:$AA,H$5,FALSE)*$D87,"-")</f>
        <v>-</v>
      </c>
      <c r="I87" s="50" t="str">
        <f>IF($D87&gt;0,    VLOOKUP($B87,Constraints!$I:$AA,I$5,FALSE)*$D87,"-")</f>
        <v>-</v>
      </c>
      <c r="K87" s="50">
        <f t="shared" si="11"/>
        <v>0</v>
      </c>
      <c r="L87" s="50">
        <f t="shared" si="11"/>
        <v>0</v>
      </c>
      <c r="M87" s="50">
        <f t="shared" si="11"/>
        <v>0</v>
      </c>
      <c r="N87" s="50">
        <f t="shared" si="11"/>
        <v>0</v>
      </c>
      <c r="O87" s="50">
        <f t="shared" si="8"/>
        <v>0</v>
      </c>
      <c r="Q87" s="18">
        <f t="shared" si="9"/>
        <v>0</v>
      </c>
      <c r="R87" s="18">
        <f t="shared" si="10"/>
        <v>0</v>
      </c>
    </row>
    <row r="88" spans="1:18" x14ac:dyDescent="0.25">
      <c r="A88" t="str">
        <f>IF(Rios!A85&lt;&gt;"",Rios!A85,"-")</f>
        <v>-</v>
      </c>
      <c r="B88" s="32">
        <f>Rios!AM85</f>
        <v>0</v>
      </c>
      <c r="C88" s="32" t="str">
        <f>Rios!F85</f>
        <v>-</v>
      </c>
      <c r="D88" s="48">
        <f>Rios!J85</f>
        <v>0</v>
      </c>
      <c r="F88" s="50" t="str">
        <f>IF($D88&gt;0,    VLOOKUP($B88,Constraints!$I:$AA,F$5,FALSE)*$D88,"-")</f>
        <v>-</v>
      </c>
      <c r="G88" s="50" t="str">
        <f>IF($D88&gt;0,    VLOOKUP($B88,Constraints!$I:$AA,G$5,FALSE)*$D88,"-")</f>
        <v>-</v>
      </c>
      <c r="H88" s="50" t="str">
        <f>IF($D88&gt;0,    VLOOKUP($B88,Constraints!$I:$AA,H$5,FALSE)*$D88,"-")</f>
        <v>-</v>
      </c>
      <c r="I88" s="50" t="str">
        <f>IF($D88&gt;0,    VLOOKUP($B88,Constraints!$I:$AA,I$5,FALSE)*$D88,"-")</f>
        <v>-</v>
      </c>
      <c r="K88" s="50">
        <f t="shared" si="11"/>
        <v>0</v>
      </c>
      <c r="L88" s="50">
        <f t="shared" si="11"/>
        <v>0</v>
      </c>
      <c r="M88" s="50">
        <f t="shared" si="11"/>
        <v>0</v>
      </c>
      <c r="N88" s="50">
        <f t="shared" si="11"/>
        <v>0</v>
      </c>
      <c r="O88" s="50">
        <f t="shared" si="8"/>
        <v>0</v>
      </c>
      <c r="Q88" s="18">
        <f t="shared" si="9"/>
        <v>0</v>
      </c>
      <c r="R88" s="18">
        <f t="shared" si="10"/>
        <v>0</v>
      </c>
    </row>
    <row r="89" spans="1:18" x14ac:dyDescent="0.25">
      <c r="A89" t="str">
        <f>IF(Rios!A86&lt;&gt;"",Rios!A86,"-")</f>
        <v>-</v>
      </c>
      <c r="B89" s="32">
        <f>Rios!AM86</f>
        <v>0</v>
      </c>
      <c r="C89" s="32" t="str">
        <f>Rios!F86</f>
        <v>-</v>
      </c>
      <c r="D89" s="48">
        <f>Rios!J86</f>
        <v>0</v>
      </c>
      <c r="F89" s="50" t="str">
        <f>IF($D89&gt;0,    VLOOKUP($B89,Constraints!$I:$AA,F$5,FALSE)*$D89,"-")</f>
        <v>-</v>
      </c>
      <c r="G89" s="50" t="str">
        <f>IF($D89&gt;0,    VLOOKUP($B89,Constraints!$I:$AA,G$5,FALSE)*$D89,"-")</f>
        <v>-</v>
      </c>
      <c r="H89" s="50" t="str">
        <f>IF($D89&gt;0,    VLOOKUP($B89,Constraints!$I:$AA,H$5,FALSE)*$D89,"-")</f>
        <v>-</v>
      </c>
      <c r="I89" s="50" t="str">
        <f>IF($D89&gt;0,    VLOOKUP($B89,Constraints!$I:$AA,I$5,FALSE)*$D89,"-")</f>
        <v>-</v>
      </c>
      <c r="K89" s="50">
        <f t="shared" si="11"/>
        <v>0</v>
      </c>
      <c r="L89" s="50">
        <f t="shared" si="11"/>
        <v>0</v>
      </c>
      <c r="M89" s="50">
        <f t="shared" si="11"/>
        <v>0</v>
      </c>
      <c r="N89" s="50">
        <f t="shared" si="11"/>
        <v>0</v>
      </c>
      <c r="O89" s="50">
        <f t="shared" si="8"/>
        <v>0</v>
      </c>
      <c r="Q89" s="18">
        <f t="shared" si="9"/>
        <v>0</v>
      </c>
      <c r="R89" s="18">
        <f t="shared" si="10"/>
        <v>0</v>
      </c>
    </row>
    <row r="90" spans="1:18" x14ac:dyDescent="0.25">
      <c r="A90" t="str">
        <f>IF(Rios!A87&lt;&gt;"",Rios!A87,"-")</f>
        <v>-</v>
      </c>
      <c r="B90" s="32">
        <f>Rios!AM87</f>
        <v>0</v>
      </c>
      <c r="C90" s="32" t="str">
        <f>Rios!F87</f>
        <v>-</v>
      </c>
      <c r="D90" s="48">
        <f>Rios!J87</f>
        <v>0</v>
      </c>
      <c r="F90" s="50" t="str">
        <f>IF($D90&gt;0,    VLOOKUP($B90,Constraints!$I:$AA,F$5,FALSE)*$D90,"-")</f>
        <v>-</v>
      </c>
      <c r="G90" s="50" t="str">
        <f>IF($D90&gt;0,    VLOOKUP($B90,Constraints!$I:$AA,G$5,FALSE)*$D90,"-")</f>
        <v>-</v>
      </c>
      <c r="H90" s="50" t="str">
        <f>IF($D90&gt;0,    VLOOKUP($B90,Constraints!$I:$AA,H$5,FALSE)*$D90,"-")</f>
        <v>-</v>
      </c>
      <c r="I90" s="50" t="str">
        <f>IF($D90&gt;0,    VLOOKUP($B90,Constraints!$I:$AA,I$5,FALSE)*$D90,"-")</f>
        <v>-</v>
      </c>
      <c r="K90" s="50">
        <f t="shared" si="11"/>
        <v>0</v>
      </c>
      <c r="L90" s="50">
        <f t="shared" si="11"/>
        <v>0</v>
      </c>
      <c r="M90" s="50">
        <f t="shared" si="11"/>
        <v>0</v>
      </c>
      <c r="N90" s="50">
        <f t="shared" si="11"/>
        <v>0</v>
      </c>
      <c r="O90" s="50">
        <f t="shared" si="8"/>
        <v>0</v>
      </c>
      <c r="Q90" s="18">
        <f t="shared" si="9"/>
        <v>0</v>
      </c>
      <c r="R90" s="18">
        <f t="shared" si="10"/>
        <v>0</v>
      </c>
    </row>
    <row r="91" spans="1:18" x14ac:dyDescent="0.25">
      <c r="A91" t="str">
        <f>IF(Rios!A88&lt;&gt;"",Rios!A88,"-")</f>
        <v>-</v>
      </c>
      <c r="B91" s="32">
        <f>Rios!AM88</f>
        <v>0</v>
      </c>
      <c r="C91" s="32" t="str">
        <f>Rios!F88</f>
        <v>-</v>
      </c>
      <c r="D91" s="48">
        <f>Rios!J88</f>
        <v>0</v>
      </c>
      <c r="F91" s="50" t="str">
        <f>IF($D91&gt;0,    VLOOKUP($B91,Constraints!$I:$AA,F$5,FALSE)*$D91,"-")</f>
        <v>-</v>
      </c>
      <c r="G91" s="50" t="str">
        <f>IF($D91&gt;0,    VLOOKUP($B91,Constraints!$I:$AA,G$5,FALSE)*$D91,"-")</f>
        <v>-</v>
      </c>
      <c r="H91" s="50" t="str">
        <f>IF($D91&gt;0,    VLOOKUP($B91,Constraints!$I:$AA,H$5,FALSE)*$D91,"-")</f>
        <v>-</v>
      </c>
      <c r="I91" s="50" t="str">
        <f>IF($D91&gt;0,    VLOOKUP($B91,Constraints!$I:$AA,I$5,FALSE)*$D91,"-")</f>
        <v>-</v>
      </c>
      <c r="K91" s="50">
        <f t="shared" si="11"/>
        <v>0</v>
      </c>
      <c r="L91" s="50">
        <f t="shared" si="11"/>
        <v>0</v>
      </c>
      <c r="M91" s="50">
        <f t="shared" si="11"/>
        <v>0</v>
      </c>
      <c r="N91" s="50">
        <f t="shared" si="11"/>
        <v>0</v>
      </c>
      <c r="O91" s="50">
        <f t="shared" si="8"/>
        <v>0</v>
      </c>
      <c r="Q91" s="18">
        <f t="shared" si="9"/>
        <v>0</v>
      </c>
      <c r="R91" s="18">
        <f t="shared" si="10"/>
        <v>0</v>
      </c>
    </row>
    <row r="92" spans="1:18" x14ac:dyDescent="0.25">
      <c r="A92" t="str">
        <f>IF(Rios!A89&lt;&gt;"",Rios!A89,"-")</f>
        <v>-</v>
      </c>
      <c r="B92" s="32">
        <f>Rios!AM89</f>
        <v>0</v>
      </c>
      <c r="C92" s="32" t="str">
        <f>Rios!F89</f>
        <v>-</v>
      </c>
      <c r="D92" s="48">
        <f>Rios!J89</f>
        <v>0</v>
      </c>
      <c r="F92" s="50" t="str">
        <f>IF($D92&gt;0,    VLOOKUP($B92,Constraints!$I:$AA,F$5,FALSE)*$D92,"-")</f>
        <v>-</v>
      </c>
      <c r="G92" s="50" t="str">
        <f>IF($D92&gt;0,    VLOOKUP($B92,Constraints!$I:$AA,G$5,FALSE)*$D92,"-")</f>
        <v>-</v>
      </c>
      <c r="H92" s="50" t="str">
        <f>IF($D92&gt;0,    VLOOKUP($B92,Constraints!$I:$AA,H$5,FALSE)*$D92,"-")</f>
        <v>-</v>
      </c>
      <c r="I92" s="50" t="str">
        <f>IF($D92&gt;0,    VLOOKUP($B92,Constraints!$I:$AA,I$5,FALSE)*$D92,"-")</f>
        <v>-</v>
      </c>
      <c r="K92" s="50">
        <f t="shared" si="11"/>
        <v>0</v>
      </c>
      <c r="L92" s="50">
        <f t="shared" si="11"/>
        <v>0</v>
      </c>
      <c r="M92" s="50">
        <f t="shared" si="11"/>
        <v>0</v>
      </c>
      <c r="N92" s="50">
        <f t="shared" si="11"/>
        <v>0</v>
      </c>
      <c r="O92" s="50">
        <f t="shared" si="8"/>
        <v>0</v>
      </c>
      <c r="Q92" s="18">
        <f t="shared" si="9"/>
        <v>0</v>
      </c>
      <c r="R92" s="18">
        <f t="shared" si="10"/>
        <v>0</v>
      </c>
    </row>
    <row r="93" spans="1:18" x14ac:dyDescent="0.25">
      <c r="A93" t="str">
        <f>IF(Rios!A90&lt;&gt;"",Rios!A90,"-")</f>
        <v>-</v>
      </c>
      <c r="B93" s="32">
        <f>Rios!AM90</f>
        <v>0</v>
      </c>
      <c r="C93" s="32" t="str">
        <f>Rios!F90</f>
        <v>-</v>
      </c>
      <c r="D93" s="48">
        <f>Rios!J90</f>
        <v>0</v>
      </c>
      <c r="F93" s="50" t="str">
        <f>IF($D93&gt;0,    VLOOKUP($B93,Constraints!$I:$AA,F$5,FALSE)*$D93,"-")</f>
        <v>-</v>
      </c>
      <c r="G93" s="50" t="str">
        <f>IF($D93&gt;0,    VLOOKUP($B93,Constraints!$I:$AA,G$5,FALSE)*$D93,"-")</f>
        <v>-</v>
      </c>
      <c r="H93" s="50" t="str">
        <f>IF($D93&gt;0,    VLOOKUP($B93,Constraints!$I:$AA,H$5,FALSE)*$D93,"-")</f>
        <v>-</v>
      </c>
      <c r="I93" s="50" t="str">
        <f>IF($D93&gt;0,    VLOOKUP($B93,Constraints!$I:$AA,I$5,FALSE)*$D93,"-")</f>
        <v>-</v>
      </c>
      <c r="K93" s="50">
        <f t="shared" si="11"/>
        <v>0</v>
      </c>
      <c r="L93" s="50">
        <f t="shared" si="11"/>
        <v>0</v>
      </c>
      <c r="M93" s="50">
        <f t="shared" si="11"/>
        <v>0</v>
      </c>
      <c r="N93" s="50">
        <f t="shared" si="11"/>
        <v>0</v>
      </c>
      <c r="O93" s="50">
        <f t="shared" si="8"/>
        <v>0</v>
      </c>
      <c r="Q93" s="18">
        <f t="shared" si="9"/>
        <v>0</v>
      </c>
      <c r="R93" s="18">
        <f t="shared" si="10"/>
        <v>0</v>
      </c>
    </row>
    <row r="94" spans="1:18" x14ac:dyDescent="0.25">
      <c r="A94" t="str">
        <f>IF(Rios!A91&lt;&gt;"",Rios!A91,"-")</f>
        <v>-</v>
      </c>
      <c r="B94" s="32">
        <f>Rios!AM91</f>
        <v>0</v>
      </c>
      <c r="C94" s="32" t="str">
        <f>Rios!F91</f>
        <v>-</v>
      </c>
      <c r="D94" s="48">
        <f>Rios!J91</f>
        <v>0</v>
      </c>
      <c r="F94" s="50" t="str">
        <f>IF($D94&gt;0,    VLOOKUP($B94,Constraints!$I:$AA,F$5,FALSE)*$D94,"-")</f>
        <v>-</v>
      </c>
      <c r="G94" s="50" t="str">
        <f>IF($D94&gt;0,    VLOOKUP($B94,Constraints!$I:$AA,G$5,FALSE)*$D94,"-")</f>
        <v>-</v>
      </c>
      <c r="H94" s="50" t="str">
        <f>IF($D94&gt;0,    VLOOKUP($B94,Constraints!$I:$AA,H$5,FALSE)*$D94,"-")</f>
        <v>-</v>
      </c>
      <c r="I94" s="50" t="str">
        <f>IF($D94&gt;0,    VLOOKUP($B94,Constraints!$I:$AA,I$5,FALSE)*$D94,"-")</f>
        <v>-</v>
      </c>
      <c r="K94" s="50">
        <f t="shared" si="11"/>
        <v>0</v>
      </c>
      <c r="L94" s="50">
        <f t="shared" si="11"/>
        <v>0</v>
      </c>
      <c r="M94" s="50">
        <f t="shared" si="11"/>
        <v>0</v>
      </c>
      <c r="N94" s="50">
        <f t="shared" si="11"/>
        <v>0</v>
      </c>
      <c r="O94" s="50">
        <f t="shared" si="8"/>
        <v>0</v>
      </c>
      <c r="Q94" s="18">
        <f t="shared" si="9"/>
        <v>0</v>
      </c>
      <c r="R94" s="18">
        <f t="shared" si="10"/>
        <v>0</v>
      </c>
    </row>
    <row r="95" spans="1:18" x14ac:dyDescent="0.25">
      <c r="A95" t="str">
        <f>IF(Rios!A92&lt;&gt;"",Rios!A92,"-")</f>
        <v>-</v>
      </c>
      <c r="B95" s="32">
        <f>Rios!AM92</f>
        <v>0</v>
      </c>
      <c r="C95" s="32" t="str">
        <f>Rios!F92</f>
        <v>-</v>
      </c>
      <c r="D95" s="48">
        <f>Rios!J92</f>
        <v>0</v>
      </c>
      <c r="F95" s="50" t="str">
        <f>IF($D95&gt;0,    VLOOKUP($B95,Constraints!$I:$AA,F$5,FALSE)*$D95,"-")</f>
        <v>-</v>
      </c>
      <c r="G95" s="50" t="str">
        <f>IF($D95&gt;0,    VLOOKUP($B95,Constraints!$I:$AA,G$5,FALSE)*$D95,"-")</f>
        <v>-</v>
      </c>
      <c r="H95" s="50" t="str">
        <f>IF($D95&gt;0,    VLOOKUP($B95,Constraints!$I:$AA,H$5,FALSE)*$D95,"-")</f>
        <v>-</v>
      </c>
      <c r="I95" s="50" t="str">
        <f>IF($D95&gt;0,    VLOOKUP($B95,Constraints!$I:$AA,I$5,FALSE)*$D95,"-")</f>
        <v>-</v>
      </c>
      <c r="K95" s="50">
        <f t="shared" si="11"/>
        <v>0</v>
      </c>
      <c r="L95" s="50">
        <f t="shared" si="11"/>
        <v>0</v>
      </c>
      <c r="M95" s="50">
        <f t="shared" si="11"/>
        <v>0</v>
      </c>
      <c r="N95" s="50">
        <f t="shared" si="11"/>
        <v>0</v>
      </c>
      <c r="O95" s="50">
        <f t="shared" si="8"/>
        <v>0</v>
      </c>
      <c r="Q95" s="18">
        <f t="shared" si="9"/>
        <v>0</v>
      </c>
      <c r="R95" s="18">
        <f t="shared" si="10"/>
        <v>0</v>
      </c>
    </row>
    <row r="96" spans="1:18" x14ac:dyDescent="0.25">
      <c r="A96" t="str">
        <f>IF(Rios!A93&lt;&gt;"",Rios!A93,"-")</f>
        <v>-</v>
      </c>
      <c r="B96" s="32">
        <f>Rios!AM93</f>
        <v>0</v>
      </c>
      <c r="C96" s="32" t="str">
        <f>Rios!F93</f>
        <v>-</v>
      </c>
      <c r="D96" s="48">
        <f>Rios!J93</f>
        <v>0</v>
      </c>
      <c r="F96" s="50" t="str">
        <f>IF($D96&gt;0,    VLOOKUP($B96,Constraints!$I:$AA,F$5,FALSE)*$D96,"-")</f>
        <v>-</v>
      </c>
      <c r="G96" s="50" t="str">
        <f>IF($D96&gt;0,    VLOOKUP($B96,Constraints!$I:$AA,G$5,FALSE)*$D96,"-")</f>
        <v>-</v>
      </c>
      <c r="H96" s="50" t="str">
        <f>IF($D96&gt;0,    VLOOKUP($B96,Constraints!$I:$AA,H$5,FALSE)*$D96,"-")</f>
        <v>-</v>
      </c>
      <c r="I96" s="50" t="str">
        <f>IF($D96&gt;0,    VLOOKUP($B96,Constraints!$I:$AA,I$5,FALSE)*$D96,"-")</f>
        <v>-</v>
      </c>
      <c r="K96" s="50">
        <f t="shared" si="11"/>
        <v>0</v>
      </c>
      <c r="L96" s="50">
        <f t="shared" si="11"/>
        <v>0</v>
      </c>
      <c r="M96" s="50">
        <f t="shared" si="11"/>
        <v>0</v>
      </c>
      <c r="N96" s="50">
        <f t="shared" si="11"/>
        <v>0</v>
      </c>
      <c r="O96" s="50">
        <f t="shared" si="8"/>
        <v>0</v>
      </c>
      <c r="Q96" s="18">
        <f t="shared" si="9"/>
        <v>0</v>
      </c>
      <c r="R96" s="18">
        <f t="shared" si="10"/>
        <v>0</v>
      </c>
    </row>
    <row r="97" spans="1:18" x14ac:dyDescent="0.25">
      <c r="A97" t="str">
        <f>IF(Rios!A94&lt;&gt;"",Rios!A94,"-")</f>
        <v>-</v>
      </c>
      <c r="B97" s="32">
        <f>Rios!AM94</f>
        <v>0</v>
      </c>
      <c r="C97" s="32" t="str">
        <f>Rios!F94</f>
        <v>-</v>
      </c>
      <c r="D97" s="48">
        <f>Rios!J94</f>
        <v>0</v>
      </c>
      <c r="F97" s="50" t="str">
        <f>IF($D97&gt;0,    VLOOKUP($B97,Constraints!$I:$AA,F$5,FALSE)*$D97,"-")</f>
        <v>-</v>
      </c>
      <c r="G97" s="50" t="str">
        <f>IF($D97&gt;0,    VLOOKUP($B97,Constraints!$I:$AA,G$5,FALSE)*$D97,"-")</f>
        <v>-</v>
      </c>
      <c r="H97" s="50" t="str">
        <f>IF($D97&gt;0,    VLOOKUP($B97,Constraints!$I:$AA,H$5,FALSE)*$D97,"-")</f>
        <v>-</v>
      </c>
      <c r="I97" s="50" t="str">
        <f>IF($D97&gt;0,    VLOOKUP($B97,Constraints!$I:$AA,I$5,FALSE)*$D97,"-")</f>
        <v>-</v>
      </c>
      <c r="K97" s="50">
        <f t="shared" si="11"/>
        <v>0</v>
      </c>
      <c r="L97" s="50">
        <f t="shared" si="11"/>
        <v>0</v>
      </c>
      <c r="M97" s="50">
        <f t="shared" si="11"/>
        <v>0</v>
      </c>
      <c r="N97" s="50">
        <f t="shared" si="11"/>
        <v>0</v>
      </c>
      <c r="O97" s="50">
        <f t="shared" si="8"/>
        <v>0</v>
      </c>
      <c r="Q97" s="18">
        <f t="shared" si="9"/>
        <v>0</v>
      </c>
      <c r="R97" s="18">
        <f t="shared" si="10"/>
        <v>0</v>
      </c>
    </row>
    <row r="98" spans="1:18" x14ac:dyDescent="0.25">
      <c r="A98" t="str">
        <f>IF(Rios!A95&lt;&gt;"",Rios!A95,"-")</f>
        <v>-</v>
      </c>
      <c r="B98" s="32">
        <f>Rios!AM95</f>
        <v>0</v>
      </c>
      <c r="C98" s="32" t="str">
        <f>Rios!F95</f>
        <v>-</v>
      </c>
      <c r="D98" s="48">
        <f>Rios!J95</f>
        <v>0</v>
      </c>
      <c r="F98" s="50" t="str">
        <f>IF($D98&gt;0,    VLOOKUP($B98,Constraints!$I:$AA,F$5,FALSE)*$D98,"-")</f>
        <v>-</v>
      </c>
      <c r="G98" s="50" t="str">
        <f>IF($D98&gt;0,    VLOOKUP($B98,Constraints!$I:$AA,G$5,FALSE)*$D98,"-")</f>
        <v>-</v>
      </c>
      <c r="H98" s="50" t="str">
        <f>IF($D98&gt;0,    VLOOKUP($B98,Constraints!$I:$AA,H$5,FALSE)*$D98,"-")</f>
        <v>-</v>
      </c>
      <c r="I98" s="50" t="str">
        <f>IF($D98&gt;0,    VLOOKUP($B98,Constraints!$I:$AA,I$5,FALSE)*$D98,"-")</f>
        <v>-</v>
      </c>
      <c r="K98" s="50">
        <f t="shared" si="11"/>
        <v>0</v>
      </c>
      <c r="L98" s="50">
        <f t="shared" si="11"/>
        <v>0</v>
      </c>
      <c r="M98" s="50">
        <f t="shared" si="11"/>
        <v>0</v>
      </c>
      <c r="N98" s="50">
        <f t="shared" si="11"/>
        <v>0</v>
      </c>
      <c r="O98" s="50">
        <f t="shared" si="8"/>
        <v>0</v>
      </c>
      <c r="Q98" s="18">
        <f t="shared" si="9"/>
        <v>0</v>
      </c>
      <c r="R98" s="18">
        <f t="shared" si="10"/>
        <v>0</v>
      </c>
    </row>
    <row r="99" spans="1:18" x14ac:dyDescent="0.25">
      <c r="A99" t="str">
        <f>IF(Rios!A96&lt;&gt;"",Rios!A96,"-")</f>
        <v>-</v>
      </c>
      <c r="B99" s="32">
        <f>Rios!AM96</f>
        <v>0</v>
      </c>
      <c r="C99" s="32" t="str">
        <f>Rios!F96</f>
        <v>-</v>
      </c>
      <c r="D99" s="48">
        <f>Rios!J96</f>
        <v>0</v>
      </c>
      <c r="F99" s="50" t="str">
        <f>IF($D99&gt;0,    VLOOKUP($B99,Constraints!$I:$AA,F$5,FALSE)*$D99,"-")</f>
        <v>-</v>
      </c>
      <c r="G99" s="50" t="str">
        <f>IF($D99&gt;0,    VLOOKUP($B99,Constraints!$I:$AA,G$5,FALSE)*$D99,"-")</f>
        <v>-</v>
      </c>
      <c r="H99" s="50" t="str">
        <f>IF($D99&gt;0,    VLOOKUP($B99,Constraints!$I:$AA,H$5,FALSE)*$D99,"-")</f>
        <v>-</v>
      </c>
      <c r="I99" s="50" t="str">
        <f>IF($D99&gt;0,    VLOOKUP($B99,Constraints!$I:$AA,I$5,FALSE)*$D99,"-")</f>
        <v>-</v>
      </c>
      <c r="K99" s="50">
        <f t="shared" si="11"/>
        <v>0</v>
      </c>
      <c r="L99" s="50">
        <f t="shared" si="11"/>
        <v>0</v>
      </c>
      <c r="M99" s="50">
        <f t="shared" si="11"/>
        <v>0</v>
      </c>
      <c r="N99" s="50">
        <f t="shared" si="11"/>
        <v>0</v>
      </c>
      <c r="O99" s="50">
        <f t="shared" si="8"/>
        <v>0</v>
      </c>
      <c r="Q99" s="18">
        <f t="shared" si="9"/>
        <v>0</v>
      </c>
      <c r="R99" s="18">
        <f t="shared" si="10"/>
        <v>0</v>
      </c>
    </row>
    <row r="100" spans="1:18" x14ac:dyDescent="0.25">
      <c r="A100" t="str">
        <f>IF(Rios!A97&lt;&gt;"",Rios!A97,"-")</f>
        <v>-</v>
      </c>
      <c r="B100" s="32">
        <f>Rios!AM97</f>
        <v>0</v>
      </c>
      <c r="C100" s="32" t="str">
        <f>Rios!F97</f>
        <v>-</v>
      </c>
      <c r="D100" s="48">
        <f>Rios!J97</f>
        <v>0</v>
      </c>
      <c r="F100" s="50" t="str">
        <f>IF($D100&gt;0,    VLOOKUP($B100,Constraints!$I:$AA,F$5,FALSE)*$D100,"-")</f>
        <v>-</v>
      </c>
      <c r="G100" s="50" t="str">
        <f>IF($D100&gt;0,    VLOOKUP($B100,Constraints!$I:$AA,G$5,FALSE)*$D100,"-")</f>
        <v>-</v>
      </c>
      <c r="H100" s="50" t="str">
        <f>IF($D100&gt;0,    VLOOKUP($B100,Constraints!$I:$AA,H$5,FALSE)*$D100,"-")</f>
        <v>-</v>
      </c>
      <c r="I100" s="50" t="str">
        <f>IF($D100&gt;0,    VLOOKUP($B100,Constraints!$I:$AA,I$5,FALSE)*$D100,"-")</f>
        <v>-</v>
      </c>
      <c r="K100" s="50">
        <f t="shared" si="11"/>
        <v>0</v>
      </c>
      <c r="L100" s="50">
        <f t="shared" si="11"/>
        <v>0</v>
      </c>
      <c r="M100" s="50">
        <f t="shared" si="11"/>
        <v>0</v>
      </c>
      <c r="N100" s="50">
        <f t="shared" si="11"/>
        <v>0</v>
      </c>
      <c r="O100" s="50">
        <f t="shared" si="8"/>
        <v>0</v>
      </c>
      <c r="Q100" s="18">
        <f t="shared" si="9"/>
        <v>0</v>
      </c>
      <c r="R100" s="18">
        <f t="shared" si="10"/>
        <v>0</v>
      </c>
    </row>
    <row r="101" spans="1:18" x14ac:dyDescent="0.25">
      <c r="A101" t="str">
        <f>IF(Rios!A98&lt;&gt;"",Rios!A98,"-")</f>
        <v>-</v>
      </c>
      <c r="B101" s="32">
        <f>Rios!AM98</f>
        <v>0</v>
      </c>
      <c r="C101" s="32" t="str">
        <f>Rios!F98</f>
        <v>-</v>
      </c>
      <c r="D101" s="48">
        <f>Rios!J98</f>
        <v>0</v>
      </c>
      <c r="F101" s="50" t="str">
        <f>IF($D101&gt;0,    VLOOKUP($B101,Constraints!$I:$AA,F$5,FALSE)*$D101,"-")</f>
        <v>-</v>
      </c>
      <c r="G101" s="50" t="str">
        <f>IF($D101&gt;0,    VLOOKUP($B101,Constraints!$I:$AA,G$5,FALSE)*$D101,"-")</f>
        <v>-</v>
      </c>
      <c r="H101" s="50" t="str">
        <f>IF($D101&gt;0,    VLOOKUP($B101,Constraints!$I:$AA,H$5,FALSE)*$D101,"-")</f>
        <v>-</v>
      </c>
      <c r="I101" s="50" t="str">
        <f>IF($D101&gt;0,    VLOOKUP($B101,Constraints!$I:$AA,I$5,FALSE)*$D101,"-")</f>
        <v>-</v>
      </c>
      <c r="K101" s="50">
        <f t="shared" si="11"/>
        <v>0</v>
      </c>
      <c r="L101" s="50">
        <f t="shared" si="11"/>
        <v>0</v>
      </c>
      <c r="M101" s="50">
        <f t="shared" si="11"/>
        <v>0</v>
      </c>
      <c r="N101" s="50">
        <f t="shared" si="11"/>
        <v>0</v>
      </c>
      <c r="O101" s="50">
        <f t="shared" si="8"/>
        <v>0</v>
      </c>
      <c r="Q101" s="18">
        <f t="shared" si="9"/>
        <v>0</v>
      </c>
      <c r="R101" s="18">
        <f t="shared" si="10"/>
        <v>0</v>
      </c>
    </row>
    <row r="102" spans="1:18" x14ac:dyDescent="0.25">
      <c r="A102" t="str">
        <f>IF(Rios!A99&lt;&gt;"",Rios!A99,"-")</f>
        <v>-</v>
      </c>
      <c r="B102" s="32">
        <f>Rios!AM99</f>
        <v>0</v>
      </c>
      <c r="C102" s="32" t="str">
        <f>Rios!F99</f>
        <v>-</v>
      </c>
      <c r="D102" s="48">
        <f>Rios!J99</f>
        <v>0</v>
      </c>
      <c r="F102" s="50" t="str">
        <f>IF($D102&gt;0,    VLOOKUP($B102,Constraints!$I:$AA,F$5,FALSE)*$D102,"-")</f>
        <v>-</v>
      </c>
      <c r="G102" s="50" t="str">
        <f>IF($D102&gt;0,    VLOOKUP($B102,Constraints!$I:$AA,G$5,FALSE)*$D102,"-")</f>
        <v>-</v>
      </c>
      <c r="H102" s="50" t="str">
        <f>IF($D102&gt;0,    VLOOKUP($B102,Constraints!$I:$AA,H$5,FALSE)*$D102,"-")</f>
        <v>-</v>
      </c>
      <c r="I102" s="50" t="str">
        <f>IF($D102&gt;0,    VLOOKUP($B102,Constraints!$I:$AA,I$5,FALSE)*$D102,"-")</f>
        <v>-</v>
      </c>
      <c r="K102" s="50">
        <f t="shared" si="11"/>
        <v>0</v>
      </c>
      <c r="L102" s="50">
        <f t="shared" si="11"/>
        <v>0</v>
      </c>
      <c r="M102" s="50">
        <f t="shared" si="11"/>
        <v>0</v>
      </c>
      <c r="N102" s="50">
        <f t="shared" si="11"/>
        <v>0</v>
      </c>
      <c r="O102" s="50">
        <f t="shared" si="8"/>
        <v>0</v>
      </c>
      <c r="Q102" s="18">
        <f t="shared" si="9"/>
        <v>0</v>
      </c>
      <c r="R102" s="18">
        <f t="shared" si="10"/>
        <v>0</v>
      </c>
    </row>
    <row r="103" spans="1:18" x14ac:dyDescent="0.25">
      <c r="A103" t="str">
        <f>IF(Rios!A100&lt;&gt;"",Rios!A100,"-")</f>
        <v>-</v>
      </c>
      <c r="B103" s="32">
        <f>Rios!AM100</f>
        <v>0</v>
      </c>
      <c r="C103" s="32" t="str">
        <f>Rios!F100</f>
        <v>-</v>
      </c>
      <c r="D103" s="48">
        <f>Rios!J100</f>
        <v>0</v>
      </c>
      <c r="F103" s="50" t="str">
        <f>IF($D103&gt;0,    VLOOKUP($B103,Constraints!$I:$AA,F$5,FALSE)*$D103,"-")</f>
        <v>-</v>
      </c>
      <c r="G103" s="50" t="str">
        <f>IF($D103&gt;0,    VLOOKUP($B103,Constraints!$I:$AA,G$5,FALSE)*$D103,"-")</f>
        <v>-</v>
      </c>
      <c r="H103" s="50" t="str">
        <f>IF($D103&gt;0,    VLOOKUP($B103,Constraints!$I:$AA,H$5,FALSE)*$D103,"-")</f>
        <v>-</v>
      </c>
      <c r="I103" s="50" t="str">
        <f>IF($D103&gt;0,    VLOOKUP($B103,Constraints!$I:$AA,I$5,FALSE)*$D103,"-")</f>
        <v>-</v>
      </c>
      <c r="K103" s="50">
        <f t="shared" si="11"/>
        <v>0</v>
      </c>
      <c r="L103" s="50">
        <f t="shared" si="11"/>
        <v>0</v>
      </c>
      <c r="M103" s="50">
        <f t="shared" si="11"/>
        <v>0</v>
      </c>
      <c r="N103" s="50">
        <f t="shared" si="11"/>
        <v>0</v>
      </c>
      <c r="O103" s="50">
        <f t="shared" si="8"/>
        <v>0</v>
      </c>
      <c r="Q103" s="18">
        <f t="shared" si="9"/>
        <v>0</v>
      </c>
      <c r="R103" s="18">
        <f t="shared" si="10"/>
        <v>0</v>
      </c>
    </row>
  </sheetData>
  <mergeCells count="1">
    <mergeCell ref="A4:C4"/>
  </mergeCells>
  <conditionalFormatting sqref="D1:D3 D5:D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3 D6:D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theme="0"/>
        <color rgb="FFFFC000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MJKP6MU7X6W3GJVGUZG2NEMDNEGS34MB:ms-officescript%3A%2F%2Fonedrive_business_sharinglink%2Fu!aHR0cHM6Ly9kcmFnbG9iYWwtbXkuc2hhcmVwb2ludC5jb20vOnU6L3AvZ3JhaGFtX2F1ZG91aW4vRVotX3JiTW1wcVpOcHBHRGFRMHQ4WUVCMExNZmRGa2lfdUJUNE9uaWVQbkY2dw"/>
</scriptIds>
</file>

<file path=customXml/itemProps1.xml><?xml version="1.0" encoding="utf-8"?>
<ds:datastoreItem xmlns:ds="http://schemas.openxmlformats.org/officeDocument/2006/customXml" ds:itemID="{A87F2614-863F-48C0-A830-59B6E04E1A3B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Typical Counts</vt:lpstr>
      <vt:lpstr>Areas</vt:lpstr>
      <vt:lpstr>Constraints</vt:lpstr>
      <vt:lpstr>Part Numbers</vt:lpstr>
      <vt:lpstr>Rios</vt:lpstr>
      <vt:lpstr>Costing</vt:lpstr>
      <vt:lpstr>Proposed_Card_Layout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 Audouin (ZA)</dc:creator>
  <cp:lastModifiedBy>Graham Audouin (ZA)</cp:lastModifiedBy>
  <dcterms:created xsi:type="dcterms:W3CDTF">2015-06-05T18:17:20Z</dcterms:created>
  <dcterms:modified xsi:type="dcterms:W3CDTF">2023-11-03T08:23:52Z</dcterms:modified>
</cp:coreProperties>
</file>